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DA976668-9292-4877-BD63-94F26A3935DE}" xr6:coauthVersionLast="47" xr6:coauthVersionMax="47" xr10:uidLastSave="{00000000-0000-0000-0000-000000000000}"/>
  <bookViews>
    <workbookView xWindow="735" yWindow="735" windowWidth="17280" windowHeight="9983" tabRatio="769" xr2:uid="{D7E84C0C-36FD-4286-8DD8-3A62C1B9CA3D}"/>
  </bookViews>
  <sheets>
    <sheet name="Citizens-Draft" sheetId="42" r:id="rId1"/>
  </sheets>
  <definedNames>
    <definedName name="_xlnm.Print_Area" localSheetId="0">'Citizens-Draft'!$A$1:$O$44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2" l="1"/>
  <c r="N31" i="42"/>
  <c r="A44" i="42"/>
</calcChain>
</file>

<file path=xl/sharedStrings.xml><?xml version="1.0" encoding="utf-8"?>
<sst xmlns="http://schemas.openxmlformats.org/spreadsheetml/2006/main" count="171" uniqueCount="92">
  <si>
    <t>Fax Number:</t>
  </si>
  <si>
    <t>Nomination Effective Dates :</t>
  </si>
  <si>
    <t>Nomination</t>
  </si>
  <si>
    <t>Transaction</t>
  </si>
  <si>
    <t>No. 1</t>
  </si>
  <si>
    <t>No. 2</t>
  </si>
  <si>
    <t>No. 3</t>
  </si>
  <si>
    <t>No. 4</t>
  </si>
  <si>
    <t>No. 5</t>
  </si>
  <si>
    <t>Interstate Pipeline</t>
  </si>
  <si>
    <t>El Paso</t>
  </si>
  <si>
    <t>Nomination Type</t>
  </si>
  <si>
    <t>P/L Delivery Point</t>
  </si>
  <si>
    <t xml:space="preserve">  [See Worksheet]</t>
  </si>
  <si>
    <t>P/L Receipt Point</t>
  </si>
  <si>
    <t>P/L Delivery Pt. Quantity</t>
  </si>
  <si>
    <t xml:space="preserve">  MMbtu</t>
  </si>
  <si>
    <t>P/L Shipper Contract</t>
  </si>
  <si>
    <t xml:space="preserve">  [Determined by Shipper]</t>
  </si>
  <si>
    <t>P/L Package ID</t>
  </si>
  <si>
    <t>P/L Shipper DUNS #</t>
  </si>
  <si>
    <t xml:space="preserve">  [Determined by NomType; TA = 00-697-0917]</t>
  </si>
  <si>
    <t>Downstream DUNS #</t>
  </si>
  <si>
    <t xml:space="preserve">  [Default = 00-697-0917]</t>
  </si>
  <si>
    <t>Downstream Contract #</t>
  </si>
  <si>
    <t xml:space="preserve">  [So.Calif = S87; Ariz = EU3; Nev = EU2]</t>
  </si>
  <si>
    <t>Upstream DUNS #</t>
  </si>
  <si>
    <t>Upstream Contract #</t>
  </si>
  <si>
    <t>Mandatory Entry Information by Nomination Type to SWG</t>
  </si>
  <si>
    <t>Mandatory Entry Information by Nomination Type to Pipeline</t>
  </si>
  <si>
    <t>Title Assignmnt</t>
  </si>
  <si>
    <t>Non-T.A.</t>
  </si>
  <si>
    <t>Comments</t>
  </si>
  <si>
    <t>X</t>
  </si>
  <si>
    <t>Optional - If used, must match SWG Nom to P/L</t>
  </si>
  <si>
    <t>Default = SWG DUNS No. (00-697-0917)</t>
  </si>
  <si>
    <t>Default = So. Calif=S87; Ariz = EU3; Nev = EU2</t>
  </si>
  <si>
    <t>CITIZEN'S COMMUNICATION COMPANY</t>
  </si>
  <si>
    <t>Gas Dispatch Department</t>
  </si>
  <si>
    <t>Daily Nomination Form</t>
  </si>
  <si>
    <t>Phone Number:</t>
  </si>
  <si>
    <t>Gas Control Contact:</t>
  </si>
  <si>
    <t xml:space="preserve">Supplier: </t>
  </si>
  <si>
    <t>Customer:</t>
  </si>
  <si>
    <t>Cell Phone Number:</t>
  </si>
  <si>
    <t>Effective Gas Cycle:</t>
  </si>
  <si>
    <t>Today's Date:</t>
  </si>
  <si>
    <t>Citizen's Gas Control Contacts</t>
  </si>
  <si>
    <t>Timely or Intraday</t>
  </si>
  <si>
    <t>Timely</t>
  </si>
  <si>
    <t>Title Transfer</t>
  </si>
  <si>
    <t>Until further notice</t>
  </si>
  <si>
    <t>Normal = Gas for Transport to Plant, Tranfer = Title Transfer at Interconnect</t>
  </si>
  <si>
    <t>Total</t>
  </si>
  <si>
    <t>Transwestern</t>
  </si>
  <si>
    <t>94-7436334</t>
  </si>
  <si>
    <t xml:space="preserve"> [check box if applicable]</t>
  </si>
  <si>
    <t>TW - # 78069 - Citizens/Griffith Energy</t>
  </si>
  <si>
    <t>EP - # 288615 - IGRIFFITH</t>
  </si>
  <si>
    <t>76-PPL</t>
  </si>
  <si>
    <t>P/L Shipper Contract (upstream)</t>
  </si>
  <si>
    <t>Citizens Contract # (downstream)</t>
  </si>
  <si>
    <t>P/L Package ID (upstream's pkg #)</t>
  </si>
  <si>
    <t>Citizens Priority (1 flows first)</t>
  </si>
  <si>
    <t>1</t>
  </si>
  <si>
    <t>DETM</t>
  </si>
  <si>
    <t>Legend:</t>
  </si>
  <si>
    <t>Cycle 1</t>
  </si>
  <si>
    <t>Cycle 2</t>
  </si>
  <si>
    <t>Cycle 3</t>
  </si>
  <si>
    <t>Cycle 4</t>
  </si>
  <si>
    <t>Intraday 1</t>
  </si>
  <si>
    <t>Intraday 2</t>
  </si>
  <si>
    <t>Evening</t>
  </si>
  <si>
    <t>Beginning Gas Day (8:00 AM):</t>
  </si>
  <si>
    <t>Ending Gas Day (8:00 AM):</t>
  </si>
  <si>
    <t>10.30 AM</t>
  </si>
  <si>
    <t>No. 6</t>
  </si>
  <si>
    <t>All times prevailing Mountain Time</t>
  </si>
  <si>
    <t>Contact Name:</t>
  </si>
  <si>
    <t>Phone:</t>
  </si>
  <si>
    <t>Cell:</t>
  </si>
  <si>
    <t>Fax:</t>
  </si>
  <si>
    <t>P/L Delivery Point into Citizens</t>
  </si>
  <si>
    <t>P/L Delivery Quantity</t>
  </si>
  <si>
    <t>Account</t>
  </si>
  <si>
    <t>Transport</t>
  </si>
  <si>
    <t>26372</t>
  </si>
  <si>
    <t>26758</t>
  </si>
  <si>
    <t>94-7436333</t>
  </si>
  <si>
    <t>DUKE</t>
  </si>
  <si>
    <t>Griffith Gas Control Contact: (PRM)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</si>
</sst>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m/d/yy\ h:mm\ AM/PM"/>
  </numFmts>
  <fonts count="18" x14ac:knownFonts="1"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indexed="37"/>
      <name val="Arial"/>
      <family val="2"/>
    </font>
    <font>
      <b/>
      <sz val="10"/>
      <color indexed="37"/>
      <name val="Arial"/>
      <family val="2"/>
    </font>
    <font>
      <b/>
      <sz val="10"/>
      <color indexed="39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color indexed="37"/>
      <name val="Arial"/>
      <family val="2"/>
    </font>
    <font>
      <b/>
      <u/>
      <sz val="10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0" borderId="0" xfId="0" applyAlignment="1">
      <alignment horizontal="centerContinuous"/>
    </xf>
    <xf numFmtId="0" fontId="0" fillId="0" borderId="0" xfId="0" applyBorder="1"/>
    <xf numFmtId="0" fontId="0" fillId="0" borderId="0" xfId="0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0" fillId="0" borderId="2" xfId="0" applyBorder="1"/>
    <xf numFmtId="0" fontId="0" fillId="0" borderId="0" xfId="0" quotePrefix="1"/>
    <xf numFmtId="0" fontId="0" fillId="0" borderId="0" xfId="0" applyAlignment="1">
      <alignment horizontal="left"/>
    </xf>
    <xf numFmtId="3" fontId="7" fillId="0" borderId="0" xfId="0" applyNumberFormat="1" applyFont="1" applyFill="1" applyBorder="1"/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Fill="1" applyBorder="1"/>
    <xf numFmtId="0" fontId="0" fillId="0" borderId="0" xfId="0" applyFill="1"/>
    <xf numFmtId="3" fontId="0" fillId="0" borderId="0" xfId="0" applyNumberFormat="1" applyFill="1" applyBorder="1"/>
    <xf numFmtId="0" fontId="0" fillId="0" borderId="0" xfId="0" applyFill="1" applyAlignment="1">
      <alignment horizontal="center"/>
    </xf>
    <xf numFmtId="3" fontId="0" fillId="0" borderId="1" xfId="0" applyNumberFormat="1" applyFill="1" applyBorder="1"/>
    <xf numFmtId="0" fontId="4" fillId="0" borderId="0" xfId="0" applyFont="1" applyFill="1"/>
    <xf numFmtId="0" fontId="0" fillId="0" borderId="3" xfId="0" applyFill="1" applyBorder="1"/>
    <xf numFmtId="0" fontId="11" fillId="0" borderId="1" xfId="0" applyFont="1" applyBorder="1"/>
    <xf numFmtId="0" fontId="0" fillId="0" borderId="0" xfId="0" applyFill="1" applyBorder="1" applyAlignment="1">
      <alignment horizontal="centerContinuous"/>
    </xf>
    <xf numFmtId="3" fontId="8" fillId="0" borderId="0" xfId="0" applyNumberFormat="1" applyFont="1" applyFill="1" applyBorder="1"/>
    <xf numFmtId="3" fontId="9" fillId="0" borderId="0" xfId="0" applyNumberFormat="1" applyFont="1" applyFill="1" applyBorder="1"/>
    <xf numFmtId="0" fontId="12" fillId="0" borderId="4" xfId="0" applyFont="1" applyFill="1" applyBorder="1" applyAlignment="1">
      <alignment horizontal="center"/>
    </xf>
    <xf numFmtId="14" fontId="12" fillId="0" borderId="4" xfId="0" applyNumberFormat="1" applyFont="1" applyFill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3" fillId="0" borderId="0" xfId="0" applyFont="1" applyFill="1"/>
    <xf numFmtId="0" fontId="12" fillId="0" borderId="4" xfId="0" applyFont="1" applyFill="1" applyBorder="1" applyAlignment="1">
      <alignment horizontal="right"/>
    </xf>
    <xf numFmtId="0" fontId="12" fillId="0" borderId="5" xfId="0" applyFont="1" applyFill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3" fontId="1" fillId="0" borderId="0" xfId="0" applyNumberFormat="1" applyFont="1" applyBorder="1"/>
    <xf numFmtId="49" fontId="12" fillId="0" borderId="4" xfId="0" applyNumberFormat="1" applyFont="1" applyFill="1" applyBorder="1" applyAlignment="1">
      <alignment horizontal="right"/>
    </xf>
    <xf numFmtId="49" fontId="12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/>
    <xf numFmtId="49" fontId="12" fillId="0" borderId="5" xfId="0" applyNumberFormat="1" applyFont="1" applyFill="1" applyBorder="1" applyAlignment="1">
      <alignment horizontal="right"/>
    </xf>
    <xf numFmtId="38" fontId="12" fillId="0" borderId="4" xfId="0" applyNumberFormat="1" applyFont="1" applyFill="1" applyBorder="1" applyAlignment="1">
      <alignment horizontal="right"/>
    </xf>
    <xf numFmtId="38" fontId="12" fillId="0" borderId="0" xfId="0" applyNumberFormat="1" applyFont="1" applyFill="1" applyBorder="1" applyAlignment="1">
      <alignment horizontal="right"/>
    </xf>
    <xf numFmtId="38" fontId="13" fillId="0" borderId="0" xfId="0" applyNumberFormat="1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14" fontId="13" fillId="0" borderId="4" xfId="0" applyNumberFormat="1" applyFont="1" applyFill="1" applyBorder="1" applyAlignment="1">
      <alignment horizontal="right"/>
    </xf>
    <xf numFmtId="18" fontId="0" fillId="0" borderId="0" xfId="0" applyNumberFormat="1" applyFill="1" applyBorder="1" applyAlignment="1">
      <alignment horizontal="center"/>
    </xf>
    <xf numFmtId="0" fontId="16" fillId="0" borderId="6" xfId="0" applyFont="1" applyFill="1" applyBorder="1"/>
    <xf numFmtId="0" fontId="0" fillId="0" borderId="3" xfId="0" applyFill="1" applyBorder="1" applyAlignment="1">
      <alignment horizontal="centerContinuous"/>
    </xf>
    <xf numFmtId="0" fontId="0" fillId="0" borderId="7" xfId="0" applyFill="1" applyBorder="1" applyAlignment="1">
      <alignment horizontal="centerContinuous"/>
    </xf>
    <xf numFmtId="3" fontId="0" fillId="0" borderId="8" xfId="0" applyNumberFormat="1" applyFill="1" applyBorder="1"/>
    <xf numFmtId="0" fontId="15" fillId="0" borderId="2" xfId="0" applyFont="1" applyFill="1" applyBorder="1" applyAlignment="1">
      <alignment horizontal="right"/>
    </xf>
    <xf numFmtId="0" fontId="10" fillId="0" borderId="2" xfId="0" applyFont="1" applyFill="1" applyBorder="1" applyAlignment="1">
      <alignment horizontal="right"/>
    </xf>
    <xf numFmtId="14" fontId="15" fillId="0" borderId="2" xfId="0" applyNumberFormat="1" applyFont="1" applyFill="1" applyBorder="1" applyAlignment="1">
      <alignment horizontal="right"/>
    </xf>
    <xf numFmtId="0" fontId="6" fillId="0" borderId="9" xfId="0" applyFont="1" applyFill="1" applyBorder="1" applyAlignment="1">
      <alignment horizontal="center"/>
    </xf>
    <xf numFmtId="3" fontId="8" fillId="0" borderId="1" xfId="0" applyNumberFormat="1" applyFont="1" applyFill="1" applyBorder="1"/>
    <xf numFmtId="3" fontId="9" fillId="0" borderId="1" xfId="0" applyNumberFormat="1" applyFont="1" applyFill="1" applyBorder="1"/>
    <xf numFmtId="3" fontId="0" fillId="0" borderId="10" xfId="0" applyNumberFormat="1" applyFill="1" applyBorder="1"/>
    <xf numFmtId="0" fontId="11" fillId="0" borderId="1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7" fillId="0" borderId="0" xfId="0" applyFont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right"/>
    </xf>
    <xf numFmtId="0" fontId="2" fillId="0" borderId="0" xfId="0" applyFont="1" applyBorder="1" applyAlignment="1">
      <alignment horizontal="left"/>
    </xf>
    <xf numFmtId="0" fontId="10" fillId="0" borderId="15" xfId="0" applyFont="1" applyBorder="1" applyAlignment="1">
      <alignment horizontal="center"/>
    </xf>
    <xf numFmtId="0" fontId="11" fillId="0" borderId="17" xfId="0" applyFont="1" applyBorder="1"/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19" xfId="0" applyBorder="1" applyAlignment="1">
      <alignment horizontal="right"/>
    </xf>
    <xf numFmtId="0" fontId="11" fillId="0" borderId="20" xfId="0" applyFont="1" applyBorder="1"/>
    <xf numFmtId="0" fontId="0" fillId="0" borderId="20" xfId="0" applyBorder="1"/>
    <xf numFmtId="0" fontId="0" fillId="0" borderId="20" xfId="0" applyBorder="1" applyAlignment="1">
      <alignment horizontal="right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186" fontId="0" fillId="0" borderId="13" xfId="0" applyNumberFormat="1" applyBorder="1"/>
    <xf numFmtId="0" fontId="5" fillId="0" borderId="0" xfId="0" applyFont="1" applyBorder="1" applyAlignment="1">
      <alignment horizontal="left"/>
    </xf>
    <xf numFmtId="186" fontId="14" fillId="0" borderId="0" xfId="0" applyNumberFormat="1" applyFont="1" applyBorder="1"/>
    <xf numFmtId="38" fontId="14" fillId="0" borderId="22" xfId="0" applyNumberFormat="1" applyFont="1" applyFill="1" applyBorder="1" applyAlignment="1">
      <alignment horizontal="right"/>
    </xf>
    <xf numFmtId="0" fontId="14" fillId="0" borderId="0" xfId="0" applyFont="1" applyBorder="1" applyAlignment="1">
      <alignment horizontal="right"/>
    </xf>
    <xf numFmtId="38" fontId="14" fillId="0" borderId="4" xfId="0" applyNumberFormat="1" applyFont="1" applyFill="1" applyBorder="1" applyAlignment="1">
      <alignment horizontal="right"/>
    </xf>
    <xf numFmtId="38" fontId="10" fillId="0" borderId="0" xfId="0" applyNumberFormat="1" applyFont="1" applyFill="1"/>
    <xf numFmtId="49" fontId="14" fillId="0" borderId="4" xfId="0" applyNumberFormat="1" applyFont="1" applyFill="1" applyBorder="1" applyAlignment="1">
      <alignment horizontal="right"/>
    </xf>
    <xf numFmtId="49" fontId="10" fillId="0" borderId="0" xfId="0" applyNumberFormat="1" applyFont="1" applyFill="1"/>
    <xf numFmtId="0" fontId="1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9F5B-17AB-48D4-8C63-9BB3BF312341}">
  <sheetPr>
    <pageSetUpPr fitToPage="1"/>
  </sheetPr>
  <dimension ref="A1:V77"/>
  <sheetViews>
    <sheetView tabSelected="1" topLeftCell="A10" zoomScaleNormal="100" workbookViewId="0">
      <selection activeCell="J9" sqref="J9"/>
    </sheetView>
  </sheetViews>
  <sheetFormatPr defaultRowHeight="12.75" x14ac:dyDescent="0.35"/>
  <cols>
    <col min="1" max="1" width="29.73046875" customWidth="1"/>
    <col min="2" max="2" width="19.1328125" customWidth="1"/>
    <col min="3" max="3" width="2.73046875" customWidth="1"/>
    <col min="4" max="4" width="16" customWidth="1"/>
    <col min="5" max="5" width="2.73046875" customWidth="1"/>
    <col min="6" max="6" width="16.265625" customWidth="1"/>
    <col min="7" max="7" width="2.73046875" customWidth="1"/>
    <col min="8" max="8" width="16.265625" customWidth="1"/>
    <col min="9" max="9" width="2.73046875" customWidth="1"/>
    <col min="10" max="10" width="16.265625" customWidth="1"/>
    <col min="11" max="11" width="2.73046875" customWidth="1"/>
    <col min="12" max="12" width="16.3984375" customWidth="1"/>
    <col min="13" max="13" width="2.73046875" customWidth="1"/>
    <col min="14" max="14" width="16.59765625" customWidth="1"/>
    <col min="15" max="15" width="13.73046875" customWidth="1"/>
    <col min="16" max="16" width="13.59765625" customWidth="1"/>
  </cols>
  <sheetData>
    <row r="1" spans="1:16" ht="15.75" customHeight="1" x14ac:dyDescent="0.4">
      <c r="A1" s="46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 x14ac:dyDescent="0.4">
      <c r="A2" s="46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 customHeight="1" x14ac:dyDescent="0.4">
      <c r="A3" s="83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 x14ac:dyDescent="0.4">
      <c r="A4" s="86" t="s">
        <v>46</v>
      </c>
      <c r="B4" s="84">
        <f ca="1">NOW()</f>
        <v>46107.022359722221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3.15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66"/>
      <c r="B6" s="8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8"/>
    </row>
    <row r="7" spans="1:16" x14ac:dyDescent="0.35">
      <c r="A7" s="70" t="s">
        <v>43</v>
      </c>
      <c r="B7" s="91"/>
      <c r="C7" s="91"/>
      <c r="D7" s="91"/>
      <c r="E7" s="91"/>
      <c r="F7" s="91"/>
      <c r="G7" s="3"/>
      <c r="H7" s="71" t="s">
        <v>47</v>
      </c>
      <c r="I7" s="3"/>
      <c r="J7" s="3"/>
      <c r="K7" s="3"/>
      <c r="L7" s="47" t="s">
        <v>91</v>
      </c>
      <c r="M7" s="3"/>
      <c r="N7" s="72"/>
    </row>
    <row r="8" spans="1:16" x14ac:dyDescent="0.35">
      <c r="A8" s="70" t="s">
        <v>42</v>
      </c>
      <c r="B8" s="91"/>
      <c r="C8" s="91"/>
      <c r="D8" s="91"/>
      <c r="E8" s="91"/>
      <c r="F8" s="91"/>
      <c r="G8" s="3"/>
      <c r="H8" s="3"/>
      <c r="I8" s="3"/>
      <c r="J8" s="3"/>
      <c r="K8" s="3"/>
      <c r="L8" s="3"/>
      <c r="M8" s="3"/>
      <c r="N8" s="69"/>
    </row>
    <row r="9" spans="1:16" x14ac:dyDescent="0.35">
      <c r="A9" s="70" t="s">
        <v>41</v>
      </c>
      <c r="B9" s="91"/>
      <c r="C9" s="91"/>
      <c r="D9" s="91"/>
      <c r="E9" s="91"/>
      <c r="F9" s="91"/>
      <c r="G9" s="3"/>
      <c r="H9" s="49" t="s">
        <v>79</v>
      </c>
      <c r="I9" s="3"/>
      <c r="J9" s="25"/>
      <c r="K9" s="49"/>
      <c r="L9" s="49" t="s">
        <v>79</v>
      </c>
      <c r="M9" s="3"/>
      <c r="N9" s="73"/>
    </row>
    <row r="10" spans="1:16" x14ac:dyDescent="0.35">
      <c r="A10" s="70" t="s">
        <v>40</v>
      </c>
      <c r="B10" s="91"/>
      <c r="C10" s="91"/>
      <c r="D10" s="91"/>
      <c r="E10" s="91"/>
      <c r="F10" s="91"/>
      <c r="G10" s="3"/>
      <c r="H10" s="49" t="s">
        <v>80</v>
      </c>
      <c r="I10" s="3"/>
      <c r="J10" s="63"/>
      <c r="K10" s="49"/>
      <c r="L10" s="49" t="s">
        <v>80</v>
      </c>
      <c r="M10" s="3"/>
      <c r="N10" s="74"/>
    </row>
    <row r="11" spans="1:16" x14ac:dyDescent="0.35">
      <c r="A11" s="70" t="s">
        <v>44</v>
      </c>
      <c r="B11" s="91"/>
      <c r="C11" s="91"/>
      <c r="D11" s="91"/>
      <c r="E11" s="91"/>
      <c r="F11" s="91"/>
      <c r="G11" s="3"/>
      <c r="H11" s="49" t="s">
        <v>81</v>
      </c>
      <c r="I11" s="3"/>
      <c r="J11" s="64"/>
      <c r="K11" s="49"/>
      <c r="L11" s="49" t="s">
        <v>81</v>
      </c>
      <c r="M11" s="3"/>
      <c r="N11" s="75"/>
    </row>
    <row r="12" spans="1:16" x14ac:dyDescent="0.35">
      <c r="A12" s="70" t="s">
        <v>0</v>
      </c>
      <c r="B12" s="91"/>
      <c r="C12" s="91"/>
      <c r="D12" s="91"/>
      <c r="E12" s="91"/>
      <c r="F12" s="91"/>
      <c r="G12" s="3"/>
      <c r="H12" s="49" t="s">
        <v>82</v>
      </c>
      <c r="I12" s="3"/>
      <c r="J12" s="63"/>
      <c r="K12" s="3"/>
      <c r="L12" s="49" t="s">
        <v>82</v>
      </c>
      <c r="M12" s="3"/>
      <c r="N12" s="74"/>
    </row>
    <row r="13" spans="1:16" ht="13.15" thickBot="1" x14ac:dyDescent="0.4">
      <c r="A13" s="76"/>
      <c r="B13" s="77"/>
      <c r="C13" s="78"/>
      <c r="D13" s="78"/>
      <c r="E13" s="78"/>
      <c r="F13" s="78"/>
      <c r="G13" s="78"/>
      <c r="H13" s="79"/>
      <c r="I13" s="78"/>
      <c r="J13" s="80"/>
      <c r="K13" s="78"/>
      <c r="L13" s="79"/>
      <c r="M13" s="78"/>
      <c r="N13" s="81"/>
    </row>
    <row r="15" spans="1:16" ht="13.15" x14ac:dyDescent="0.4">
      <c r="A15" s="6" t="s">
        <v>1</v>
      </c>
      <c r="B15" s="3"/>
      <c r="C15" s="18"/>
      <c r="D15" s="52" t="s">
        <v>66</v>
      </c>
      <c r="E15" s="24"/>
      <c r="F15" s="53"/>
      <c r="G15" s="24"/>
      <c r="H15" s="54"/>
      <c r="I15" s="26"/>
      <c r="J15" s="47"/>
      <c r="K15" s="3"/>
      <c r="L15" s="3"/>
      <c r="M15" s="3"/>
      <c r="N15" s="48"/>
      <c r="O15" s="3"/>
    </row>
    <row r="16" spans="1:16" ht="13.15" x14ac:dyDescent="0.4">
      <c r="C16" s="19"/>
      <c r="D16" s="9"/>
      <c r="E16" s="27"/>
      <c r="F16" s="20"/>
      <c r="G16" s="28"/>
      <c r="H16" s="55"/>
      <c r="I16" s="28"/>
      <c r="J16" s="3"/>
      <c r="K16" s="49"/>
      <c r="L16" s="49"/>
      <c r="M16" s="49"/>
      <c r="N16" s="35"/>
      <c r="O16" s="3"/>
    </row>
    <row r="17" spans="1:22" ht="13.15" x14ac:dyDescent="0.4">
      <c r="A17" t="s">
        <v>48</v>
      </c>
      <c r="B17" s="29"/>
      <c r="D17" s="56" t="s">
        <v>67</v>
      </c>
      <c r="E17" s="27"/>
      <c r="F17" s="51" t="s">
        <v>76</v>
      </c>
      <c r="G17" s="28"/>
      <c r="H17" s="55" t="s">
        <v>49</v>
      </c>
      <c r="I17" s="28"/>
      <c r="J17" s="3"/>
      <c r="K17" s="49"/>
      <c r="L17" s="49"/>
      <c r="M17" s="49"/>
      <c r="N17" s="35"/>
      <c r="O17" s="3"/>
    </row>
    <row r="18" spans="1:22" ht="13.15" x14ac:dyDescent="0.4">
      <c r="A18" t="s">
        <v>45</v>
      </c>
      <c r="B18" s="29"/>
      <c r="D18" s="57" t="s">
        <v>68</v>
      </c>
      <c r="E18" s="27"/>
      <c r="F18" s="51">
        <v>0.70833333333333337</v>
      </c>
      <c r="G18" s="28"/>
      <c r="H18" s="55" t="s">
        <v>73</v>
      </c>
      <c r="I18" s="28"/>
      <c r="J18" s="3"/>
      <c r="K18" s="49"/>
      <c r="L18" s="49"/>
      <c r="M18" s="49"/>
      <c r="N18" s="35"/>
      <c r="O18" s="3"/>
    </row>
    <row r="19" spans="1:22" ht="13.15" x14ac:dyDescent="0.4">
      <c r="A19" s="4" t="s">
        <v>74</v>
      </c>
      <c r="B19" s="30"/>
      <c r="D19" s="58" t="s">
        <v>69</v>
      </c>
      <c r="E19" s="27"/>
      <c r="F19" s="51">
        <v>0.375</v>
      </c>
      <c r="G19" s="28"/>
      <c r="H19" s="55" t="s">
        <v>71</v>
      </c>
      <c r="I19" s="28"/>
      <c r="J19" s="12"/>
      <c r="K19" s="3"/>
      <c r="L19" s="3"/>
      <c r="M19" s="3"/>
      <c r="N19" s="3"/>
      <c r="O19" s="3"/>
      <c r="P19" s="13"/>
    </row>
    <row r="20" spans="1:22" ht="13.15" x14ac:dyDescent="0.4">
      <c r="A20" s="4" t="s">
        <v>75</v>
      </c>
      <c r="B20" s="50"/>
      <c r="D20" s="58" t="s">
        <v>70</v>
      </c>
      <c r="E20" s="27"/>
      <c r="F20" s="51">
        <v>0.66666666666666663</v>
      </c>
      <c r="G20" s="28"/>
      <c r="H20" s="55" t="s">
        <v>72</v>
      </c>
      <c r="I20" s="28"/>
      <c r="J20" s="12"/>
      <c r="K20" s="3"/>
      <c r="L20" s="3"/>
      <c r="M20" s="3"/>
      <c r="N20" s="3"/>
      <c r="O20" s="3"/>
    </row>
    <row r="21" spans="1:22" ht="13.15" x14ac:dyDescent="0.4">
      <c r="A21" t="s">
        <v>51</v>
      </c>
      <c r="B21" s="29"/>
      <c r="D21" s="59"/>
      <c r="E21" s="60"/>
      <c r="F21" s="22" t="s">
        <v>78</v>
      </c>
      <c r="G21" s="61"/>
      <c r="H21" s="62"/>
      <c r="I21" s="28"/>
      <c r="J21" s="12"/>
      <c r="K21" s="11"/>
      <c r="L21" s="11"/>
      <c r="M21" s="11"/>
      <c r="N21" s="11"/>
      <c r="O21" s="10"/>
      <c r="P21" s="5"/>
    </row>
    <row r="22" spans="1:22" ht="13.15" x14ac:dyDescent="0.4">
      <c r="B22" s="45" t="s">
        <v>56</v>
      </c>
      <c r="C22" s="19"/>
      <c r="D22" s="19"/>
      <c r="E22" s="27"/>
      <c r="F22" s="20"/>
      <c r="G22" s="28"/>
      <c r="H22" s="20"/>
      <c r="I22" s="28"/>
      <c r="J22" s="12"/>
    </row>
    <row r="23" spans="1:22" ht="13.15" x14ac:dyDescent="0.4">
      <c r="B23" s="45"/>
      <c r="C23" s="19"/>
      <c r="D23" s="19"/>
      <c r="E23" s="27"/>
      <c r="F23" s="20"/>
      <c r="G23" s="28"/>
      <c r="H23" s="20"/>
      <c r="I23" s="28"/>
      <c r="J23" s="12"/>
    </row>
    <row r="24" spans="1:22" ht="13.15" x14ac:dyDescent="0.4">
      <c r="B24" s="7"/>
      <c r="C24" s="19"/>
      <c r="D24" s="19"/>
      <c r="E24" s="27"/>
      <c r="F24" s="20"/>
      <c r="G24" s="28"/>
      <c r="H24" s="20"/>
      <c r="I24" s="28"/>
      <c r="J24" s="12"/>
    </row>
    <row r="25" spans="1:22" x14ac:dyDescent="0.35">
      <c r="B25" s="21" t="s">
        <v>2</v>
      </c>
      <c r="C25" s="21"/>
      <c r="D25" s="21" t="s">
        <v>2</v>
      </c>
      <c r="E25" s="19"/>
      <c r="F25" s="21" t="s">
        <v>2</v>
      </c>
      <c r="G25" s="23"/>
      <c r="H25" s="21" t="s">
        <v>2</v>
      </c>
      <c r="I25" s="5"/>
      <c r="J25" s="5" t="s">
        <v>2</v>
      </c>
      <c r="K25" s="5"/>
      <c r="L25" s="5" t="s">
        <v>2</v>
      </c>
      <c r="M25" s="5"/>
      <c r="N25" s="5" t="s">
        <v>65</v>
      </c>
    </row>
    <row r="26" spans="1:22" x14ac:dyDescent="0.35">
      <c r="A26" s="8"/>
      <c r="B26" s="21" t="s">
        <v>3</v>
      </c>
      <c r="C26" s="21"/>
      <c r="D26" s="21" t="s">
        <v>3</v>
      </c>
      <c r="E26" s="19"/>
      <c r="F26" s="21" t="s">
        <v>3</v>
      </c>
      <c r="G26" s="19"/>
      <c r="H26" s="21" t="s">
        <v>3</v>
      </c>
      <c r="I26" s="5"/>
      <c r="J26" s="5" t="s">
        <v>3</v>
      </c>
      <c r="K26" s="5"/>
      <c r="L26" s="5" t="s">
        <v>3</v>
      </c>
      <c r="M26" s="5"/>
      <c r="N26" s="5" t="s">
        <v>85</v>
      </c>
    </row>
    <row r="27" spans="1:22" x14ac:dyDescent="0.35">
      <c r="B27" s="21" t="s">
        <v>4</v>
      </c>
      <c r="C27" s="21"/>
      <c r="D27" s="21" t="s">
        <v>5</v>
      </c>
      <c r="E27" s="19"/>
      <c r="F27" s="21" t="s">
        <v>6</v>
      </c>
      <c r="G27" s="19"/>
      <c r="H27" s="21" t="s">
        <v>7</v>
      </c>
      <c r="I27" s="5"/>
      <c r="J27" s="5" t="s">
        <v>8</v>
      </c>
      <c r="K27" s="5"/>
      <c r="L27" s="5" t="s">
        <v>77</v>
      </c>
      <c r="M27" s="5"/>
      <c r="N27" s="5" t="s">
        <v>53</v>
      </c>
    </row>
    <row r="28" spans="1:22" ht="13.15" x14ac:dyDescent="0.4">
      <c r="A28" t="s">
        <v>9</v>
      </c>
      <c r="B28" s="33" t="s">
        <v>54</v>
      </c>
      <c r="C28" s="32"/>
      <c r="D28" s="33" t="s">
        <v>54</v>
      </c>
      <c r="E28" s="32"/>
      <c r="F28" s="33" t="s">
        <v>54</v>
      </c>
      <c r="G28" s="31"/>
      <c r="H28" s="33" t="s">
        <v>54</v>
      </c>
      <c r="I28" s="31"/>
      <c r="J28" s="33" t="s">
        <v>10</v>
      </c>
      <c r="K28" s="31"/>
      <c r="L28" s="33" t="s">
        <v>54</v>
      </c>
      <c r="M28" s="31"/>
      <c r="N28" s="31"/>
    </row>
    <row r="29" spans="1:22" ht="13.15" x14ac:dyDescent="0.4">
      <c r="A29" t="s">
        <v>11</v>
      </c>
      <c r="B29" s="34" t="s">
        <v>86</v>
      </c>
      <c r="C29" s="32"/>
      <c r="D29" s="34" t="s">
        <v>86</v>
      </c>
      <c r="E29" s="32"/>
      <c r="F29" s="34" t="s">
        <v>86</v>
      </c>
      <c r="G29" s="31"/>
      <c r="H29" s="34" t="s">
        <v>86</v>
      </c>
      <c r="I29" s="31"/>
      <c r="J29" s="34" t="s">
        <v>86</v>
      </c>
      <c r="K29" s="31"/>
      <c r="L29" s="34" t="s">
        <v>50</v>
      </c>
      <c r="M29" s="31"/>
      <c r="N29" s="31"/>
      <c r="V29" s="7" t="s">
        <v>52</v>
      </c>
    </row>
    <row r="30" spans="1:22" ht="13.5" thickBot="1" x14ac:dyDescent="0.45">
      <c r="A30" t="s">
        <v>83</v>
      </c>
      <c r="B30" s="34">
        <v>78069</v>
      </c>
      <c r="C30" s="32"/>
      <c r="D30" s="34">
        <v>78069</v>
      </c>
      <c r="E30" s="32"/>
      <c r="F30" s="34">
        <v>78069</v>
      </c>
      <c r="G30" s="31"/>
      <c r="H30" s="34">
        <v>78069</v>
      </c>
      <c r="I30" s="31"/>
      <c r="J30" s="34">
        <v>288615</v>
      </c>
      <c r="K30" s="31"/>
      <c r="L30" s="34">
        <v>78069</v>
      </c>
      <c r="M30" s="31"/>
      <c r="N30" s="31"/>
      <c r="V30" s="7" t="s">
        <v>13</v>
      </c>
    </row>
    <row r="31" spans="1:22" ht="13.5" thickBot="1" x14ac:dyDescent="0.45">
      <c r="A31" t="s">
        <v>84</v>
      </c>
      <c r="B31" s="87">
        <v>25000</v>
      </c>
      <c r="C31" s="88"/>
      <c r="D31" s="87">
        <v>5000</v>
      </c>
      <c r="E31" s="44"/>
      <c r="F31" s="42"/>
      <c r="G31" s="43"/>
      <c r="H31" s="42"/>
      <c r="I31" s="43"/>
      <c r="J31" s="42"/>
      <c r="K31" s="43"/>
      <c r="L31" s="42"/>
      <c r="M31" s="43"/>
      <c r="N31" s="85">
        <f>SUM(B31:L31)</f>
        <v>30000</v>
      </c>
      <c r="V31" s="7" t="s">
        <v>16</v>
      </c>
    </row>
    <row r="32" spans="1:22" ht="13.15" x14ac:dyDescent="0.4">
      <c r="A32" t="s">
        <v>60</v>
      </c>
      <c r="B32" s="89" t="s">
        <v>87</v>
      </c>
      <c r="C32" s="90"/>
      <c r="D32" s="89" t="s">
        <v>88</v>
      </c>
      <c r="E32" s="40"/>
      <c r="F32" s="38"/>
      <c r="G32" s="39"/>
      <c r="H32" s="38"/>
      <c r="I32" s="39"/>
      <c r="J32" s="38"/>
      <c r="K32" s="39"/>
      <c r="L32" s="38"/>
      <c r="M32" s="39"/>
      <c r="N32" s="39"/>
      <c r="V32" s="7" t="s">
        <v>18</v>
      </c>
    </row>
    <row r="33" spans="1:22" ht="13.15" x14ac:dyDescent="0.4">
      <c r="A33" t="s">
        <v>62</v>
      </c>
      <c r="B33" s="38"/>
      <c r="C33" s="40"/>
      <c r="D33" s="38"/>
      <c r="E33" s="40"/>
      <c r="F33" s="38"/>
      <c r="G33" s="39"/>
      <c r="H33" s="38"/>
      <c r="I33" s="39"/>
      <c r="J33" s="38"/>
      <c r="K33" s="39"/>
      <c r="L33" s="38"/>
      <c r="M33" s="39"/>
      <c r="N33" s="39"/>
      <c r="V33" s="7" t="s">
        <v>18</v>
      </c>
    </row>
    <row r="34" spans="1:22" ht="13.15" x14ac:dyDescent="0.4">
      <c r="A34" t="s">
        <v>20</v>
      </c>
      <c r="B34" s="38" t="s">
        <v>89</v>
      </c>
      <c r="C34" s="40"/>
      <c r="D34" s="38" t="s">
        <v>89</v>
      </c>
      <c r="E34" s="40"/>
      <c r="F34" s="38"/>
      <c r="G34" s="39"/>
      <c r="H34" s="38"/>
      <c r="I34" s="39"/>
      <c r="J34" s="38"/>
      <c r="K34" s="39"/>
      <c r="L34" s="38" t="s">
        <v>55</v>
      </c>
      <c r="M34" s="39"/>
      <c r="N34" s="39"/>
      <c r="V34" s="7" t="s">
        <v>21</v>
      </c>
    </row>
    <row r="35" spans="1:22" x14ac:dyDescent="0.35">
      <c r="N35" s="3"/>
    </row>
    <row r="36" spans="1:22" ht="13.15" x14ac:dyDescent="0.4">
      <c r="A36" t="s">
        <v>61</v>
      </c>
      <c r="B36" s="89" t="s">
        <v>90</v>
      </c>
      <c r="C36" s="90"/>
      <c r="D36" s="89" t="s">
        <v>90</v>
      </c>
      <c r="E36" s="40"/>
      <c r="F36" s="38" t="s">
        <v>90</v>
      </c>
      <c r="G36" s="39"/>
      <c r="H36" s="38" t="s">
        <v>90</v>
      </c>
      <c r="I36" s="39"/>
      <c r="J36" s="38" t="s">
        <v>90</v>
      </c>
      <c r="K36" s="39"/>
      <c r="L36" s="38"/>
      <c r="M36" s="39"/>
      <c r="N36" s="39"/>
      <c r="V36" s="7" t="s">
        <v>25</v>
      </c>
    </row>
    <row r="37" spans="1:22" ht="13.15" x14ac:dyDescent="0.4">
      <c r="A37" t="s">
        <v>22</v>
      </c>
      <c r="B37" s="38" t="s">
        <v>89</v>
      </c>
      <c r="C37" s="40"/>
      <c r="D37" s="38" t="s">
        <v>89</v>
      </c>
      <c r="E37" s="40"/>
      <c r="F37" s="38" t="s">
        <v>89</v>
      </c>
      <c r="G37" s="39"/>
      <c r="H37" s="38" t="s">
        <v>89</v>
      </c>
      <c r="I37" s="39"/>
      <c r="J37" s="38" t="s">
        <v>89</v>
      </c>
      <c r="K37" s="39"/>
      <c r="L37" s="38" t="s">
        <v>59</v>
      </c>
      <c r="M37" s="39"/>
      <c r="N37" s="39"/>
      <c r="V37" s="7" t="s">
        <v>23</v>
      </c>
    </row>
    <row r="38" spans="1:22" ht="13.15" x14ac:dyDescent="0.4">
      <c r="A38" t="s">
        <v>63</v>
      </c>
      <c r="B38" s="41" t="s">
        <v>64</v>
      </c>
      <c r="C38" s="40"/>
      <c r="D38" s="41" t="s">
        <v>64</v>
      </c>
      <c r="E38" s="40"/>
      <c r="F38" s="41" t="s">
        <v>64</v>
      </c>
      <c r="G38" s="39"/>
      <c r="H38" s="41" t="s">
        <v>64</v>
      </c>
      <c r="I38" s="39"/>
      <c r="J38" s="41" t="s">
        <v>64</v>
      </c>
      <c r="K38" s="39"/>
      <c r="L38" s="41" t="s">
        <v>64</v>
      </c>
      <c r="M38" s="39"/>
      <c r="N38" s="39"/>
      <c r="V38" s="7"/>
    </row>
    <row r="40" spans="1:22" ht="13.15" x14ac:dyDescent="0.4">
      <c r="A40" s="10" t="s">
        <v>57</v>
      </c>
      <c r="G40" s="37"/>
      <c r="H40" s="7"/>
    </row>
    <row r="41" spans="1:22" x14ac:dyDescent="0.35">
      <c r="A41" t="s">
        <v>58</v>
      </c>
    </row>
    <row r="44" spans="1:22" x14ac:dyDescent="0.35">
      <c r="A44" s="65" t="str">
        <f ca="1">CELL("filename")</f>
        <v>D:\glllllly\fillexcel\excel-filling\benchmark\excel_v1.5\[1_NOMS_01_24_02.xls]Citizens-Draft</v>
      </c>
    </row>
    <row r="63" spans="2:9" ht="13.15" x14ac:dyDescent="0.4">
      <c r="B63" s="15" t="s">
        <v>28</v>
      </c>
      <c r="I63" s="15" t="s">
        <v>29</v>
      </c>
    </row>
    <row r="65" spans="1:17" x14ac:dyDescent="0.35">
      <c r="C65" s="1" t="s">
        <v>30</v>
      </c>
      <c r="E65" s="14" t="s">
        <v>31</v>
      </c>
      <c r="J65" s="1"/>
      <c r="K65" s="14" t="s">
        <v>31</v>
      </c>
      <c r="L65" s="36"/>
      <c r="M65" s="36"/>
      <c r="N65" s="36"/>
      <c r="O65" s="16"/>
      <c r="P65" s="14" t="s">
        <v>32</v>
      </c>
      <c r="Q65" s="1"/>
    </row>
    <row r="66" spans="1:17" x14ac:dyDescent="0.35">
      <c r="A66" t="s">
        <v>9</v>
      </c>
      <c r="C66" s="5" t="s">
        <v>33</v>
      </c>
      <c r="D66" s="5"/>
      <c r="E66" s="5" t="s">
        <v>33</v>
      </c>
      <c r="I66" t="s">
        <v>9</v>
      </c>
      <c r="K66" s="5" t="s">
        <v>33</v>
      </c>
      <c r="L66" s="5"/>
      <c r="M66" s="5"/>
      <c r="N66" s="5"/>
      <c r="O66" s="5"/>
    </row>
    <row r="67" spans="1:17" x14ac:dyDescent="0.35">
      <c r="A67" t="s">
        <v>11</v>
      </c>
      <c r="C67" s="5" t="s">
        <v>33</v>
      </c>
      <c r="D67" s="5"/>
      <c r="E67" s="5" t="s">
        <v>33</v>
      </c>
      <c r="I67" t="s">
        <v>11</v>
      </c>
      <c r="K67" s="5" t="s">
        <v>33</v>
      </c>
      <c r="L67" s="5"/>
      <c r="M67" s="5"/>
      <c r="N67" s="5"/>
      <c r="O67" s="5"/>
    </row>
    <row r="68" spans="1:17" x14ac:dyDescent="0.35">
      <c r="A68" t="s">
        <v>12</v>
      </c>
      <c r="C68" s="5" t="s">
        <v>33</v>
      </c>
      <c r="D68" s="5"/>
      <c r="E68" s="5" t="s">
        <v>33</v>
      </c>
      <c r="I68" t="s">
        <v>12</v>
      </c>
      <c r="K68" s="5" t="s">
        <v>33</v>
      </c>
      <c r="L68" s="5"/>
      <c r="M68" s="5"/>
      <c r="N68" s="5"/>
      <c r="O68" s="5"/>
    </row>
    <row r="69" spans="1:17" x14ac:dyDescent="0.35">
      <c r="A69" t="s">
        <v>14</v>
      </c>
      <c r="C69" s="5" t="s">
        <v>33</v>
      </c>
      <c r="D69" s="5"/>
      <c r="E69" s="5"/>
      <c r="I69" t="s">
        <v>14</v>
      </c>
      <c r="K69" s="5" t="s">
        <v>33</v>
      </c>
      <c r="L69" s="5"/>
      <c r="M69" s="5"/>
      <c r="N69" s="5"/>
      <c r="O69" s="5"/>
    </row>
    <row r="70" spans="1:17" x14ac:dyDescent="0.35">
      <c r="A70" t="s">
        <v>15</v>
      </c>
      <c r="C70" s="5" t="s">
        <v>33</v>
      </c>
      <c r="D70" s="5"/>
      <c r="E70" s="5" t="s">
        <v>33</v>
      </c>
      <c r="I70" t="s">
        <v>15</v>
      </c>
      <c r="K70" s="5" t="s">
        <v>33</v>
      </c>
      <c r="L70" s="5"/>
      <c r="M70" s="5"/>
      <c r="N70" s="5"/>
      <c r="O70" s="5"/>
    </row>
    <row r="71" spans="1:17" x14ac:dyDescent="0.35">
      <c r="A71" t="s">
        <v>17</v>
      </c>
      <c r="C71" s="5"/>
      <c r="D71" s="5"/>
      <c r="E71" s="5" t="s">
        <v>33</v>
      </c>
      <c r="I71" t="s">
        <v>17</v>
      </c>
      <c r="K71" s="5" t="s">
        <v>33</v>
      </c>
      <c r="L71" s="5"/>
      <c r="M71" s="5"/>
      <c r="N71" s="5"/>
      <c r="O71" s="5"/>
    </row>
    <row r="72" spans="1:17" x14ac:dyDescent="0.35">
      <c r="A72" t="s">
        <v>19</v>
      </c>
      <c r="C72" s="5"/>
      <c r="D72" s="5"/>
      <c r="E72" s="5" t="s">
        <v>33</v>
      </c>
      <c r="I72" t="s">
        <v>19</v>
      </c>
      <c r="K72" s="5"/>
      <c r="L72" s="5"/>
      <c r="M72" s="5"/>
      <c r="N72" s="5"/>
      <c r="O72" s="17" t="s">
        <v>34</v>
      </c>
    </row>
    <row r="73" spans="1:17" x14ac:dyDescent="0.35">
      <c r="A73" t="s">
        <v>20</v>
      </c>
      <c r="C73" s="5"/>
      <c r="D73" s="5"/>
      <c r="E73" s="5" t="s">
        <v>33</v>
      </c>
      <c r="I73" t="s">
        <v>20</v>
      </c>
      <c r="K73" s="5" t="s">
        <v>33</v>
      </c>
      <c r="L73" s="5"/>
      <c r="M73" s="5"/>
      <c r="N73" s="5"/>
      <c r="O73" s="5"/>
    </row>
    <row r="74" spans="1:17" x14ac:dyDescent="0.35">
      <c r="A74" t="s">
        <v>22</v>
      </c>
      <c r="C74" s="5"/>
      <c r="D74" s="5"/>
      <c r="E74" s="5"/>
      <c r="I74" t="s">
        <v>22</v>
      </c>
      <c r="K74" s="5" t="s">
        <v>33</v>
      </c>
      <c r="L74" s="5"/>
      <c r="M74" s="5"/>
      <c r="N74" s="5"/>
      <c r="O74" s="17" t="s">
        <v>35</v>
      </c>
      <c r="P74" s="5"/>
    </row>
    <row r="75" spans="1:17" x14ac:dyDescent="0.35">
      <c r="A75" t="s">
        <v>24</v>
      </c>
      <c r="C75" s="5"/>
      <c r="D75" s="5"/>
      <c r="E75" s="5"/>
      <c r="I75" t="s">
        <v>24</v>
      </c>
      <c r="K75" s="5" t="s">
        <v>33</v>
      </c>
      <c r="L75" s="5"/>
      <c r="M75" s="5"/>
      <c r="N75" s="5"/>
      <c r="O75" s="17" t="s">
        <v>36</v>
      </c>
      <c r="P75" s="5"/>
    </row>
    <row r="76" spans="1:17" x14ac:dyDescent="0.35">
      <c r="A76" t="s">
        <v>26</v>
      </c>
      <c r="C76" s="5" t="s">
        <v>33</v>
      </c>
      <c r="D76" s="5"/>
      <c r="E76" s="5"/>
      <c r="I76" t="s">
        <v>26</v>
      </c>
      <c r="K76" s="5" t="s">
        <v>33</v>
      </c>
      <c r="L76" s="5"/>
      <c r="M76" s="5"/>
      <c r="N76" s="5"/>
      <c r="O76" s="5"/>
      <c r="P76" s="5"/>
    </row>
    <row r="77" spans="1:17" x14ac:dyDescent="0.35">
      <c r="A77" t="s">
        <v>27</v>
      </c>
      <c r="C77" s="5" t="s">
        <v>33</v>
      </c>
      <c r="D77" s="5"/>
      <c r="E77" s="5"/>
      <c r="I77" t="s">
        <v>27</v>
      </c>
      <c r="K77" s="5" t="s">
        <v>33</v>
      </c>
      <c r="L77" s="5"/>
      <c r="M77" s="5"/>
      <c r="N77" s="5"/>
      <c r="O77" s="5"/>
      <c r="P77" s="5"/>
    </row>
  </sheetData>
  <mergeCells count="6">
    <mergeCell ref="B7:F7"/>
    <mergeCell ref="B8:F8"/>
    <mergeCell ref="B9:F9"/>
    <mergeCell ref="B10:F10"/>
    <mergeCell ref="B11:F11"/>
    <mergeCell ref="B12:F12"/>
  </mergeCells>
  <phoneticPr fontId="0" type="noConversion"/>
  <pageMargins left="0.75" right="0.75" top="1" bottom="1" header="0.5" footer="0.5"/>
  <pageSetup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Citizens-Draft</vt:lpstr>
      <vt:lpstr>'Citizens-Draft'!Print_Area</vt:lpstr>
    </vt:vector>
  </TitlesOfParts>
  <Company>SWG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SWG</dc:creator>
  <cp:lastModifiedBy>ly Gu</cp:lastModifiedBy>
  <cp:lastPrinted>2002-01-23T15:19:25Z</cp:lastPrinted>
  <dcterms:created xsi:type="dcterms:W3CDTF">1997-05-09T23:58:43Z</dcterms:created>
  <dcterms:modified xsi:type="dcterms:W3CDTF">2026-03-25T16:32:12Z</dcterms:modified>
</cp:coreProperties>
</file>