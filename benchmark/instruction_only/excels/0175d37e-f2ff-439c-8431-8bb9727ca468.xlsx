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BE987D9F-9CF4-44BE-B874-812C84AFA52E}" xr6:coauthVersionLast="47" xr6:coauthVersionMax="47" xr10:uidLastSave="{00000000-0000-0000-0000-000000000000}"/>
  <workbookProtection workbookPassword="96B1" lockStructure="1"/>
  <bookViews>
    <workbookView xWindow="3308" yWindow="3308" windowWidth="17280" windowHeight="9982" tabRatio="572" xr2:uid="{4FAADE5B-4E3C-472A-8FCE-9D29707B8EFF}"/>
  </bookViews>
  <sheets>
    <sheet name="Info" sheetId="6" r:id="rId1"/>
    <sheet name="Page1" sheetId="7" r:id="rId2"/>
    <sheet name="Page2" sheetId="9" r:id="rId3"/>
    <sheet name="Page3" sheetId="10" r:id="rId4"/>
    <sheet name="Page4" sheetId="11" r:id="rId5"/>
    <sheet name="Page5" sheetId="12" r:id="rId6"/>
    <sheet name="Page6" sheetId="13" r:id="rId7"/>
    <sheet name="Page7" sheetId="14" r:id="rId8"/>
    <sheet name="Page8" sheetId="15" r:id="rId9"/>
    <sheet name="Page9" sheetId="16" r:id="rId10"/>
    <sheet name="Page10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7" l="1"/>
  <c r="K3" i="7"/>
  <c r="C7" i="7"/>
  <c r="I7" i="7"/>
  <c r="C8" i="7"/>
  <c r="I8" i="7"/>
  <c r="C9" i="7"/>
  <c r="I9" i="7"/>
  <c r="C10" i="7"/>
  <c r="I10" i="7"/>
  <c r="C11" i="7"/>
  <c r="I11" i="7"/>
  <c r="C12" i="7"/>
  <c r="I12" i="7"/>
  <c r="F18" i="7"/>
  <c r="F56" i="7" s="1"/>
  <c r="H18" i="7"/>
  <c r="F19" i="7"/>
  <c r="H19" i="7"/>
  <c r="F20" i="7"/>
  <c r="H20" i="7"/>
  <c r="F21" i="7"/>
  <c r="H21" i="7"/>
  <c r="F22" i="7"/>
  <c r="H22" i="7"/>
  <c r="F23" i="7"/>
  <c r="H23" i="7"/>
  <c r="F24" i="7"/>
  <c r="H24" i="7"/>
  <c r="I24" i="7"/>
  <c r="F25" i="7"/>
  <c r="H25" i="7"/>
  <c r="F26" i="7"/>
  <c r="H26" i="7"/>
  <c r="F27" i="7"/>
  <c r="H27" i="7"/>
  <c r="F28" i="7"/>
  <c r="H28" i="7"/>
  <c r="F29" i="7"/>
  <c r="H29" i="7"/>
  <c r="F30" i="7"/>
  <c r="H30" i="7"/>
  <c r="F31" i="7"/>
  <c r="H31" i="7"/>
  <c r="F32" i="7"/>
  <c r="H32" i="7"/>
  <c r="F33" i="7"/>
  <c r="H33" i="7"/>
  <c r="F34" i="7"/>
  <c r="H34" i="7"/>
  <c r="F35" i="7"/>
  <c r="H35" i="7"/>
  <c r="F36" i="7"/>
  <c r="H36" i="7"/>
  <c r="F37" i="7"/>
  <c r="H37" i="7"/>
  <c r="F38" i="7"/>
  <c r="H38" i="7"/>
  <c r="F39" i="7"/>
  <c r="H39" i="7"/>
  <c r="F40" i="7"/>
  <c r="H40" i="7"/>
  <c r="F41" i="7"/>
  <c r="H41" i="7"/>
  <c r="F42" i="7"/>
  <c r="H42" i="7"/>
  <c r="F43" i="7"/>
  <c r="H43" i="7"/>
  <c r="F44" i="7"/>
  <c r="H44" i="7"/>
  <c r="F45" i="7"/>
  <c r="H45" i="7"/>
  <c r="F46" i="7"/>
  <c r="H46" i="7"/>
  <c r="F47" i="7"/>
  <c r="H47" i="7"/>
  <c r="F48" i="7"/>
  <c r="H48" i="7"/>
  <c r="F49" i="7"/>
  <c r="H49" i="7"/>
  <c r="F50" i="7"/>
  <c r="H50" i="7"/>
  <c r="F51" i="7"/>
  <c r="H51" i="7"/>
  <c r="F52" i="7"/>
  <c r="H52" i="7"/>
  <c r="F53" i="7"/>
  <c r="H53" i="7"/>
  <c r="F54" i="7"/>
  <c r="H54" i="7"/>
  <c r="D60" i="7"/>
  <c r="C3" i="17"/>
  <c r="K3" i="17"/>
  <c r="C7" i="17"/>
  <c r="I7" i="17"/>
  <c r="C8" i="17"/>
  <c r="I8" i="17"/>
  <c r="C9" i="17"/>
  <c r="I9" i="17"/>
  <c r="C10" i="17"/>
  <c r="I10" i="17"/>
  <c r="C11" i="17"/>
  <c r="I11" i="17"/>
  <c r="C12" i="17"/>
  <c r="I12" i="17"/>
  <c r="F18" i="17"/>
  <c r="H18" i="17"/>
  <c r="F56" i="17" s="1"/>
  <c r="F19" i="17"/>
  <c r="H19" i="17"/>
  <c r="F20" i="17"/>
  <c r="H20" i="17"/>
  <c r="F21" i="17"/>
  <c r="H21" i="17"/>
  <c r="F22" i="17"/>
  <c r="H22" i="17"/>
  <c r="F23" i="17"/>
  <c r="H23" i="17"/>
  <c r="F24" i="17"/>
  <c r="H24" i="17"/>
  <c r="I24" i="17"/>
  <c r="F25" i="17"/>
  <c r="H25" i="17"/>
  <c r="F26" i="17"/>
  <c r="H26" i="17"/>
  <c r="F27" i="17"/>
  <c r="H27" i="17"/>
  <c r="F28" i="17"/>
  <c r="H28" i="17"/>
  <c r="F29" i="17"/>
  <c r="H29" i="17"/>
  <c r="F30" i="17"/>
  <c r="H30" i="17"/>
  <c r="F31" i="17"/>
  <c r="H31" i="17"/>
  <c r="F32" i="17"/>
  <c r="H32" i="17"/>
  <c r="F33" i="17"/>
  <c r="H33" i="17"/>
  <c r="F34" i="17"/>
  <c r="H34" i="17"/>
  <c r="F35" i="17"/>
  <c r="H35" i="17"/>
  <c r="F36" i="17"/>
  <c r="H36" i="17"/>
  <c r="F37" i="17"/>
  <c r="H37" i="17"/>
  <c r="F38" i="17"/>
  <c r="H38" i="17"/>
  <c r="F39" i="17"/>
  <c r="H39" i="17"/>
  <c r="F40" i="17"/>
  <c r="H40" i="17"/>
  <c r="F41" i="17"/>
  <c r="H41" i="17"/>
  <c r="F42" i="17"/>
  <c r="H42" i="17"/>
  <c r="F43" i="17"/>
  <c r="H43" i="17"/>
  <c r="F44" i="17"/>
  <c r="H44" i="17"/>
  <c r="F45" i="17"/>
  <c r="H45" i="17"/>
  <c r="F46" i="17"/>
  <c r="H46" i="17"/>
  <c r="F47" i="17"/>
  <c r="H47" i="17"/>
  <c r="F48" i="17"/>
  <c r="H48" i="17"/>
  <c r="F49" i="17"/>
  <c r="H49" i="17"/>
  <c r="F50" i="17"/>
  <c r="H50" i="17"/>
  <c r="F51" i="17"/>
  <c r="H51" i="17"/>
  <c r="F52" i="17"/>
  <c r="H52" i="17"/>
  <c r="F53" i="17"/>
  <c r="H53" i="17"/>
  <c r="F54" i="17"/>
  <c r="H54" i="17"/>
  <c r="D60" i="17"/>
  <c r="C3" i="9"/>
  <c r="K3" i="9"/>
  <c r="C7" i="9"/>
  <c r="I7" i="9"/>
  <c r="C8" i="9"/>
  <c r="I8" i="9"/>
  <c r="C9" i="9"/>
  <c r="I9" i="9"/>
  <c r="C10" i="9"/>
  <c r="I10" i="9"/>
  <c r="C11" i="9"/>
  <c r="I11" i="9"/>
  <c r="C12" i="9"/>
  <c r="I12" i="9"/>
  <c r="F18" i="9"/>
  <c r="H18" i="9"/>
  <c r="F19" i="9"/>
  <c r="H19" i="9"/>
  <c r="F20" i="9"/>
  <c r="H20" i="9"/>
  <c r="F21" i="9"/>
  <c r="H21" i="9"/>
  <c r="F22" i="9"/>
  <c r="H22" i="9"/>
  <c r="F23" i="9"/>
  <c r="H23" i="9"/>
  <c r="F24" i="9"/>
  <c r="H24" i="9"/>
  <c r="I24" i="9"/>
  <c r="F25" i="9"/>
  <c r="H25" i="9"/>
  <c r="F26" i="9"/>
  <c r="H26" i="9"/>
  <c r="F27" i="9"/>
  <c r="H27" i="9"/>
  <c r="F28" i="9"/>
  <c r="H28" i="9"/>
  <c r="F29" i="9"/>
  <c r="H29" i="9"/>
  <c r="F30" i="9"/>
  <c r="H30" i="9"/>
  <c r="F31" i="9"/>
  <c r="H31" i="9"/>
  <c r="F32" i="9"/>
  <c r="H32" i="9"/>
  <c r="F33" i="9"/>
  <c r="H33" i="9"/>
  <c r="F34" i="9"/>
  <c r="H34" i="9"/>
  <c r="F35" i="9"/>
  <c r="H35" i="9"/>
  <c r="F36" i="9"/>
  <c r="H36" i="9"/>
  <c r="F37" i="9"/>
  <c r="H37" i="9"/>
  <c r="F38" i="9"/>
  <c r="H38" i="9"/>
  <c r="F39" i="9"/>
  <c r="H39" i="9"/>
  <c r="F40" i="9"/>
  <c r="H40" i="9"/>
  <c r="F41" i="9"/>
  <c r="H41" i="9"/>
  <c r="F42" i="9"/>
  <c r="H42" i="9"/>
  <c r="F43" i="9"/>
  <c r="H43" i="9"/>
  <c r="F44" i="9"/>
  <c r="H44" i="9"/>
  <c r="F45" i="9"/>
  <c r="H45" i="9"/>
  <c r="F46" i="9"/>
  <c r="H46" i="9"/>
  <c r="F47" i="9"/>
  <c r="H47" i="9"/>
  <c r="F48" i="9"/>
  <c r="H48" i="9"/>
  <c r="F49" i="9"/>
  <c r="H49" i="9"/>
  <c r="F50" i="9"/>
  <c r="H50" i="9"/>
  <c r="F51" i="9"/>
  <c r="H51" i="9"/>
  <c r="F52" i="9"/>
  <c r="H52" i="9"/>
  <c r="F53" i="9"/>
  <c r="H53" i="9"/>
  <c r="F54" i="9"/>
  <c r="H54" i="9"/>
  <c r="F56" i="9"/>
  <c r="D60" i="9"/>
  <c r="C3" i="10"/>
  <c r="K3" i="10"/>
  <c r="C7" i="10"/>
  <c r="I7" i="10"/>
  <c r="C8" i="10"/>
  <c r="I8" i="10"/>
  <c r="C9" i="10"/>
  <c r="I9" i="10"/>
  <c r="C10" i="10"/>
  <c r="I10" i="10"/>
  <c r="C11" i="10"/>
  <c r="I11" i="10"/>
  <c r="C12" i="10"/>
  <c r="I12" i="10"/>
  <c r="F18" i="10"/>
  <c r="F56" i="10" s="1"/>
  <c r="H18" i="10"/>
  <c r="F19" i="10"/>
  <c r="H19" i="10"/>
  <c r="F20" i="10"/>
  <c r="H20" i="10"/>
  <c r="F21" i="10"/>
  <c r="H21" i="10"/>
  <c r="F22" i="10"/>
  <c r="H22" i="10"/>
  <c r="F23" i="10"/>
  <c r="H23" i="10"/>
  <c r="F24" i="10"/>
  <c r="H24" i="10"/>
  <c r="I24" i="10"/>
  <c r="F25" i="10"/>
  <c r="H25" i="10"/>
  <c r="F26" i="10"/>
  <c r="H26" i="10"/>
  <c r="F27" i="10"/>
  <c r="H27" i="10"/>
  <c r="F28" i="10"/>
  <c r="H28" i="10"/>
  <c r="F29" i="10"/>
  <c r="H29" i="10"/>
  <c r="F30" i="10"/>
  <c r="H30" i="10"/>
  <c r="F31" i="10"/>
  <c r="H31" i="10"/>
  <c r="F32" i="10"/>
  <c r="H32" i="10"/>
  <c r="F33" i="10"/>
  <c r="H33" i="10"/>
  <c r="F34" i="10"/>
  <c r="H34" i="10"/>
  <c r="F35" i="10"/>
  <c r="H35" i="10"/>
  <c r="F36" i="10"/>
  <c r="H36" i="10"/>
  <c r="F37" i="10"/>
  <c r="H37" i="10"/>
  <c r="F38" i="10"/>
  <c r="H38" i="10"/>
  <c r="F39" i="10"/>
  <c r="H39" i="10"/>
  <c r="F40" i="10"/>
  <c r="H40" i="10"/>
  <c r="F41" i="10"/>
  <c r="H41" i="10"/>
  <c r="F42" i="10"/>
  <c r="H42" i="10"/>
  <c r="F43" i="10"/>
  <c r="H43" i="10"/>
  <c r="F44" i="10"/>
  <c r="H44" i="10"/>
  <c r="F45" i="10"/>
  <c r="H45" i="10"/>
  <c r="F46" i="10"/>
  <c r="H46" i="10"/>
  <c r="F47" i="10"/>
  <c r="H47" i="10"/>
  <c r="F48" i="10"/>
  <c r="H48" i="10"/>
  <c r="F49" i="10"/>
  <c r="H49" i="10"/>
  <c r="F50" i="10"/>
  <c r="H50" i="10"/>
  <c r="F51" i="10"/>
  <c r="H51" i="10"/>
  <c r="F52" i="10"/>
  <c r="H52" i="10"/>
  <c r="F53" i="10"/>
  <c r="H53" i="10"/>
  <c r="F54" i="10"/>
  <c r="H54" i="10"/>
  <c r="D60" i="10"/>
  <c r="C3" i="11"/>
  <c r="K3" i="11"/>
  <c r="C7" i="11"/>
  <c r="I7" i="11"/>
  <c r="C8" i="11"/>
  <c r="I8" i="11"/>
  <c r="C9" i="11"/>
  <c r="I9" i="11"/>
  <c r="C10" i="11"/>
  <c r="I10" i="11"/>
  <c r="C11" i="11"/>
  <c r="I11" i="11"/>
  <c r="C12" i="11"/>
  <c r="I12" i="11"/>
  <c r="F18" i="11"/>
  <c r="F56" i="11" s="1"/>
  <c r="H18" i="11"/>
  <c r="F19" i="11"/>
  <c r="H19" i="11"/>
  <c r="F20" i="11"/>
  <c r="H20" i="11"/>
  <c r="F21" i="11"/>
  <c r="H21" i="11"/>
  <c r="F22" i="11"/>
  <c r="H22" i="11"/>
  <c r="F23" i="11"/>
  <c r="H23" i="11"/>
  <c r="F24" i="11"/>
  <c r="H24" i="11"/>
  <c r="I24" i="11"/>
  <c r="F25" i="11"/>
  <c r="H25" i="11"/>
  <c r="F26" i="11"/>
  <c r="H26" i="11"/>
  <c r="F27" i="11"/>
  <c r="H27" i="11"/>
  <c r="F28" i="11"/>
  <c r="H28" i="11"/>
  <c r="F29" i="11"/>
  <c r="H29" i="11"/>
  <c r="F30" i="11"/>
  <c r="H30" i="11"/>
  <c r="F31" i="11"/>
  <c r="H31" i="11"/>
  <c r="F32" i="11"/>
  <c r="H32" i="11"/>
  <c r="F33" i="11"/>
  <c r="H33" i="11"/>
  <c r="F34" i="11"/>
  <c r="H34" i="11"/>
  <c r="F35" i="11"/>
  <c r="H35" i="11"/>
  <c r="F36" i="11"/>
  <c r="H36" i="11"/>
  <c r="F37" i="11"/>
  <c r="H37" i="11"/>
  <c r="F38" i="11"/>
  <c r="H38" i="11"/>
  <c r="F39" i="11"/>
  <c r="H39" i="11"/>
  <c r="F40" i="11"/>
  <c r="H40" i="11"/>
  <c r="F41" i="11"/>
  <c r="H41" i="11"/>
  <c r="F42" i="11"/>
  <c r="H42" i="11"/>
  <c r="F43" i="11"/>
  <c r="H43" i="11"/>
  <c r="F44" i="11"/>
  <c r="H44" i="11"/>
  <c r="F45" i="11"/>
  <c r="H45" i="11"/>
  <c r="F46" i="11"/>
  <c r="H46" i="11"/>
  <c r="F47" i="11"/>
  <c r="H47" i="11"/>
  <c r="F48" i="11"/>
  <c r="H48" i="11"/>
  <c r="F49" i="11"/>
  <c r="H49" i="11"/>
  <c r="F50" i="11"/>
  <c r="H50" i="11"/>
  <c r="F51" i="11"/>
  <c r="H51" i="11"/>
  <c r="F52" i="11"/>
  <c r="H52" i="11"/>
  <c r="F53" i="11"/>
  <c r="H53" i="11"/>
  <c r="F54" i="11"/>
  <c r="H54" i="11"/>
  <c r="D60" i="11"/>
  <c r="C3" i="12"/>
  <c r="K3" i="12"/>
  <c r="C7" i="12"/>
  <c r="I7" i="12"/>
  <c r="C8" i="12"/>
  <c r="I8" i="12"/>
  <c r="C9" i="12"/>
  <c r="I9" i="12"/>
  <c r="C10" i="12"/>
  <c r="I10" i="12"/>
  <c r="C11" i="12"/>
  <c r="I11" i="12"/>
  <c r="C12" i="12"/>
  <c r="I12" i="12"/>
  <c r="F18" i="12"/>
  <c r="H18" i="12"/>
  <c r="F19" i="12"/>
  <c r="F56" i="12" s="1"/>
  <c r="H19" i="12"/>
  <c r="F20" i="12"/>
  <c r="H20" i="12"/>
  <c r="F21" i="12"/>
  <c r="H21" i="12"/>
  <c r="F22" i="12"/>
  <c r="H22" i="12"/>
  <c r="F23" i="12"/>
  <c r="H23" i="12"/>
  <c r="F24" i="12"/>
  <c r="H24" i="12"/>
  <c r="I24" i="12"/>
  <c r="F25" i="12"/>
  <c r="H25" i="12"/>
  <c r="F26" i="12"/>
  <c r="H26" i="12"/>
  <c r="F27" i="12"/>
  <c r="H27" i="12"/>
  <c r="F28" i="12"/>
  <c r="H28" i="12"/>
  <c r="F29" i="12"/>
  <c r="H29" i="12"/>
  <c r="F30" i="12"/>
  <c r="H30" i="12"/>
  <c r="F31" i="12"/>
  <c r="H31" i="12"/>
  <c r="F32" i="12"/>
  <c r="H32" i="12"/>
  <c r="F33" i="12"/>
  <c r="H33" i="12"/>
  <c r="F34" i="12"/>
  <c r="H34" i="12"/>
  <c r="F35" i="12"/>
  <c r="H35" i="12"/>
  <c r="F36" i="12"/>
  <c r="H36" i="12"/>
  <c r="F37" i="12"/>
  <c r="H37" i="12"/>
  <c r="F38" i="12"/>
  <c r="H38" i="12"/>
  <c r="F39" i="12"/>
  <c r="H39" i="12"/>
  <c r="F40" i="12"/>
  <c r="H40" i="12"/>
  <c r="F41" i="12"/>
  <c r="H41" i="12"/>
  <c r="F42" i="12"/>
  <c r="H42" i="12"/>
  <c r="F43" i="12"/>
  <c r="H43" i="12"/>
  <c r="F44" i="12"/>
  <c r="H44" i="12"/>
  <c r="F45" i="12"/>
  <c r="H45" i="12"/>
  <c r="F46" i="12"/>
  <c r="H46" i="12"/>
  <c r="F47" i="12"/>
  <c r="H47" i="12"/>
  <c r="F48" i="12"/>
  <c r="H48" i="12"/>
  <c r="F49" i="12"/>
  <c r="H49" i="12"/>
  <c r="F50" i="12"/>
  <c r="H50" i="12"/>
  <c r="F51" i="12"/>
  <c r="H51" i="12"/>
  <c r="F52" i="12"/>
  <c r="H52" i="12"/>
  <c r="F53" i="12"/>
  <c r="H53" i="12"/>
  <c r="F54" i="12"/>
  <c r="H54" i="12"/>
  <c r="D60" i="12"/>
  <c r="C3" i="13"/>
  <c r="K3" i="13"/>
  <c r="C7" i="13"/>
  <c r="I7" i="13"/>
  <c r="C8" i="13"/>
  <c r="I8" i="13"/>
  <c r="C9" i="13"/>
  <c r="I9" i="13"/>
  <c r="C10" i="13"/>
  <c r="I10" i="13"/>
  <c r="C11" i="13"/>
  <c r="I11" i="13"/>
  <c r="C12" i="13"/>
  <c r="I12" i="13"/>
  <c r="F18" i="13"/>
  <c r="H18" i="13"/>
  <c r="F19" i="13"/>
  <c r="H19" i="13"/>
  <c r="F20" i="13"/>
  <c r="H20" i="13"/>
  <c r="F21" i="13"/>
  <c r="H21" i="13"/>
  <c r="F22" i="13"/>
  <c r="H22" i="13"/>
  <c r="F23" i="13"/>
  <c r="H23" i="13"/>
  <c r="F24" i="13"/>
  <c r="F56" i="13" s="1"/>
  <c r="H24" i="13"/>
  <c r="I24" i="13"/>
  <c r="F25" i="13"/>
  <c r="H25" i="13"/>
  <c r="F26" i="13"/>
  <c r="H26" i="13"/>
  <c r="F27" i="13"/>
  <c r="H27" i="13"/>
  <c r="F28" i="13"/>
  <c r="H28" i="13"/>
  <c r="F29" i="13"/>
  <c r="H29" i="13"/>
  <c r="F30" i="13"/>
  <c r="H30" i="13"/>
  <c r="F31" i="13"/>
  <c r="H31" i="13"/>
  <c r="F32" i="13"/>
  <c r="H32" i="13"/>
  <c r="F33" i="13"/>
  <c r="H33" i="13"/>
  <c r="F34" i="13"/>
  <c r="H34" i="13"/>
  <c r="F35" i="13"/>
  <c r="H35" i="13"/>
  <c r="F36" i="13"/>
  <c r="H36" i="13"/>
  <c r="F37" i="13"/>
  <c r="H37" i="13"/>
  <c r="F38" i="13"/>
  <c r="H38" i="13"/>
  <c r="F39" i="13"/>
  <c r="H39" i="13"/>
  <c r="F40" i="13"/>
  <c r="H40" i="13"/>
  <c r="F41" i="13"/>
  <c r="H41" i="13"/>
  <c r="F42" i="13"/>
  <c r="H42" i="13"/>
  <c r="F43" i="13"/>
  <c r="H43" i="13"/>
  <c r="F44" i="13"/>
  <c r="H44" i="13"/>
  <c r="F45" i="13"/>
  <c r="H45" i="13"/>
  <c r="F46" i="13"/>
  <c r="H46" i="13"/>
  <c r="F47" i="13"/>
  <c r="H47" i="13"/>
  <c r="F48" i="13"/>
  <c r="H48" i="13"/>
  <c r="F49" i="13"/>
  <c r="H49" i="13"/>
  <c r="F50" i="13"/>
  <c r="H50" i="13"/>
  <c r="F51" i="13"/>
  <c r="H51" i="13"/>
  <c r="F52" i="13"/>
  <c r="H52" i="13"/>
  <c r="F53" i="13"/>
  <c r="H53" i="13"/>
  <c r="F54" i="13"/>
  <c r="H54" i="13"/>
  <c r="D60" i="13"/>
  <c r="C3" i="14"/>
  <c r="K3" i="14"/>
  <c r="C7" i="14"/>
  <c r="I7" i="14"/>
  <c r="C8" i="14"/>
  <c r="I8" i="14"/>
  <c r="C9" i="14"/>
  <c r="I9" i="14"/>
  <c r="C10" i="14"/>
  <c r="I10" i="14"/>
  <c r="C11" i="14"/>
  <c r="I11" i="14"/>
  <c r="C12" i="14"/>
  <c r="I12" i="14"/>
  <c r="F18" i="14"/>
  <c r="F56" i="14" s="1"/>
  <c r="H18" i="14"/>
  <c r="F19" i="14"/>
  <c r="H19" i="14"/>
  <c r="F20" i="14"/>
  <c r="H20" i="14"/>
  <c r="F21" i="14"/>
  <c r="H21" i="14"/>
  <c r="F22" i="14"/>
  <c r="H22" i="14"/>
  <c r="F23" i="14"/>
  <c r="H23" i="14"/>
  <c r="F24" i="14"/>
  <c r="H24" i="14"/>
  <c r="I24" i="14"/>
  <c r="F25" i="14"/>
  <c r="H25" i="14"/>
  <c r="F26" i="14"/>
  <c r="H26" i="14"/>
  <c r="F27" i="14"/>
  <c r="H27" i="14"/>
  <c r="F28" i="14"/>
  <c r="H28" i="14"/>
  <c r="F29" i="14"/>
  <c r="H29" i="14"/>
  <c r="F30" i="14"/>
  <c r="H30" i="14"/>
  <c r="F31" i="14"/>
  <c r="H31" i="14"/>
  <c r="F32" i="14"/>
  <c r="H32" i="14"/>
  <c r="F33" i="14"/>
  <c r="H33" i="14"/>
  <c r="F34" i="14"/>
  <c r="H34" i="14"/>
  <c r="F35" i="14"/>
  <c r="H35" i="14"/>
  <c r="F36" i="14"/>
  <c r="H36" i="14"/>
  <c r="F37" i="14"/>
  <c r="H37" i="14"/>
  <c r="F38" i="14"/>
  <c r="H38" i="14"/>
  <c r="F39" i="14"/>
  <c r="H39" i="14"/>
  <c r="F40" i="14"/>
  <c r="H40" i="14"/>
  <c r="F41" i="14"/>
  <c r="H41" i="14"/>
  <c r="F42" i="14"/>
  <c r="H42" i="14"/>
  <c r="F43" i="14"/>
  <c r="H43" i="14"/>
  <c r="F44" i="14"/>
  <c r="H44" i="14"/>
  <c r="F45" i="14"/>
  <c r="H45" i="14"/>
  <c r="F46" i="14"/>
  <c r="H46" i="14"/>
  <c r="F47" i="14"/>
  <c r="H47" i="14"/>
  <c r="F48" i="14"/>
  <c r="H48" i="14"/>
  <c r="F49" i="14"/>
  <c r="H49" i="14"/>
  <c r="F50" i="14"/>
  <c r="H50" i="14"/>
  <c r="F51" i="14"/>
  <c r="H51" i="14"/>
  <c r="F52" i="14"/>
  <c r="H52" i="14"/>
  <c r="F53" i="14"/>
  <c r="H53" i="14"/>
  <c r="F54" i="14"/>
  <c r="H54" i="14"/>
  <c r="D60" i="14"/>
  <c r="C3" i="15"/>
  <c r="K3" i="15"/>
  <c r="C7" i="15"/>
  <c r="I7" i="15"/>
  <c r="C8" i="15"/>
  <c r="I8" i="15"/>
  <c r="C9" i="15"/>
  <c r="I9" i="15"/>
  <c r="C10" i="15"/>
  <c r="I10" i="15"/>
  <c r="C11" i="15"/>
  <c r="I11" i="15"/>
  <c r="C12" i="15"/>
  <c r="I12" i="15"/>
  <c r="F18" i="15"/>
  <c r="F56" i="15" s="1"/>
  <c r="H18" i="15"/>
  <c r="F19" i="15"/>
  <c r="H19" i="15"/>
  <c r="F20" i="15"/>
  <c r="H20" i="15"/>
  <c r="F21" i="15"/>
  <c r="H21" i="15"/>
  <c r="F22" i="15"/>
  <c r="H22" i="15"/>
  <c r="F23" i="15"/>
  <c r="H23" i="15"/>
  <c r="F24" i="15"/>
  <c r="H24" i="15"/>
  <c r="I24" i="15"/>
  <c r="F25" i="15"/>
  <c r="H25" i="15"/>
  <c r="F26" i="15"/>
  <c r="H26" i="15"/>
  <c r="F27" i="15"/>
  <c r="H27" i="15"/>
  <c r="F28" i="15"/>
  <c r="H28" i="15"/>
  <c r="F29" i="15"/>
  <c r="H29" i="15"/>
  <c r="F30" i="15"/>
  <c r="H30" i="15"/>
  <c r="F31" i="15"/>
  <c r="H31" i="15"/>
  <c r="F32" i="15"/>
  <c r="H32" i="15"/>
  <c r="F33" i="15"/>
  <c r="H33" i="15"/>
  <c r="F34" i="15"/>
  <c r="H34" i="15"/>
  <c r="F35" i="15"/>
  <c r="H35" i="15"/>
  <c r="F36" i="15"/>
  <c r="H36" i="15"/>
  <c r="F37" i="15"/>
  <c r="H37" i="15"/>
  <c r="F38" i="15"/>
  <c r="H38" i="15"/>
  <c r="F39" i="15"/>
  <c r="H39" i="15"/>
  <c r="F40" i="15"/>
  <c r="H40" i="15"/>
  <c r="F41" i="15"/>
  <c r="H41" i="15"/>
  <c r="F42" i="15"/>
  <c r="H42" i="15"/>
  <c r="F43" i="15"/>
  <c r="H43" i="15"/>
  <c r="F44" i="15"/>
  <c r="H44" i="15"/>
  <c r="F45" i="15"/>
  <c r="H45" i="15"/>
  <c r="F46" i="15"/>
  <c r="H46" i="15"/>
  <c r="F47" i="15"/>
  <c r="H47" i="15"/>
  <c r="F48" i="15"/>
  <c r="H48" i="15"/>
  <c r="F49" i="15"/>
  <c r="H49" i="15"/>
  <c r="F50" i="15"/>
  <c r="H50" i="15"/>
  <c r="F51" i="15"/>
  <c r="H51" i="15"/>
  <c r="F52" i="15"/>
  <c r="H52" i="15"/>
  <c r="F53" i="15"/>
  <c r="H53" i="15"/>
  <c r="F54" i="15"/>
  <c r="H54" i="15"/>
  <c r="D60" i="15"/>
  <c r="C3" i="16"/>
  <c r="K3" i="16"/>
  <c r="C7" i="16"/>
  <c r="I7" i="16"/>
  <c r="C8" i="16"/>
  <c r="I8" i="16"/>
  <c r="C9" i="16"/>
  <c r="I9" i="16"/>
  <c r="C10" i="16"/>
  <c r="I10" i="16"/>
  <c r="C11" i="16"/>
  <c r="I11" i="16"/>
  <c r="C12" i="16"/>
  <c r="I12" i="16"/>
  <c r="F18" i="16"/>
  <c r="H18" i="16"/>
  <c r="F19" i="16"/>
  <c r="H19" i="16"/>
  <c r="F20" i="16"/>
  <c r="H20" i="16"/>
  <c r="F21" i="16"/>
  <c r="H21" i="16"/>
  <c r="F22" i="16"/>
  <c r="H22" i="16"/>
  <c r="F23" i="16"/>
  <c r="H23" i="16"/>
  <c r="F24" i="16"/>
  <c r="F56" i="16" s="1"/>
  <c r="H24" i="16"/>
  <c r="I24" i="16"/>
  <c r="F25" i="16"/>
  <c r="H25" i="16"/>
  <c r="F26" i="16"/>
  <c r="H26" i="16"/>
  <c r="F27" i="16"/>
  <c r="H27" i="16"/>
  <c r="F28" i="16"/>
  <c r="H28" i="16"/>
  <c r="F29" i="16"/>
  <c r="H29" i="16"/>
  <c r="F30" i="16"/>
  <c r="H30" i="16"/>
  <c r="F31" i="16"/>
  <c r="H31" i="16"/>
  <c r="F32" i="16"/>
  <c r="H32" i="16"/>
  <c r="F33" i="16"/>
  <c r="H33" i="16"/>
  <c r="F34" i="16"/>
  <c r="H34" i="16"/>
  <c r="F35" i="16"/>
  <c r="H35" i="16"/>
  <c r="F36" i="16"/>
  <c r="H36" i="16"/>
  <c r="F37" i="16"/>
  <c r="H37" i="16"/>
  <c r="F38" i="16"/>
  <c r="H38" i="16"/>
  <c r="F39" i="16"/>
  <c r="H39" i="16"/>
  <c r="F40" i="16"/>
  <c r="H40" i="16"/>
  <c r="F41" i="16"/>
  <c r="H41" i="16"/>
  <c r="F42" i="16"/>
  <c r="H42" i="16"/>
  <c r="F43" i="16"/>
  <c r="H43" i="16"/>
  <c r="F44" i="16"/>
  <c r="H44" i="16"/>
  <c r="F45" i="16"/>
  <c r="H45" i="16"/>
  <c r="F46" i="16"/>
  <c r="H46" i="16"/>
  <c r="F47" i="16"/>
  <c r="H47" i="16"/>
  <c r="F48" i="16"/>
  <c r="H48" i="16"/>
  <c r="F49" i="16"/>
  <c r="H49" i="16"/>
  <c r="F50" i="16"/>
  <c r="H50" i="16"/>
  <c r="F51" i="16"/>
  <c r="H51" i="16"/>
  <c r="F52" i="16"/>
  <c r="H52" i="16"/>
  <c r="F53" i="16"/>
  <c r="H53" i="16"/>
  <c r="F54" i="16"/>
  <c r="H54" i="16"/>
  <c r="D60" i="16"/>
</calcChain>
</file>

<file path=xl/sharedStrings.xml><?xml version="1.0" encoding="utf-8"?>
<sst xmlns="http://schemas.openxmlformats.org/spreadsheetml/2006/main" count="609" uniqueCount="67">
  <si>
    <t>State of Tennessee</t>
  </si>
  <si>
    <t>Report Number</t>
  </si>
  <si>
    <t>Page Number</t>
  </si>
  <si>
    <t>Date</t>
  </si>
  <si>
    <t>Division of Materials and Tests</t>
  </si>
  <si>
    <t>Project Ref. No.</t>
  </si>
  <si>
    <t>Project No.</t>
  </si>
  <si>
    <t>Contractor</t>
  </si>
  <si>
    <t>Weather / Temp.</t>
  </si>
  <si>
    <t>Spec. Requirements</t>
  </si>
  <si>
    <t>Contract No.</t>
  </si>
  <si>
    <t>Region</t>
  </si>
  <si>
    <t>County</t>
  </si>
  <si>
    <t>Route</t>
  </si>
  <si>
    <t>Test Date</t>
  </si>
  <si>
    <t>Test No.</t>
  </si>
  <si>
    <t>Test Limits</t>
  </si>
  <si>
    <t>Feet</t>
  </si>
  <si>
    <t>From</t>
  </si>
  <si>
    <t>To</t>
  </si>
  <si>
    <t>Profile Index (P.I.)</t>
  </si>
  <si>
    <t>Calculation:</t>
  </si>
  <si>
    <t>A=5280 Divided by Total Ft. In Tests Limits</t>
  </si>
  <si>
    <t>B=Total Roughness of Wheel Paths</t>
  </si>
  <si>
    <t>P.I. =  ( B/2 ) x A</t>
  </si>
  <si>
    <t>The Surface Roughness Requirements</t>
  </si>
  <si>
    <t>Remarks</t>
  </si>
  <si>
    <t>Materials and Tests Engineer:</t>
  </si>
  <si>
    <t>Regional Materials Engineer:</t>
  </si>
  <si>
    <t>Project Engineer:</t>
  </si>
  <si>
    <t>Inspector:</t>
  </si>
  <si>
    <t>Title:</t>
  </si>
  <si>
    <t>These Lanes</t>
  </si>
  <si>
    <t>Department of Transportation</t>
  </si>
  <si>
    <t>Project Information Sheet</t>
  </si>
  <si>
    <t>Project Ref. Number</t>
  </si>
  <si>
    <t>Project Number</t>
  </si>
  <si>
    <t>Contract Number</t>
  </si>
  <si>
    <t>Project Engineer</t>
  </si>
  <si>
    <t>Test Number</t>
  </si>
  <si>
    <t>Standard Spec.</t>
  </si>
  <si>
    <t xml:space="preserve"> Roughness Evaluation</t>
  </si>
  <si>
    <t>Test Performed by TDOT Road Profiler</t>
  </si>
  <si>
    <t>Direction and Measured Roughness ( Inches per Mile )</t>
  </si>
  <si>
    <t>Lanes to be Left to Right each Direction - 1,2,3,4, etc. with 1 being the Inside Lane  * Lots Are Equal To 1/10 Mile or Less</t>
  </si>
  <si>
    <t>For Specification 501.17</t>
  </si>
  <si>
    <t>Equip. Calib. Date</t>
  </si>
  <si>
    <t xml:space="preserve">Equip. Calib. Date </t>
  </si>
  <si>
    <t xml:space="preserve">Fill in the Yellow Squares and Do Not Delete This Page from the File </t>
  </si>
  <si>
    <t>Inches per Mile</t>
  </si>
  <si>
    <t>Copies To :</t>
  </si>
  <si>
    <t>Gary Head</t>
  </si>
  <si>
    <t>F53</t>
  </si>
  <si>
    <t>Total Failing Sections</t>
  </si>
  <si>
    <t>Pass /</t>
  </si>
  <si>
    <t>Fail</t>
  </si>
  <si>
    <t>Track 1</t>
  </si>
  <si>
    <t>P.I.</t>
  </si>
  <si>
    <t>Track 2</t>
  </si>
  <si>
    <t>Leave This Blank</t>
  </si>
  <si>
    <t xml:space="preserve">N S E W </t>
  </si>
  <si>
    <t>&amp; Lane #</t>
  </si>
  <si>
    <t>Ramp</t>
  </si>
  <si>
    <t>#</t>
  </si>
  <si>
    <t>Ramp Concrete Pavemant Surface</t>
  </si>
  <si>
    <t>Concrete Ramps</t>
  </si>
  <si>
    <t>Ramp:  DT-1704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</si>
</sst>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mmmm\ d\,\ yyyy"/>
    <numFmt numFmtId="186" formatCode="0.0"/>
  </numFmts>
  <fonts count="8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6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0" borderId="0" xfId="0" applyFont="1" applyAlignment="1" applyProtection="1">
      <alignment horizontal="center"/>
    </xf>
    <xf numFmtId="0" fontId="5" fillId="0" borderId="0" xfId="0" applyFont="1" applyProtection="1"/>
    <xf numFmtId="0" fontId="4" fillId="0" borderId="1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center"/>
    </xf>
    <xf numFmtId="0" fontId="5" fillId="0" borderId="0" xfId="0" applyFont="1"/>
    <xf numFmtId="0" fontId="4" fillId="0" borderId="3" xfId="0" applyFont="1" applyBorder="1" applyAlignment="1" applyProtection="1">
      <alignment horizontal="center"/>
      <protection locked="0"/>
    </xf>
    <xf numFmtId="0" fontId="0" fillId="0" borderId="0" xfId="0" applyProtection="1"/>
    <xf numFmtId="186" fontId="4" fillId="0" borderId="3" xfId="0" applyNumberFormat="1" applyFont="1" applyBorder="1" applyAlignment="1">
      <alignment horizontal="center"/>
    </xf>
    <xf numFmtId="0" fontId="5" fillId="0" borderId="0" xfId="0" applyFont="1" applyAlignment="1" applyProtection="1">
      <alignment horizontal="center"/>
    </xf>
    <xf numFmtId="0" fontId="4" fillId="0" borderId="4" xfId="0" applyFont="1" applyBorder="1" applyAlignment="1" applyProtection="1">
      <alignment horizontal="center"/>
    </xf>
    <xf numFmtId="1" fontId="4" fillId="2" borderId="5" xfId="0" applyNumberFormat="1" applyFont="1" applyFill="1" applyBorder="1" applyAlignment="1" applyProtection="1">
      <alignment horizontal="center"/>
      <protection locked="0"/>
    </xf>
    <xf numFmtId="1" fontId="5" fillId="2" borderId="6" xfId="0" applyNumberFormat="1" applyFont="1" applyFill="1" applyBorder="1" applyProtection="1">
      <protection locked="0"/>
    </xf>
    <xf numFmtId="0" fontId="4" fillId="0" borderId="7" xfId="0" applyFont="1" applyBorder="1" applyAlignment="1" applyProtection="1">
      <alignment horizontal="center"/>
    </xf>
    <xf numFmtId="2" fontId="4" fillId="2" borderId="8" xfId="0" applyNumberFormat="1" applyFont="1" applyFill="1" applyBorder="1" applyAlignment="1" applyProtection="1">
      <alignment horizontal="center"/>
      <protection locked="0"/>
    </xf>
    <xf numFmtId="2" fontId="4" fillId="2" borderId="5" xfId="0" applyNumberFormat="1" applyFont="1" applyFill="1" applyBorder="1" applyAlignment="1" applyProtection="1">
      <alignment horizontal="center"/>
      <protection locked="0"/>
    </xf>
    <xf numFmtId="2" fontId="5" fillId="2" borderId="9" xfId="0" applyNumberFormat="1" applyFont="1" applyFill="1" applyBorder="1" applyProtection="1">
      <protection locked="0"/>
    </xf>
    <xf numFmtId="2" fontId="5" fillId="2" borderId="6" xfId="0" applyNumberFormat="1" applyFont="1" applyFill="1" applyBorder="1" applyProtection="1">
      <protection locked="0"/>
    </xf>
    <xf numFmtId="49" fontId="4" fillId="2" borderId="5" xfId="0" applyNumberFormat="1" applyFont="1" applyFill="1" applyBorder="1" applyAlignment="1" applyProtection="1">
      <alignment horizontal="center"/>
      <protection locked="0"/>
    </xf>
    <xf numFmtId="49" fontId="5" fillId="2" borderId="6" xfId="0" applyNumberFormat="1" applyFont="1" applyFill="1" applyBorder="1" applyProtection="1">
      <protection locked="0"/>
    </xf>
    <xf numFmtId="1" fontId="4" fillId="2" borderId="10" xfId="0" applyNumberFormat="1" applyFont="1" applyFill="1" applyBorder="1" applyAlignment="1" applyProtection="1">
      <alignment horizontal="center"/>
    </xf>
    <xf numFmtId="0" fontId="4" fillId="3" borderId="10" xfId="0" applyNumberFormat="1" applyFont="1" applyFill="1" applyBorder="1" applyAlignment="1" applyProtection="1">
      <alignment horizontal="center"/>
      <protection locked="0"/>
    </xf>
    <xf numFmtId="2" fontId="4" fillId="2" borderId="11" xfId="0" applyNumberFormat="1" applyFont="1" applyFill="1" applyBorder="1" applyAlignment="1" applyProtection="1">
      <alignment horizontal="center"/>
      <protection locked="0"/>
    </xf>
    <xf numFmtId="2" fontId="4" fillId="2" borderId="10" xfId="0" applyNumberFormat="1" applyFont="1" applyFill="1" applyBorder="1" applyAlignment="1" applyProtection="1">
      <alignment horizontal="center"/>
      <protection locked="0"/>
    </xf>
    <xf numFmtId="49" fontId="4" fillId="2" borderId="10" xfId="0" applyNumberFormat="1" applyFont="1" applyFill="1" applyBorder="1" applyAlignment="1" applyProtection="1">
      <alignment horizontal="center"/>
      <protection locked="0"/>
    </xf>
    <xf numFmtId="1" fontId="4" fillId="2" borderId="10" xfId="0" applyNumberFormat="1" applyFont="1" applyFill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/>
    </xf>
    <xf numFmtId="0" fontId="4" fillId="0" borderId="6" xfId="0" applyFont="1" applyBorder="1" applyAlignment="1" applyProtection="1">
      <alignment horizontal="center"/>
    </xf>
    <xf numFmtId="0" fontId="4" fillId="0" borderId="12" xfId="0" applyFont="1" applyBorder="1" applyAlignment="1" applyProtection="1">
      <alignment horizontal="center"/>
    </xf>
    <xf numFmtId="0" fontId="4" fillId="3" borderId="5" xfId="0" applyNumberFormat="1" applyFont="1" applyFill="1" applyBorder="1" applyAlignment="1" applyProtection="1">
      <alignment horizontal="center"/>
      <protection locked="0"/>
    </xf>
    <xf numFmtId="1" fontId="4" fillId="2" borderId="5" xfId="0" applyNumberFormat="1" applyFont="1" applyFill="1" applyBorder="1" applyAlignment="1" applyProtection="1">
      <alignment horizontal="center"/>
    </xf>
    <xf numFmtId="0" fontId="4" fillId="3" borderId="13" xfId="0" applyNumberFormat="1" applyFont="1" applyFill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</xf>
    <xf numFmtId="0" fontId="4" fillId="3" borderId="15" xfId="0" applyNumberFormat="1" applyFont="1" applyFill="1" applyBorder="1" applyAlignment="1" applyProtection="1">
      <alignment horizontal="center"/>
      <protection locked="0"/>
    </xf>
    <xf numFmtId="0" fontId="4" fillId="0" borderId="16" xfId="0" applyFont="1" applyBorder="1" applyAlignment="1" applyProtection="1">
      <alignment horizontal="center"/>
    </xf>
    <xf numFmtId="0" fontId="4" fillId="0" borderId="17" xfId="0" applyFont="1" applyBorder="1" applyAlignment="1" applyProtection="1">
      <alignment horizontal="center"/>
    </xf>
    <xf numFmtId="0" fontId="3" fillId="2" borderId="5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</xf>
    <xf numFmtId="184" fontId="3" fillId="2" borderId="5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</xf>
    <xf numFmtId="186" fontId="3" fillId="2" borderId="5" xfId="0" applyNumberFormat="1" applyFont="1" applyFill="1" applyBorder="1" applyAlignment="1" applyProtection="1">
      <alignment horizontal="center"/>
      <protection locked="0"/>
    </xf>
    <xf numFmtId="0" fontId="5" fillId="2" borderId="32" xfId="0" applyFont="1" applyFill="1" applyBorder="1" applyAlignment="1" applyProtection="1">
      <alignment horizontal="left"/>
      <protection locked="0"/>
    </xf>
    <xf numFmtId="0" fontId="5" fillId="2" borderId="3" xfId="0" applyFont="1" applyFill="1" applyBorder="1" applyAlignment="1" applyProtection="1">
      <alignment horizontal="left"/>
      <protection locked="0"/>
    </xf>
    <xf numFmtId="0" fontId="5" fillId="2" borderId="33" xfId="0" applyFont="1" applyFill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0" borderId="20" xfId="0" applyFont="1" applyBorder="1" applyAlignment="1" applyProtection="1"/>
    <xf numFmtId="0" fontId="4" fillId="0" borderId="21" xfId="0" applyFont="1" applyBorder="1" applyAlignment="1" applyProtection="1"/>
    <xf numFmtId="0" fontId="4" fillId="0" borderId="26" xfId="0" applyFont="1" applyBorder="1" applyAlignment="1" applyProtection="1"/>
    <xf numFmtId="0" fontId="4" fillId="0" borderId="22" xfId="0" applyFont="1" applyBorder="1" applyAlignment="1" applyProtection="1"/>
    <xf numFmtId="0" fontId="4" fillId="0" borderId="28" xfId="0" applyFont="1" applyBorder="1" applyAlignment="1" applyProtection="1">
      <alignment horizontal="center"/>
    </xf>
    <xf numFmtId="0" fontId="4" fillId="0" borderId="26" xfId="0" applyFont="1" applyBorder="1" applyAlignment="1" applyProtection="1">
      <alignment horizontal="center"/>
    </xf>
    <xf numFmtId="0" fontId="4" fillId="0" borderId="29" xfId="0" applyFont="1" applyBorder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</xf>
    <xf numFmtId="0" fontId="5" fillId="2" borderId="30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31" xfId="0" applyFont="1" applyFill="1" applyBorder="1" applyAlignment="1" applyProtection="1">
      <alignment horizontal="left"/>
      <protection locked="0"/>
    </xf>
    <xf numFmtId="0" fontId="5" fillId="2" borderId="28" xfId="0" applyFont="1" applyFill="1" applyBorder="1" applyAlignment="1" applyProtection="1">
      <alignment horizontal="left"/>
      <protection locked="0"/>
    </xf>
    <xf numFmtId="0" fontId="5" fillId="2" borderId="26" xfId="0" applyFont="1" applyFill="1" applyBorder="1" applyAlignment="1" applyProtection="1">
      <alignment horizontal="left"/>
      <protection locked="0"/>
    </xf>
    <xf numFmtId="0" fontId="5" fillId="2" borderId="29" xfId="0" applyFont="1" applyFill="1" applyBorder="1" applyAlignment="1" applyProtection="1">
      <alignment horizontal="left"/>
      <protection locked="0"/>
    </xf>
    <xf numFmtId="0" fontId="4" fillId="0" borderId="19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0" borderId="18" xfId="0" applyFont="1" applyBorder="1" applyAlignment="1" applyProtection="1">
      <alignment horizontal="center"/>
    </xf>
    <xf numFmtId="0" fontId="5" fillId="0" borderId="28" xfId="0" applyFont="1" applyBorder="1" applyAlignment="1" applyProtection="1">
      <alignment horizontal="center"/>
    </xf>
    <xf numFmtId="0" fontId="5" fillId="0" borderId="26" xfId="0" applyFont="1" applyBorder="1" applyAlignment="1" applyProtection="1">
      <alignment horizontal="center"/>
    </xf>
    <xf numFmtId="0" fontId="5" fillId="0" borderId="29" xfId="0" applyFont="1" applyBorder="1" applyAlignment="1" applyProtection="1">
      <alignment horizontal="center"/>
    </xf>
    <xf numFmtId="0" fontId="4" fillId="0" borderId="23" xfId="0" applyFont="1" applyBorder="1" applyAlignment="1" applyProtection="1">
      <alignment horizontal="center"/>
    </xf>
    <xf numFmtId="0" fontId="4" fillId="0" borderId="25" xfId="0" applyFont="1" applyBorder="1" applyAlignment="1" applyProtection="1">
      <alignment horizontal="center"/>
    </xf>
    <xf numFmtId="0" fontId="4" fillId="0" borderId="27" xfId="0" applyFont="1" applyBorder="1" applyAlignment="1" applyProtection="1">
      <alignment horizontal="center"/>
    </xf>
    <xf numFmtId="0" fontId="6" fillId="0" borderId="23" xfId="0" applyFont="1" applyBorder="1" applyAlignment="1" applyProtection="1">
      <alignment horizontal="center"/>
    </xf>
    <xf numFmtId="0" fontId="6" fillId="0" borderId="25" xfId="0" applyFont="1" applyBorder="1" applyAlignment="1" applyProtection="1">
      <alignment horizontal="center"/>
    </xf>
    <xf numFmtId="0" fontId="6" fillId="0" borderId="27" xfId="0" applyFont="1" applyBorder="1" applyAlignment="1" applyProtection="1">
      <alignment horizontal="center"/>
    </xf>
    <xf numFmtId="0" fontId="6" fillId="0" borderId="28" xfId="0" applyFont="1" applyBorder="1" applyAlignment="1" applyProtection="1">
      <alignment horizontal="center"/>
    </xf>
    <xf numFmtId="0" fontId="6" fillId="0" borderId="26" xfId="0" applyFont="1" applyBorder="1" applyAlignment="1" applyProtection="1">
      <alignment horizontal="center"/>
    </xf>
    <xf numFmtId="0" fontId="6" fillId="0" borderId="29" xfId="0" applyFont="1" applyBorder="1" applyAlignment="1" applyProtection="1">
      <alignment horizontal="center"/>
    </xf>
    <xf numFmtId="0" fontId="5" fillId="0" borderId="23" xfId="0" applyFont="1" applyBorder="1" applyAlignment="1" applyProtection="1">
      <alignment horizontal="center"/>
    </xf>
    <xf numFmtId="0" fontId="5" fillId="0" borderId="25" xfId="0" applyFont="1" applyBorder="1" applyAlignment="1" applyProtection="1">
      <alignment horizontal="center"/>
    </xf>
    <xf numFmtId="0" fontId="5" fillId="0" borderId="27" xfId="0" applyFont="1" applyBorder="1" applyAlignment="1" applyProtection="1">
      <alignment horizontal="center"/>
    </xf>
    <xf numFmtId="0" fontId="1" fillId="0" borderId="19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1" xfId="0" applyBorder="1" applyAlignment="1" applyProtection="1">
      <alignment horizontal="center"/>
    </xf>
    <xf numFmtId="0" fontId="0" fillId="0" borderId="22" xfId="0" applyBorder="1" applyAlignment="1" applyProtection="1">
      <alignment horizontal="center"/>
    </xf>
    <xf numFmtId="0" fontId="4" fillId="0" borderId="24" xfId="0" applyFont="1" applyBorder="1" applyAlignment="1" applyProtection="1">
      <alignment horizontal="center"/>
    </xf>
    <xf numFmtId="0" fontId="4" fillId="0" borderId="14" xfId="0" applyFont="1" applyBorder="1" applyAlignment="1" applyProtection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 applyProtection="1">
      <alignment horizontal="left"/>
    </xf>
    <xf numFmtId="0" fontId="3" fillId="0" borderId="20" xfId="0" applyFont="1" applyBorder="1" applyAlignment="1" applyProtection="1">
      <alignment horizontal="center"/>
    </xf>
    <xf numFmtId="0" fontId="3" fillId="0" borderId="21" xfId="0" applyFont="1" applyBorder="1" applyAlignment="1" applyProtection="1">
      <alignment horizontal="center"/>
    </xf>
    <xf numFmtId="184" fontId="4" fillId="0" borderId="3" xfId="0" applyNumberFormat="1" applyFont="1" applyBorder="1" applyAlignment="1" applyProtection="1">
      <alignment horizontal="center"/>
    </xf>
    <xf numFmtId="184" fontId="4" fillId="0" borderId="1" xfId="0" applyNumberFormat="1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</xf>
    <xf numFmtId="0" fontId="4" fillId="0" borderId="0" xfId="0" applyFont="1" applyAlignment="1" applyProtection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89D0-C4AC-4A93-9B49-0BD85CCFE33A}">
  <dimension ref="A1:G21"/>
  <sheetViews>
    <sheetView tabSelected="1" workbookViewId="0">
      <selection activeCell="D4" sqref="D4:F4"/>
    </sheetView>
  </sheetViews>
  <sheetFormatPr defaultRowHeight="12.75" x14ac:dyDescent="0.35"/>
  <sheetData>
    <row r="1" spans="1:6" ht="17.649999999999999" x14ac:dyDescent="0.5">
      <c r="A1" s="39" t="s">
        <v>34</v>
      </c>
      <c r="B1" s="39"/>
      <c r="C1" s="39"/>
      <c r="D1" s="39"/>
      <c r="E1" s="39"/>
      <c r="F1" s="39"/>
    </row>
    <row r="2" spans="1:6" ht="15" x14ac:dyDescent="0.4">
      <c r="A2" s="41" t="s">
        <v>65</v>
      </c>
      <c r="B2" s="41"/>
      <c r="C2" s="41"/>
      <c r="D2" s="41"/>
      <c r="E2" s="41"/>
      <c r="F2" s="41"/>
    </row>
    <row r="3" spans="1:6" x14ac:dyDescent="0.35">
      <c r="A3" s="7"/>
      <c r="B3" s="7"/>
      <c r="C3" s="7"/>
      <c r="D3" s="7"/>
      <c r="E3" s="7"/>
      <c r="F3" s="7"/>
    </row>
    <row r="4" spans="1:6" ht="15" x14ac:dyDescent="0.4">
      <c r="A4" s="37" t="s">
        <v>1</v>
      </c>
      <c r="B4" s="37"/>
      <c r="C4" s="37"/>
      <c r="D4" s="36"/>
      <c r="E4" s="36"/>
      <c r="F4" s="36"/>
    </row>
    <row r="5" spans="1:6" ht="15" x14ac:dyDescent="0.4">
      <c r="A5" s="37" t="s">
        <v>3</v>
      </c>
      <c r="B5" s="37"/>
      <c r="C5" s="37"/>
      <c r="D5" s="38"/>
      <c r="E5" s="38"/>
      <c r="F5" s="38"/>
    </row>
    <row r="6" spans="1:6" ht="15" x14ac:dyDescent="0.4">
      <c r="A6" s="37" t="s">
        <v>35</v>
      </c>
      <c r="B6" s="37"/>
      <c r="C6" s="37"/>
      <c r="D6" s="36"/>
      <c r="E6" s="36"/>
      <c r="F6" s="36"/>
    </row>
    <row r="7" spans="1:6" ht="15" x14ac:dyDescent="0.4">
      <c r="A7" s="37" t="s">
        <v>36</v>
      </c>
      <c r="B7" s="37"/>
      <c r="C7" s="37"/>
      <c r="D7" s="36"/>
      <c r="E7" s="36"/>
      <c r="F7" s="36"/>
    </row>
    <row r="8" spans="1:6" ht="15" x14ac:dyDescent="0.4">
      <c r="A8" s="37" t="s">
        <v>37</v>
      </c>
      <c r="B8" s="37"/>
      <c r="C8" s="37"/>
      <c r="D8" s="36"/>
      <c r="E8" s="36"/>
      <c r="F8" s="36"/>
    </row>
    <row r="9" spans="1:6" ht="15" x14ac:dyDescent="0.4">
      <c r="A9" s="37" t="s">
        <v>38</v>
      </c>
      <c r="B9" s="37"/>
      <c r="C9" s="37"/>
      <c r="D9" s="36"/>
      <c r="E9" s="36"/>
      <c r="F9" s="36"/>
    </row>
    <row r="10" spans="1:6" ht="15" x14ac:dyDescent="0.4">
      <c r="A10" s="37" t="s">
        <v>7</v>
      </c>
      <c r="B10" s="37"/>
      <c r="C10" s="37"/>
      <c r="D10" s="36"/>
      <c r="E10" s="36"/>
      <c r="F10" s="36"/>
    </row>
    <row r="11" spans="1:6" ht="15" x14ac:dyDescent="0.4">
      <c r="A11" s="37" t="s">
        <v>11</v>
      </c>
      <c r="B11" s="37"/>
      <c r="C11" s="37"/>
      <c r="D11" s="36"/>
      <c r="E11" s="36"/>
      <c r="F11" s="36"/>
    </row>
    <row r="12" spans="1:6" ht="15" x14ac:dyDescent="0.4">
      <c r="A12" s="37" t="s">
        <v>12</v>
      </c>
      <c r="B12" s="37"/>
      <c r="C12" s="37"/>
      <c r="D12" s="36"/>
      <c r="E12" s="36"/>
      <c r="F12" s="36"/>
    </row>
    <row r="13" spans="1:6" ht="15" x14ac:dyDescent="0.4">
      <c r="A13" s="37" t="s">
        <v>13</v>
      </c>
      <c r="B13" s="37"/>
      <c r="C13" s="37"/>
      <c r="D13" s="36"/>
      <c r="E13" s="36"/>
      <c r="F13" s="36"/>
    </row>
    <row r="14" spans="1:6" ht="15" x14ac:dyDescent="0.4">
      <c r="A14" s="37" t="s">
        <v>14</v>
      </c>
      <c r="B14" s="37"/>
      <c r="C14" s="37"/>
      <c r="D14" s="38"/>
      <c r="E14" s="38"/>
      <c r="F14" s="38"/>
    </row>
    <row r="15" spans="1:6" ht="15" x14ac:dyDescent="0.4">
      <c r="A15" s="37" t="s">
        <v>8</v>
      </c>
      <c r="B15" s="37"/>
      <c r="C15" s="37"/>
      <c r="D15" s="36"/>
      <c r="E15" s="36"/>
      <c r="F15" s="36"/>
    </row>
    <row r="16" spans="1:6" ht="15" x14ac:dyDescent="0.4">
      <c r="A16" s="37" t="s">
        <v>39</v>
      </c>
      <c r="B16" s="37"/>
      <c r="C16" s="37"/>
      <c r="D16" s="36"/>
      <c r="E16" s="36"/>
      <c r="F16" s="36"/>
    </row>
    <row r="17" spans="1:7" ht="15" x14ac:dyDescent="0.4">
      <c r="A17" s="37" t="s">
        <v>59</v>
      </c>
      <c r="B17" s="37"/>
      <c r="C17" s="37"/>
      <c r="D17" s="36"/>
      <c r="E17" s="36"/>
      <c r="F17" s="36"/>
    </row>
    <row r="18" spans="1:7" ht="15" x14ac:dyDescent="0.4">
      <c r="A18" s="37" t="s">
        <v>40</v>
      </c>
      <c r="B18" s="37"/>
      <c r="C18" s="37"/>
      <c r="D18" s="42"/>
      <c r="E18" s="42"/>
      <c r="F18" s="42"/>
    </row>
    <row r="19" spans="1:7" ht="15" x14ac:dyDescent="0.4">
      <c r="A19" s="37" t="s">
        <v>46</v>
      </c>
      <c r="B19" s="37"/>
      <c r="C19" s="37"/>
      <c r="D19" s="38"/>
      <c r="E19" s="38"/>
      <c r="F19" s="38"/>
    </row>
    <row r="21" spans="1:7" ht="13.15" x14ac:dyDescent="0.4">
      <c r="A21" s="40" t="s">
        <v>48</v>
      </c>
      <c r="B21" s="40"/>
      <c r="C21" s="40"/>
      <c r="D21" s="40"/>
      <c r="E21" s="40"/>
      <c r="F21" s="40"/>
      <c r="G21" s="40"/>
    </row>
  </sheetData>
  <mergeCells count="35">
    <mergeCell ref="A21:G21"/>
    <mergeCell ref="A2:F2"/>
    <mergeCell ref="D18:F18"/>
    <mergeCell ref="D19:F19"/>
    <mergeCell ref="A18:C18"/>
    <mergeCell ref="A19:C19"/>
    <mergeCell ref="D12:F12"/>
    <mergeCell ref="D13:F13"/>
    <mergeCell ref="D14:F14"/>
    <mergeCell ref="D11:F11"/>
    <mergeCell ref="A1:F1"/>
    <mergeCell ref="A9:C9"/>
    <mergeCell ref="D4:F4"/>
    <mergeCell ref="A4:C4"/>
    <mergeCell ref="D9:F9"/>
    <mergeCell ref="D7:F7"/>
    <mergeCell ref="D8:F8"/>
    <mergeCell ref="A7:C7"/>
    <mergeCell ref="A6:C6"/>
    <mergeCell ref="D16:F16"/>
    <mergeCell ref="D17:F17"/>
    <mergeCell ref="A17:C17"/>
    <mergeCell ref="A16:C16"/>
    <mergeCell ref="A14:C14"/>
    <mergeCell ref="A12:C12"/>
    <mergeCell ref="A13:C13"/>
    <mergeCell ref="A15:C15"/>
    <mergeCell ref="D15:F15"/>
    <mergeCell ref="D6:F6"/>
    <mergeCell ref="D10:F10"/>
    <mergeCell ref="A11:C11"/>
    <mergeCell ref="A10:C10"/>
    <mergeCell ref="A8:C8"/>
    <mergeCell ref="A5:C5"/>
    <mergeCell ref="D5:F5"/>
  </mergeCells>
  <phoneticPr fontId="7" type="noConversion"/>
  <pageMargins left="0.75" right="0.75" top="1" bottom="1" header="0.5" footer="0.5"/>
  <pageSetup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A138-3BD3-402E-9AEB-F0CCF8B9CCB2}">
  <sheetPr>
    <pageSetUpPr fitToPage="1"/>
  </sheetPr>
  <dimension ref="A1:L61"/>
  <sheetViews>
    <sheetView workbookViewId="0">
      <selection activeCell="A18" sqref="A18"/>
    </sheetView>
  </sheetViews>
  <sheetFormatPr defaultRowHeight="12.75" x14ac:dyDescent="0.35"/>
  <cols>
    <col min="1" max="2" width="10.73046875" customWidth="1"/>
    <col min="3" max="3" width="10.86328125" customWidth="1"/>
    <col min="4" max="11" width="9.73046875" customWidth="1"/>
    <col min="12" max="12" width="11.73046875" customWidth="1"/>
  </cols>
  <sheetData>
    <row r="1" spans="1:12" ht="17.649999999999999" x14ac:dyDescent="0.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5" customFormat="1" ht="15" x14ac:dyDescent="0.4">
      <c r="A2" s="55"/>
      <c r="B2" s="55"/>
      <c r="C2" s="55"/>
      <c r="D2" s="41" t="s">
        <v>33</v>
      </c>
      <c r="E2" s="41"/>
      <c r="F2" s="41"/>
      <c r="G2" s="41"/>
      <c r="H2" s="41"/>
      <c r="I2" s="41"/>
      <c r="J2" s="55"/>
      <c r="K2" s="55"/>
      <c r="L2" s="55"/>
    </row>
    <row r="3" spans="1:12" s="5" customFormat="1" ht="15" x14ac:dyDescent="0.4">
      <c r="A3" s="93" t="s">
        <v>1</v>
      </c>
      <c r="B3" s="93"/>
      <c r="C3" s="3" t="str">
        <f>IF(Info!D4=""," ",Info!D4)</f>
        <v xml:space="preserve"> </v>
      </c>
      <c r="D3" s="41" t="s">
        <v>4</v>
      </c>
      <c r="E3" s="41"/>
      <c r="F3" s="41"/>
      <c r="G3" s="41"/>
      <c r="H3" s="41"/>
      <c r="I3" s="41"/>
      <c r="J3" s="1" t="s">
        <v>3</v>
      </c>
      <c r="K3" s="97" t="str">
        <f>IF(Info!D5=""," ",Info!D5)</f>
        <v xml:space="preserve"> </v>
      </c>
      <c r="L3" s="97"/>
    </row>
    <row r="4" spans="1:12" s="5" customFormat="1" ht="15" x14ac:dyDescent="0.4">
      <c r="A4" s="93" t="s">
        <v>2</v>
      </c>
      <c r="B4" s="93"/>
      <c r="C4" s="6">
        <v>1</v>
      </c>
      <c r="D4" s="41" t="s">
        <v>64</v>
      </c>
      <c r="E4" s="41"/>
      <c r="F4" s="41"/>
      <c r="G4" s="41"/>
      <c r="H4" s="41"/>
      <c r="I4" s="41"/>
      <c r="J4" s="2"/>
      <c r="K4" s="98" t="s">
        <v>52</v>
      </c>
      <c r="L4" s="98"/>
    </row>
    <row r="5" spans="1:12" s="5" customFormat="1" ht="15" x14ac:dyDescent="0.4">
      <c r="A5" s="55"/>
      <c r="B5" s="55"/>
      <c r="C5" s="55"/>
      <c r="D5" s="41" t="s">
        <v>41</v>
      </c>
      <c r="E5" s="41"/>
      <c r="F5" s="41"/>
      <c r="G5" s="41"/>
      <c r="H5" s="41"/>
      <c r="I5" s="41"/>
      <c r="J5" s="55"/>
      <c r="K5" s="55"/>
      <c r="L5" s="55"/>
    </row>
    <row r="6" spans="1:12" s="5" customFormat="1" ht="13.5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15.75" customHeight="1" x14ac:dyDescent="0.4">
      <c r="A7" s="93" t="s">
        <v>5</v>
      </c>
      <c r="B7" s="93"/>
      <c r="C7" s="98" t="str">
        <f>IF(Info!D6=""," ",Info!D6)</f>
        <v xml:space="preserve"> </v>
      </c>
      <c r="D7" s="98"/>
      <c r="E7" s="98"/>
      <c r="F7" s="98"/>
      <c r="G7" s="46" t="s">
        <v>10</v>
      </c>
      <c r="H7" s="46"/>
      <c r="I7" s="98" t="str">
        <f>IF(Info!D8=""," ",Info!D8)</f>
        <v xml:space="preserve"> </v>
      </c>
      <c r="J7" s="98"/>
      <c r="K7" s="98"/>
      <c r="L7" s="98"/>
    </row>
    <row r="8" spans="1:12" s="5" customFormat="1" ht="13.9" x14ac:dyDescent="0.4">
      <c r="A8" s="93" t="s">
        <v>6</v>
      </c>
      <c r="B8" s="93"/>
      <c r="C8" s="98" t="str">
        <f>IF(Info!D7=""," ",Info!D7)</f>
        <v xml:space="preserve"> </v>
      </c>
      <c r="D8" s="98"/>
      <c r="E8" s="98"/>
      <c r="F8" s="98"/>
      <c r="G8" s="46" t="s">
        <v>11</v>
      </c>
      <c r="H8" s="46"/>
      <c r="I8" s="58" t="str">
        <f>IF(Info!D11=""," ",Info!D11)</f>
        <v xml:space="preserve"> </v>
      </c>
      <c r="J8" s="58"/>
      <c r="K8" s="58"/>
      <c r="L8" s="58"/>
    </row>
    <row r="9" spans="1:12" s="5" customFormat="1" ht="13.9" x14ac:dyDescent="0.4">
      <c r="A9" s="93" t="s">
        <v>7</v>
      </c>
      <c r="B9" s="93"/>
      <c r="C9" s="98" t="str">
        <f>IF(Info!D10=""," ",Info!D10)</f>
        <v xml:space="preserve"> </v>
      </c>
      <c r="D9" s="98"/>
      <c r="E9" s="98"/>
      <c r="F9" s="98"/>
      <c r="G9" s="46" t="s">
        <v>12</v>
      </c>
      <c r="H9" s="46"/>
      <c r="I9" s="58" t="str">
        <f>IF(Info!D12=""," ",Info!D12)</f>
        <v xml:space="preserve"> </v>
      </c>
      <c r="J9" s="58"/>
      <c r="K9" s="58"/>
      <c r="L9" s="58"/>
    </row>
    <row r="10" spans="1:12" s="5" customFormat="1" ht="13.9" x14ac:dyDescent="0.4">
      <c r="A10" s="93" t="s">
        <v>8</v>
      </c>
      <c r="B10" s="93"/>
      <c r="C10" s="98" t="str">
        <f>IF(Info!D15=""," ",Info!D15)</f>
        <v xml:space="preserve"> </v>
      </c>
      <c r="D10" s="98"/>
      <c r="E10" s="98"/>
      <c r="F10" s="98"/>
      <c r="G10" s="46" t="s">
        <v>13</v>
      </c>
      <c r="H10" s="46"/>
      <c r="I10" s="58" t="str">
        <f>IF(Info!D13=""," ",Info!D13)</f>
        <v xml:space="preserve"> </v>
      </c>
      <c r="J10" s="58"/>
      <c r="K10" s="58"/>
      <c r="L10" s="58"/>
    </row>
    <row r="11" spans="1:12" s="5" customFormat="1" ht="23.65" ph="1" x14ac:dyDescent="0.4">
      <c r="A11" s="93" t="s">
        <v>47</v>
      </c>
      <c r="B11" s="93"/>
      <c r="C11" s="96" t="str">
        <f>IF(Info!D19=""," ",Info!D19)</f>
        <v xml:space="preserve"> </v>
      </c>
      <c r="D11" s="96"/>
      <c r="E11" s="96"/>
      <c r="F11" s="96"/>
      <c r="G11" s="46" t="s">
        <v>14</v>
      </c>
      <c r="H11" s="46"/>
      <c r="I11" s="96" t="str">
        <f>IF(Info!D14=""," ",Info!D14)</f>
        <v xml:space="preserve"> </v>
      </c>
      <c r="J11" s="96"/>
      <c r="K11" s="96"/>
      <c r="L11" s="96"/>
    </row>
    <row r="12" spans="1:12" s="5" customFormat="1" ht="23.65" ph="1" x14ac:dyDescent="0.4">
      <c r="A12" s="93" t="s">
        <v>9</v>
      </c>
      <c r="B12" s="93"/>
      <c r="C12" s="8" t="str">
        <f>IF(Info!D18=""," ",Info!D18)</f>
        <v xml:space="preserve"> </v>
      </c>
      <c r="D12" s="91" t="s">
        <v>49</v>
      </c>
      <c r="E12" s="92"/>
      <c r="F12" s="92"/>
      <c r="G12" s="46" t="s">
        <v>15</v>
      </c>
      <c r="H12" s="46"/>
      <c r="I12" s="58" t="str">
        <f>IF(Info!D16=""," ",Info!D16)</f>
        <v xml:space="preserve"> </v>
      </c>
      <c r="J12" s="58"/>
      <c r="K12" s="58"/>
      <c r="L12" s="58"/>
    </row>
    <row r="13" spans="1:12" s="5" customFormat="1" ht="13.9" thickBot="1" x14ac:dyDescent="0.4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5.4" thickBot="1" x14ac:dyDescent="0.45">
      <c r="A14" s="94" t="s">
        <v>42</v>
      </c>
      <c r="B14" s="95"/>
      <c r="C14" s="95"/>
      <c r="D14" s="95"/>
      <c r="E14" s="95"/>
      <c r="F14" s="95"/>
      <c r="G14" s="95"/>
      <c r="H14" s="95"/>
      <c r="I14" s="86"/>
      <c r="J14" s="87"/>
      <c r="K14" s="87"/>
      <c r="L14" s="88"/>
    </row>
    <row r="15" spans="1:12" ht="14.25" thickBot="1" x14ac:dyDescent="0.45">
      <c r="A15" s="71" t="s">
        <v>16</v>
      </c>
      <c r="B15" s="89"/>
      <c r="C15" s="90" t="s">
        <v>43</v>
      </c>
      <c r="D15" s="72"/>
      <c r="E15" s="72"/>
      <c r="F15" s="72"/>
      <c r="G15" s="72"/>
      <c r="H15" s="72"/>
      <c r="I15" s="80"/>
      <c r="J15" s="81"/>
      <c r="K15" s="81"/>
      <c r="L15" s="82"/>
    </row>
    <row r="16" spans="1:12" ht="13.9" x14ac:dyDescent="0.4">
      <c r="A16" s="71" t="s">
        <v>17</v>
      </c>
      <c r="B16" s="89"/>
      <c r="C16" s="34" t="s">
        <v>60</v>
      </c>
      <c r="D16" s="34" t="s">
        <v>62</v>
      </c>
      <c r="E16" s="34" t="s">
        <v>56</v>
      </c>
      <c r="F16" s="34" t="s">
        <v>54</v>
      </c>
      <c r="G16" s="32" t="s">
        <v>58</v>
      </c>
      <c r="H16" s="35" t="s">
        <v>54</v>
      </c>
      <c r="I16" s="65" t="s">
        <v>20</v>
      </c>
      <c r="J16" s="66"/>
      <c r="K16" s="66"/>
      <c r="L16" s="67"/>
    </row>
    <row r="17" spans="1:12" ht="14.25" thickBot="1" x14ac:dyDescent="0.45">
      <c r="A17" s="26" t="s">
        <v>18</v>
      </c>
      <c r="B17" s="27" t="s">
        <v>19</v>
      </c>
      <c r="C17" s="4" t="s">
        <v>61</v>
      </c>
      <c r="D17" s="4" t="s">
        <v>63</v>
      </c>
      <c r="E17" s="4" t="s">
        <v>57</v>
      </c>
      <c r="F17" s="4" t="s">
        <v>55</v>
      </c>
      <c r="G17" s="10" t="s">
        <v>57</v>
      </c>
      <c r="H17" s="28" t="s">
        <v>55</v>
      </c>
      <c r="I17" s="65" t="s">
        <v>21</v>
      </c>
      <c r="J17" s="66"/>
      <c r="K17" s="66"/>
      <c r="L17" s="67"/>
    </row>
    <row r="18" spans="1:12" ht="13.9" x14ac:dyDescent="0.4">
      <c r="A18" s="22"/>
      <c r="B18" s="23"/>
      <c r="C18" s="24"/>
      <c r="D18" s="25"/>
      <c r="E18" s="25"/>
      <c r="F18" s="21" t="str">
        <f>IF(E18=""," ",IF(E18&lt;=Info!D18,"Pass","Fail"))</f>
        <v xml:space="preserve"> </v>
      </c>
      <c r="G18" s="20"/>
      <c r="H18" s="33" t="str">
        <f>IF(G18=""," ",IF(G18&lt;=Info!F18,"Pass","Fail"))</f>
        <v xml:space="preserve"> </v>
      </c>
      <c r="I18" s="83" t="s">
        <v>22</v>
      </c>
      <c r="J18" s="84"/>
      <c r="K18" s="84"/>
      <c r="L18" s="85"/>
    </row>
    <row r="19" spans="1:12" ht="13.9" x14ac:dyDescent="0.4">
      <c r="A19" s="14"/>
      <c r="B19" s="15"/>
      <c r="C19" s="18"/>
      <c r="D19" s="11"/>
      <c r="E19" s="11"/>
      <c r="F19" s="29" t="str">
        <f>IF(E19=""," ",IF(E19&lt;=Info!D19,"Pass","Fail"))</f>
        <v xml:space="preserve"> </v>
      </c>
      <c r="G19" s="30"/>
      <c r="H19" s="31" t="str">
        <f>IF(G19=""," ",IF(G19&lt;=Info!F19,"Pass","Fail"))</f>
        <v xml:space="preserve"> </v>
      </c>
      <c r="I19" s="83" t="s">
        <v>23</v>
      </c>
      <c r="J19" s="84"/>
      <c r="K19" s="84"/>
      <c r="L19" s="85"/>
    </row>
    <row r="20" spans="1:12" ht="13.9" x14ac:dyDescent="0.4">
      <c r="A20" s="14"/>
      <c r="B20" s="15"/>
      <c r="C20" s="18"/>
      <c r="D20" s="11"/>
      <c r="E20" s="11"/>
      <c r="F20" s="29" t="str">
        <f>IF(E20=""," ",IF(E20&lt;=Info!D20,"Pass","Fail"))</f>
        <v xml:space="preserve"> </v>
      </c>
      <c r="G20" s="30"/>
      <c r="H20" s="31" t="str">
        <f>IF(G20=""," ",IF(G20&lt;=Info!F20,"Pass","Fail"))</f>
        <v xml:space="preserve"> </v>
      </c>
      <c r="I20" s="65" t="s">
        <v>24</v>
      </c>
      <c r="J20" s="66"/>
      <c r="K20" s="66"/>
      <c r="L20" s="67"/>
    </row>
    <row r="21" spans="1:12" ht="14.25" thickBot="1" x14ac:dyDescent="0.45">
      <c r="A21" s="14"/>
      <c r="B21" s="15"/>
      <c r="C21" s="18"/>
      <c r="D21" s="11"/>
      <c r="E21" s="11"/>
      <c r="F21" s="29" t="str">
        <f>IF(E21=""," ",IF(E21&lt;=Info!D21,"Pass","Fail"))</f>
        <v xml:space="preserve"> </v>
      </c>
      <c r="G21" s="30"/>
      <c r="H21" s="31" t="str">
        <f>IF(G21=""," ",IF(G21&lt;=Info!F21,"Pass","Fail"))</f>
        <v xml:space="preserve"> </v>
      </c>
      <c r="I21" s="68"/>
      <c r="J21" s="69"/>
      <c r="K21" s="69"/>
      <c r="L21" s="70"/>
    </row>
    <row r="22" spans="1:12" ht="13.9" x14ac:dyDescent="0.4">
      <c r="A22" s="14"/>
      <c r="B22" s="15"/>
      <c r="C22" s="18"/>
      <c r="D22" s="11"/>
      <c r="E22" s="11"/>
      <c r="F22" s="29" t="str">
        <f>IF(E22=""," ",IF(E22&lt;=Info!D22,"Pass","Fail"))</f>
        <v xml:space="preserve"> </v>
      </c>
      <c r="G22" s="30"/>
      <c r="H22" s="31" t="str">
        <f>IF(G22=""," ",IF(G22&lt;=Info!F22,"Pass","Fail"))</f>
        <v xml:space="preserve"> </v>
      </c>
      <c r="I22" s="71"/>
      <c r="J22" s="72"/>
      <c r="K22" s="72"/>
      <c r="L22" s="73"/>
    </row>
    <row r="23" spans="1:12" ht="14.25" thickBot="1" x14ac:dyDescent="0.45">
      <c r="A23" s="14"/>
      <c r="B23" s="15"/>
      <c r="C23" s="18"/>
      <c r="D23" s="11"/>
      <c r="E23" s="11"/>
      <c r="F23" s="29" t="str">
        <f>IF(E23=""," ",IF(E23&lt;=Info!D23,"Pass","Fail"))</f>
        <v xml:space="preserve"> </v>
      </c>
      <c r="G23" s="30"/>
      <c r="H23" s="31" t="str">
        <f>IF(G23=""," ",IF(G23&lt;=Info!F23,"Pass","Fail"))</f>
        <v xml:space="preserve"> </v>
      </c>
      <c r="I23" s="65" t="s">
        <v>32</v>
      </c>
      <c r="J23" s="66"/>
      <c r="K23" s="66"/>
      <c r="L23" s="67"/>
    </row>
    <row r="24" spans="1:12" ht="14.45" customHeight="1" x14ac:dyDescent="0.4">
      <c r="A24" s="14"/>
      <c r="B24" s="15"/>
      <c r="C24" s="18"/>
      <c r="D24" s="11"/>
      <c r="E24" s="11"/>
      <c r="F24" s="29" t="str">
        <f>IF(E24=""," ",IF(E24&lt;=Info!D24,"Pass","Fail"))</f>
        <v xml:space="preserve"> </v>
      </c>
      <c r="G24" s="30"/>
      <c r="H24" s="31" t="str">
        <f>IF(G24=""," ",IF(G24&lt;=Info!F24,"Pass","Fail"))</f>
        <v xml:space="preserve"> </v>
      </c>
      <c r="I24" s="74" t="str">
        <f>IF(A18=""," ",IF(F56=0,"Do Meet","Do Not Meet"))</f>
        <v xml:space="preserve"> </v>
      </c>
      <c r="J24" s="75"/>
      <c r="K24" s="75"/>
      <c r="L24" s="76"/>
    </row>
    <row r="25" spans="1:12" ht="14.45" customHeight="1" thickBot="1" x14ac:dyDescent="0.45">
      <c r="A25" s="14"/>
      <c r="B25" s="15"/>
      <c r="C25" s="18"/>
      <c r="D25" s="11"/>
      <c r="E25" s="11"/>
      <c r="F25" s="29" t="str">
        <f>IF(E25=""," ",IF(E25&lt;=Info!D25,"Pass","Fail"))</f>
        <v xml:space="preserve"> </v>
      </c>
      <c r="G25" s="30"/>
      <c r="H25" s="31" t="str">
        <f>IF(G25=""," ",IF(G25&lt;=Info!F25,"Pass","Fail"))</f>
        <v xml:space="preserve"> </v>
      </c>
      <c r="I25" s="77"/>
      <c r="J25" s="78"/>
      <c r="K25" s="78"/>
      <c r="L25" s="79"/>
    </row>
    <row r="26" spans="1:12" ht="13.9" x14ac:dyDescent="0.4">
      <c r="A26" s="14"/>
      <c r="B26" s="15"/>
      <c r="C26" s="18"/>
      <c r="D26" s="11"/>
      <c r="E26" s="11"/>
      <c r="F26" s="29" t="str">
        <f>IF(E26=""," ",IF(E26&lt;=Info!D26,"Pass","Fail"))</f>
        <v xml:space="preserve"> </v>
      </c>
      <c r="G26" s="30"/>
      <c r="H26" s="31" t="str">
        <f>IF(G26=""," ",IF(G26&lt;=Info!F26,"Pass","Fail"))</f>
        <v xml:space="preserve"> </v>
      </c>
      <c r="I26" s="65" t="s">
        <v>25</v>
      </c>
      <c r="J26" s="66"/>
      <c r="K26" s="66"/>
      <c r="L26" s="67"/>
    </row>
    <row r="27" spans="1:12" ht="14.25" thickBot="1" x14ac:dyDescent="0.45">
      <c r="A27" s="14"/>
      <c r="B27" s="15"/>
      <c r="C27" s="18"/>
      <c r="D27" s="11"/>
      <c r="E27" s="11"/>
      <c r="F27" s="29" t="str">
        <f>IF(E27=""," ",IF(E27&lt;=Info!D27,"Pass","Fail"))</f>
        <v xml:space="preserve"> </v>
      </c>
      <c r="G27" s="30"/>
      <c r="H27" s="31" t="str">
        <f>IF(G27=""," ",IF(G27&lt;=Info!F27,"Pass","Fail"))</f>
        <v xml:space="preserve"> </v>
      </c>
      <c r="I27" s="65" t="s">
        <v>45</v>
      </c>
      <c r="J27" s="66"/>
      <c r="K27" s="66"/>
      <c r="L27" s="67"/>
    </row>
    <row r="28" spans="1:12" ht="13.9" x14ac:dyDescent="0.4">
      <c r="A28" s="14"/>
      <c r="B28" s="15"/>
      <c r="C28" s="18"/>
      <c r="D28" s="11"/>
      <c r="E28" s="11"/>
      <c r="F28" s="29" t="str">
        <f>IF(E28=""," ",IF(E28&lt;=Info!D28,"Pass","Fail"))</f>
        <v xml:space="preserve"> </v>
      </c>
      <c r="G28" s="30"/>
      <c r="H28" s="31" t="str">
        <f>IF(G28=""," ",IF(G28&lt;=Info!F28,"Pass","Fail"))</f>
        <v xml:space="preserve"> </v>
      </c>
      <c r="I28" s="80"/>
      <c r="J28" s="81"/>
      <c r="K28" s="81"/>
      <c r="L28" s="82"/>
    </row>
    <row r="29" spans="1:12" ht="13.9" x14ac:dyDescent="0.4">
      <c r="A29" s="14"/>
      <c r="B29" s="15"/>
      <c r="C29" s="18"/>
      <c r="D29" s="11"/>
      <c r="E29" s="11"/>
      <c r="F29" s="29" t="str">
        <f>IF(E29=""," ",IF(E29&lt;=Info!D29,"Pass","Fail"))</f>
        <v xml:space="preserve"> </v>
      </c>
      <c r="G29" s="30"/>
      <c r="H29" s="31" t="str">
        <f>IF(G29=""," ",IF(G29&lt;=Info!F29,"Pass","Fail"))</f>
        <v xml:space="preserve"> </v>
      </c>
      <c r="I29" s="65" t="s">
        <v>26</v>
      </c>
      <c r="J29" s="66"/>
      <c r="K29" s="66"/>
      <c r="L29" s="67"/>
    </row>
    <row r="30" spans="1:12" ht="14.25" thickBot="1" x14ac:dyDescent="0.45">
      <c r="A30" s="14"/>
      <c r="B30" s="15"/>
      <c r="C30" s="18"/>
      <c r="D30" s="11"/>
      <c r="E30" s="11"/>
      <c r="F30" s="29" t="str">
        <f>IF(E30=""," ",IF(E30&lt;=Info!D30,"Pass","Fail"))</f>
        <v xml:space="preserve"> </v>
      </c>
      <c r="G30" s="30"/>
      <c r="H30" s="31" t="str">
        <f>IF(G30=""," ",IF(G30&lt;=Info!F30,"Pass","Fail"))</f>
        <v xml:space="preserve"> </v>
      </c>
      <c r="I30" s="68"/>
      <c r="J30" s="69"/>
      <c r="K30" s="69"/>
      <c r="L30" s="70"/>
    </row>
    <row r="31" spans="1:12" ht="13.9" x14ac:dyDescent="0.4">
      <c r="A31" s="14"/>
      <c r="B31" s="15"/>
      <c r="C31" s="18"/>
      <c r="D31" s="11"/>
      <c r="E31" s="11"/>
      <c r="F31" s="29" t="str">
        <f>IF(E31=""," ",IF(E31&lt;=Info!D31,"Pass","Fail"))</f>
        <v xml:space="preserve"> </v>
      </c>
      <c r="G31" s="30"/>
      <c r="H31" s="31" t="str">
        <f>IF(G31=""," ",IF(G31&lt;=Info!F31,"Pass","Fail"))</f>
        <v xml:space="preserve"> </v>
      </c>
      <c r="I31" s="59"/>
      <c r="J31" s="60"/>
      <c r="K31" s="60"/>
      <c r="L31" s="61"/>
    </row>
    <row r="32" spans="1:12" ht="13.9" x14ac:dyDescent="0.4">
      <c r="A32" s="14"/>
      <c r="B32" s="15"/>
      <c r="C32" s="18"/>
      <c r="D32" s="11"/>
      <c r="E32" s="11"/>
      <c r="F32" s="29" t="str">
        <f>IF(E32=""," ",IF(E32&lt;=Info!D32,"Pass","Fail"))</f>
        <v xml:space="preserve"> </v>
      </c>
      <c r="G32" s="30"/>
      <c r="H32" s="31" t="str">
        <f>IF(G32=""," ",IF(G32&lt;=Info!F32,"Pass","Fail"))</f>
        <v xml:space="preserve"> </v>
      </c>
      <c r="I32" s="59"/>
      <c r="J32" s="60"/>
      <c r="K32" s="60"/>
      <c r="L32" s="61"/>
    </row>
    <row r="33" spans="1:12" ht="13.9" x14ac:dyDescent="0.4">
      <c r="A33" s="14"/>
      <c r="B33" s="15"/>
      <c r="C33" s="18"/>
      <c r="D33" s="11"/>
      <c r="E33" s="11"/>
      <c r="F33" s="29" t="str">
        <f>IF(E33=""," ",IF(E33&lt;=Info!D33,"Pass","Fail"))</f>
        <v xml:space="preserve"> </v>
      </c>
      <c r="G33" s="30"/>
      <c r="H33" s="31" t="str">
        <f>IF(G33=""," ",IF(G33&lt;=Info!F33,"Pass","Fail"))</f>
        <v xml:space="preserve"> </v>
      </c>
      <c r="I33" s="59"/>
      <c r="J33" s="60"/>
      <c r="K33" s="60"/>
      <c r="L33" s="61"/>
    </row>
    <row r="34" spans="1:12" ht="13.9" x14ac:dyDescent="0.4">
      <c r="A34" s="14"/>
      <c r="B34" s="15"/>
      <c r="C34" s="18"/>
      <c r="D34" s="11"/>
      <c r="E34" s="11"/>
      <c r="F34" s="29" t="str">
        <f>IF(E34=""," ",IF(E34&lt;=Info!D34,"Pass","Fail"))</f>
        <v xml:space="preserve"> </v>
      </c>
      <c r="G34" s="30"/>
      <c r="H34" s="31" t="str">
        <f>IF(G34=""," ",IF(G34&lt;=Info!F34,"Pass","Fail"))</f>
        <v xml:space="preserve"> </v>
      </c>
      <c r="I34" s="59"/>
      <c r="J34" s="60"/>
      <c r="K34" s="60"/>
      <c r="L34" s="61"/>
    </row>
    <row r="35" spans="1:12" ht="13.9" x14ac:dyDescent="0.4">
      <c r="A35" s="14"/>
      <c r="B35" s="15"/>
      <c r="C35" s="18"/>
      <c r="D35" s="11"/>
      <c r="E35" s="11"/>
      <c r="F35" s="29" t="str">
        <f>IF(E35=""," ",IF(E35&lt;=Info!D35,"Pass","Fail"))</f>
        <v xml:space="preserve"> </v>
      </c>
      <c r="G35" s="30"/>
      <c r="H35" s="31" t="str">
        <f>IF(G35=""," ",IF(G35&lt;=Info!F35,"Pass","Fail"))</f>
        <v xml:space="preserve"> </v>
      </c>
      <c r="I35" s="59"/>
      <c r="J35" s="60"/>
      <c r="K35" s="60"/>
      <c r="L35" s="61"/>
    </row>
    <row r="36" spans="1:12" ht="13.9" x14ac:dyDescent="0.4">
      <c r="A36" s="14"/>
      <c r="B36" s="15"/>
      <c r="C36" s="18"/>
      <c r="D36" s="11"/>
      <c r="E36" s="11"/>
      <c r="F36" s="29" t="str">
        <f>IF(E36=""," ",IF(E36&lt;=Info!D36,"Pass","Fail"))</f>
        <v xml:space="preserve"> </v>
      </c>
      <c r="G36" s="30"/>
      <c r="H36" s="31" t="str">
        <f>IF(G36=""," ",IF(G36&lt;=Info!F36,"Pass","Fail"))</f>
        <v xml:space="preserve"> </v>
      </c>
      <c r="I36" s="59"/>
      <c r="J36" s="60"/>
      <c r="K36" s="60"/>
      <c r="L36" s="61"/>
    </row>
    <row r="37" spans="1:12" ht="13.9" x14ac:dyDescent="0.4">
      <c r="A37" s="14"/>
      <c r="B37" s="15"/>
      <c r="C37" s="18"/>
      <c r="D37" s="11"/>
      <c r="E37" s="11"/>
      <c r="F37" s="29" t="str">
        <f>IF(E37=""," ",IF(E37&lt;=Info!D37,"Pass","Fail"))</f>
        <v xml:space="preserve"> </v>
      </c>
      <c r="G37" s="30"/>
      <c r="H37" s="31" t="str">
        <f>IF(G37=""," ",IF(G37&lt;=Info!F37,"Pass","Fail"))</f>
        <v xml:space="preserve"> </v>
      </c>
      <c r="I37" s="59"/>
      <c r="J37" s="60"/>
      <c r="K37" s="60"/>
      <c r="L37" s="61"/>
    </row>
    <row r="38" spans="1:12" ht="13.9" x14ac:dyDescent="0.4">
      <c r="A38" s="14"/>
      <c r="B38" s="15"/>
      <c r="C38" s="18"/>
      <c r="D38" s="11"/>
      <c r="E38" s="11"/>
      <c r="F38" s="29" t="str">
        <f>IF(E38=""," ",IF(E38&lt;=Info!D38,"Pass","Fail"))</f>
        <v xml:space="preserve"> </v>
      </c>
      <c r="G38" s="30"/>
      <c r="H38" s="31" t="str">
        <f>IF(G38=""," ",IF(G38&lt;=Info!F38,"Pass","Fail"))</f>
        <v xml:space="preserve"> </v>
      </c>
      <c r="I38" s="59"/>
      <c r="J38" s="60"/>
      <c r="K38" s="60"/>
      <c r="L38" s="61"/>
    </row>
    <row r="39" spans="1:12" ht="13.9" x14ac:dyDescent="0.4">
      <c r="A39" s="14"/>
      <c r="B39" s="15"/>
      <c r="C39" s="18"/>
      <c r="D39" s="11"/>
      <c r="E39" s="11"/>
      <c r="F39" s="29" t="str">
        <f>IF(E39=""," ",IF(E39&lt;=Info!D39,"Pass","Fail"))</f>
        <v xml:space="preserve"> </v>
      </c>
      <c r="G39" s="30"/>
      <c r="H39" s="31" t="str">
        <f>IF(G39=""," ",IF(G39&lt;=Info!F39,"Pass","Fail"))</f>
        <v xml:space="preserve"> </v>
      </c>
      <c r="I39" s="59"/>
      <c r="J39" s="60"/>
      <c r="K39" s="60"/>
      <c r="L39" s="61"/>
    </row>
    <row r="40" spans="1:12" ht="13.9" x14ac:dyDescent="0.4">
      <c r="A40" s="14"/>
      <c r="B40" s="15"/>
      <c r="C40" s="18"/>
      <c r="D40" s="11"/>
      <c r="E40" s="11"/>
      <c r="F40" s="29" t="str">
        <f>IF(E40=""," ",IF(E40&lt;=Info!D40,"Pass","Fail"))</f>
        <v xml:space="preserve"> </v>
      </c>
      <c r="G40" s="30"/>
      <c r="H40" s="31" t="str">
        <f>IF(G40=""," ",IF(G40&lt;=Info!F40,"Pass","Fail"))</f>
        <v xml:space="preserve"> </v>
      </c>
      <c r="I40" s="59"/>
      <c r="J40" s="60"/>
      <c r="K40" s="60"/>
      <c r="L40" s="61"/>
    </row>
    <row r="41" spans="1:12" ht="13.9" x14ac:dyDescent="0.4">
      <c r="A41" s="14"/>
      <c r="B41" s="15"/>
      <c r="C41" s="18"/>
      <c r="D41" s="11"/>
      <c r="E41" s="11"/>
      <c r="F41" s="29" t="str">
        <f>IF(E41=""," ",IF(E41&lt;=Info!D41,"Pass","Fail"))</f>
        <v xml:space="preserve"> </v>
      </c>
      <c r="G41" s="30"/>
      <c r="H41" s="31" t="str">
        <f>IF(G41=""," ",IF(G41&lt;=Info!F41,"Pass","Fail"))</f>
        <v xml:space="preserve"> </v>
      </c>
      <c r="I41" s="59"/>
      <c r="J41" s="60"/>
      <c r="K41" s="60"/>
      <c r="L41" s="61"/>
    </row>
    <row r="42" spans="1:12" ht="13.9" x14ac:dyDescent="0.4">
      <c r="A42" s="14"/>
      <c r="B42" s="15"/>
      <c r="C42" s="18"/>
      <c r="D42" s="11"/>
      <c r="E42" s="11"/>
      <c r="F42" s="29" t="str">
        <f>IF(E42=""," ",IF(E42&lt;=Info!D42,"Pass","Fail"))</f>
        <v xml:space="preserve"> </v>
      </c>
      <c r="G42" s="30"/>
      <c r="H42" s="31" t="str">
        <f>IF(G42=""," ",IF(G42&lt;=Info!F42,"Pass","Fail"))</f>
        <v xml:space="preserve"> </v>
      </c>
      <c r="I42" s="59"/>
      <c r="J42" s="60"/>
      <c r="K42" s="60"/>
      <c r="L42" s="61"/>
    </row>
    <row r="43" spans="1:12" ht="13.9" x14ac:dyDescent="0.4">
      <c r="A43" s="14"/>
      <c r="B43" s="15"/>
      <c r="C43" s="18"/>
      <c r="D43" s="11"/>
      <c r="E43" s="11"/>
      <c r="F43" s="29" t="str">
        <f>IF(E43=""," ",IF(E43&lt;=Info!D43,"Pass","Fail"))</f>
        <v xml:space="preserve"> </v>
      </c>
      <c r="G43" s="30"/>
      <c r="H43" s="31" t="str">
        <f>IF(G43=""," ",IF(G43&lt;=Info!F43,"Pass","Fail"))</f>
        <v xml:space="preserve"> </v>
      </c>
      <c r="I43" s="59"/>
      <c r="J43" s="60"/>
      <c r="K43" s="60"/>
      <c r="L43" s="61"/>
    </row>
    <row r="44" spans="1:12" ht="13.9" x14ac:dyDescent="0.4">
      <c r="A44" s="14"/>
      <c r="B44" s="15"/>
      <c r="C44" s="18"/>
      <c r="D44" s="11"/>
      <c r="E44" s="11"/>
      <c r="F44" s="29" t="str">
        <f>IF(E44=""," ",IF(E44&lt;=Info!D44,"Pass","Fail"))</f>
        <v xml:space="preserve"> </v>
      </c>
      <c r="G44" s="30"/>
      <c r="H44" s="31" t="str">
        <f>IF(G44=""," ",IF(G44&lt;=Info!F44,"Pass","Fail"))</f>
        <v xml:space="preserve"> </v>
      </c>
      <c r="I44" s="59"/>
      <c r="J44" s="60"/>
      <c r="K44" s="60"/>
      <c r="L44" s="61"/>
    </row>
    <row r="45" spans="1:12" ht="13.9" x14ac:dyDescent="0.4">
      <c r="A45" s="14"/>
      <c r="B45" s="15"/>
      <c r="C45" s="18"/>
      <c r="D45" s="11"/>
      <c r="E45" s="11"/>
      <c r="F45" s="29" t="str">
        <f>IF(E45=""," ",IF(E45&lt;=Info!D45,"Pass","Fail"))</f>
        <v xml:space="preserve"> </v>
      </c>
      <c r="G45" s="30"/>
      <c r="H45" s="31" t="str">
        <f>IF(G45=""," ",IF(G45&lt;=Info!F45,"Pass","Fail"))</f>
        <v xml:space="preserve"> </v>
      </c>
      <c r="I45" s="59"/>
      <c r="J45" s="60"/>
      <c r="K45" s="60"/>
      <c r="L45" s="61"/>
    </row>
    <row r="46" spans="1:12" ht="13.9" x14ac:dyDescent="0.4">
      <c r="A46" s="14"/>
      <c r="B46" s="15"/>
      <c r="C46" s="18"/>
      <c r="D46" s="11"/>
      <c r="E46" s="11"/>
      <c r="F46" s="29" t="str">
        <f>IF(E46=""," ",IF(E46&lt;=Info!D46,"Pass","Fail"))</f>
        <v xml:space="preserve"> </v>
      </c>
      <c r="G46" s="30"/>
      <c r="H46" s="31" t="str">
        <f>IF(G46=""," ",IF(G46&lt;=Info!F46,"Pass","Fail"))</f>
        <v xml:space="preserve"> </v>
      </c>
      <c r="I46" s="43"/>
      <c r="J46" s="44"/>
      <c r="K46" s="44"/>
      <c r="L46" s="45"/>
    </row>
    <row r="47" spans="1:12" ht="13.9" x14ac:dyDescent="0.4">
      <c r="A47" s="14"/>
      <c r="B47" s="15"/>
      <c r="C47" s="18"/>
      <c r="D47" s="11"/>
      <c r="E47" s="11"/>
      <c r="F47" s="29" t="str">
        <f>IF(E47=""," ",IF(E47&lt;=Info!D47,"Pass","Fail"))</f>
        <v xml:space="preserve"> </v>
      </c>
      <c r="G47" s="30"/>
      <c r="H47" s="31" t="str">
        <f>IF(G47=""," ",IF(G47&lt;=Info!F47,"Pass","Fail"))</f>
        <v xml:space="preserve"> </v>
      </c>
      <c r="I47" s="43"/>
      <c r="J47" s="44"/>
      <c r="K47" s="44"/>
      <c r="L47" s="45"/>
    </row>
    <row r="48" spans="1:12" ht="13.9" x14ac:dyDescent="0.4">
      <c r="A48" s="14"/>
      <c r="B48" s="15"/>
      <c r="C48" s="18"/>
      <c r="D48" s="11"/>
      <c r="E48" s="11"/>
      <c r="F48" s="29" t="str">
        <f>IF(E48=""," ",IF(E48&lt;=Info!D48,"Pass","Fail"))</f>
        <v xml:space="preserve"> </v>
      </c>
      <c r="G48" s="30"/>
      <c r="H48" s="31" t="str">
        <f>IF(G48=""," ",IF(G48&lt;=Info!F48,"Pass","Fail"))</f>
        <v xml:space="preserve"> </v>
      </c>
      <c r="I48" s="43"/>
      <c r="J48" s="44"/>
      <c r="K48" s="44"/>
      <c r="L48" s="45"/>
    </row>
    <row r="49" spans="1:12" ht="13.9" x14ac:dyDescent="0.4">
      <c r="A49" s="14"/>
      <c r="B49" s="15"/>
      <c r="C49" s="18"/>
      <c r="D49" s="11"/>
      <c r="E49" s="11"/>
      <c r="F49" s="29" t="str">
        <f>IF(E49=""," ",IF(E49&lt;=Info!D49,"Pass","Fail"))</f>
        <v xml:space="preserve"> </v>
      </c>
      <c r="G49" s="30"/>
      <c r="H49" s="31" t="str">
        <f>IF(G49=""," ",IF(G49&lt;=Info!F49,"Pass","Fail"))</f>
        <v xml:space="preserve"> </v>
      </c>
      <c r="I49" s="43"/>
      <c r="J49" s="44"/>
      <c r="K49" s="44"/>
      <c r="L49" s="45"/>
    </row>
    <row r="50" spans="1:12" ht="13.9" x14ac:dyDescent="0.4">
      <c r="A50" s="14"/>
      <c r="B50" s="15"/>
      <c r="C50" s="18"/>
      <c r="D50" s="11"/>
      <c r="E50" s="11"/>
      <c r="F50" s="29" t="str">
        <f>IF(E50=""," ",IF(E50&lt;=Info!D50,"Pass","Fail"))</f>
        <v xml:space="preserve"> </v>
      </c>
      <c r="G50" s="30"/>
      <c r="H50" s="31" t="str">
        <f>IF(G50=""," ",IF(G50&lt;=Info!F50,"Pass","Fail"))</f>
        <v xml:space="preserve"> </v>
      </c>
      <c r="I50" s="43"/>
      <c r="J50" s="44"/>
      <c r="K50" s="44"/>
      <c r="L50" s="45"/>
    </row>
    <row r="51" spans="1:12" ht="13.9" x14ac:dyDescent="0.4">
      <c r="A51" s="14"/>
      <c r="B51" s="15"/>
      <c r="C51" s="18"/>
      <c r="D51" s="11"/>
      <c r="E51" s="11"/>
      <c r="F51" s="29" t="str">
        <f>IF(E51=""," ",IF(E51&lt;=Info!D51,"Pass","Fail"))</f>
        <v xml:space="preserve"> </v>
      </c>
      <c r="G51" s="30"/>
      <c r="H51" s="31" t="str">
        <f>IF(G51=""," ",IF(G51&lt;=Info!F51,"Pass","Fail"))</f>
        <v xml:space="preserve"> </v>
      </c>
      <c r="I51" s="43"/>
      <c r="J51" s="44"/>
      <c r="K51" s="44"/>
      <c r="L51" s="45"/>
    </row>
    <row r="52" spans="1:12" ht="13.9" x14ac:dyDescent="0.4">
      <c r="A52" s="14"/>
      <c r="B52" s="15"/>
      <c r="C52" s="18"/>
      <c r="D52" s="11"/>
      <c r="E52" s="11"/>
      <c r="F52" s="29" t="str">
        <f>IF(E52=""," ",IF(E52&lt;=Info!D52,"Pass","Fail"))</f>
        <v xml:space="preserve"> </v>
      </c>
      <c r="G52" s="30"/>
      <c r="H52" s="31" t="str">
        <f>IF(G52=""," ",IF(G52&lt;=Info!F52,"Pass","Fail"))</f>
        <v xml:space="preserve"> </v>
      </c>
      <c r="I52" s="43"/>
      <c r="J52" s="44"/>
      <c r="K52" s="44"/>
      <c r="L52" s="45"/>
    </row>
    <row r="53" spans="1:12" ht="13.9" x14ac:dyDescent="0.4">
      <c r="A53" s="14"/>
      <c r="B53" s="15"/>
      <c r="C53" s="18"/>
      <c r="D53" s="11"/>
      <c r="E53" s="11"/>
      <c r="F53" s="29" t="str">
        <f>IF(E53=""," ",IF(E53&lt;=Info!D53,"Pass","Fail"))</f>
        <v xml:space="preserve"> </v>
      </c>
      <c r="G53" s="30"/>
      <c r="H53" s="31" t="str">
        <f>IF(G53=""," ",IF(G53&lt;=Info!F53,"Pass","Fail"))</f>
        <v xml:space="preserve"> </v>
      </c>
      <c r="I53" s="59"/>
      <c r="J53" s="60"/>
      <c r="K53" s="60"/>
      <c r="L53" s="61"/>
    </row>
    <row r="54" spans="1:12" ht="14.25" thickBot="1" x14ac:dyDescent="0.45">
      <c r="A54" s="16"/>
      <c r="B54" s="17"/>
      <c r="C54" s="19"/>
      <c r="D54" s="12"/>
      <c r="E54" s="12"/>
      <c r="F54" s="29" t="str">
        <f>IF(E54=""," ",IF(E54&lt;=Info!D54,"Pass","Fail"))</f>
        <v xml:space="preserve"> </v>
      </c>
      <c r="G54" s="30"/>
      <c r="H54" s="31" t="str">
        <f>IF(G54=""," ",IF(G54&lt;=Info!F54,"Pass","Fail"))</f>
        <v xml:space="preserve"> </v>
      </c>
      <c r="I54" s="62"/>
      <c r="J54" s="63"/>
      <c r="K54" s="63"/>
      <c r="L54" s="64"/>
    </row>
    <row r="55" spans="1:12" ht="14.25" thickBot="1" x14ac:dyDescent="0.45">
      <c r="A55" s="48" t="s">
        <v>44</v>
      </c>
      <c r="B55" s="49"/>
      <c r="C55" s="49"/>
      <c r="D55" s="49"/>
      <c r="E55" s="49"/>
      <c r="F55" s="50"/>
      <c r="G55" s="50"/>
      <c r="H55" s="50"/>
      <c r="I55" s="49"/>
      <c r="J55" s="49"/>
      <c r="K55" s="49"/>
      <c r="L55" s="51"/>
    </row>
    <row r="56" spans="1:12" ht="14.25" thickBot="1" x14ac:dyDescent="0.45">
      <c r="A56" s="52" t="s">
        <v>53</v>
      </c>
      <c r="B56" s="53"/>
      <c r="C56" s="53"/>
      <c r="D56" s="53"/>
      <c r="E56" s="54"/>
      <c r="F56" s="13">
        <f>COUNTIF(F18:F54:H18:H54,"Fail")</f>
        <v>0</v>
      </c>
      <c r="G56" s="9"/>
      <c r="H56" s="9"/>
      <c r="I56" s="9"/>
      <c r="J56" s="9"/>
      <c r="K56" s="9"/>
      <c r="L56" s="9"/>
    </row>
    <row r="57" spans="1:12" ht="13.9" x14ac:dyDescent="0.4">
      <c r="A57" s="46" t="s">
        <v>27</v>
      </c>
      <c r="B57" s="46"/>
      <c r="C57" s="46"/>
      <c r="D57" s="56" t="s">
        <v>51</v>
      </c>
      <c r="E57" s="56"/>
      <c r="F57" s="56"/>
      <c r="G57" s="55"/>
      <c r="H57" s="55"/>
      <c r="I57" s="55"/>
      <c r="J57" s="55"/>
      <c r="K57" s="55"/>
      <c r="L57" s="55"/>
    </row>
    <row r="58" spans="1:12" ht="13.9" x14ac:dyDescent="0.4">
      <c r="A58" s="46" t="s">
        <v>50</v>
      </c>
      <c r="B58" s="46"/>
      <c r="C58" s="46"/>
      <c r="D58" s="57"/>
      <c r="E58" s="57"/>
      <c r="F58" s="57"/>
      <c r="G58" s="46" t="s">
        <v>30</v>
      </c>
      <c r="H58" s="46"/>
      <c r="I58" s="46"/>
      <c r="J58" s="47"/>
      <c r="K58" s="47"/>
      <c r="L58" s="47"/>
    </row>
    <row r="59" spans="1:12" ht="13.9" x14ac:dyDescent="0.4">
      <c r="A59" s="46" t="s">
        <v>28</v>
      </c>
      <c r="B59" s="46"/>
      <c r="C59" s="46"/>
      <c r="D59" s="47"/>
      <c r="E59" s="47"/>
      <c r="F59" s="47"/>
      <c r="G59" s="46"/>
      <c r="H59" s="46"/>
      <c r="I59" s="46"/>
      <c r="J59" s="46"/>
      <c r="K59" s="46"/>
      <c r="L59" s="46"/>
    </row>
    <row r="60" spans="1:12" ht="13.9" x14ac:dyDescent="0.4">
      <c r="A60" s="46" t="s">
        <v>29</v>
      </c>
      <c r="B60" s="46"/>
      <c r="C60" s="46"/>
      <c r="D60" s="58" t="str">
        <f>IF(Info!D9=""," ",Info!D9)</f>
        <v xml:space="preserve"> </v>
      </c>
      <c r="E60" s="58"/>
      <c r="F60" s="58"/>
      <c r="G60" s="46" t="s">
        <v>31</v>
      </c>
      <c r="H60" s="46"/>
      <c r="I60" s="46"/>
      <c r="J60" s="47"/>
      <c r="K60" s="47"/>
      <c r="L60" s="47"/>
    </row>
    <row r="61" spans="1:12" ht="13.9" x14ac:dyDescent="0.4">
      <c r="A61" s="9"/>
      <c r="B61" s="9"/>
      <c r="C61" s="9"/>
      <c r="D61" s="9"/>
      <c r="E61" s="9"/>
      <c r="F61" s="9"/>
      <c r="G61" s="9"/>
      <c r="H61" s="9"/>
      <c r="I61" s="99" t="s">
        <v>66</v>
      </c>
      <c r="J61" s="99"/>
      <c r="K61" s="99"/>
      <c r="L61" s="99"/>
    </row>
  </sheetData>
  <sheetProtection password="96B1" sheet="1" objects="1" scenarios="1"/>
  <mergeCells count="100">
    <mergeCell ref="I61:L61"/>
    <mergeCell ref="A7:B7"/>
    <mergeCell ref="I27:L27"/>
    <mergeCell ref="C7:F7"/>
    <mergeCell ref="G7:H7"/>
    <mergeCell ref="I7:L7"/>
    <mergeCell ref="G10:H10"/>
    <mergeCell ref="C8:F8"/>
    <mergeCell ref="C9:F9"/>
    <mergeCell ref="C10:F10"/>
    <mergeCell ref="D5:I5"/>
    <mergeCell ref="A5:C5"/>
    <mergeCell ref="A6:L6"/>
    <mergeCell ref="J5:L5"/>
    <mergeCell ref="C11:F11"/>
    <mergeCell ref="I8:L8"/>
    <mergeCell ref="I9:L9"/>
    <mergeCell ref="I10:L10"/>
    <mergeCell ref="G11:H11"/>
    <mergeCell ref="A1:L1"/>
    <mergeCell ref="A3:B3"/>
    <mergeCell ref="A4:B4"/>
    <mergeCell ref="K3:L3"/>
    <mergeCell ref="K4:L4"/>
    <mergeCell ref="D2:I2"/>
    <mergeCell ref="D3:I3"/>
    <mergeCell ref="D4:I4"/>
    <mergeCell ref="A2:C2"/>
    <mergeCell ref="J2:L2"/>
    <mergeCell ref="I11:L11"/>
    <mergeCell ref="A8:B8"/>
    <mergeCell ref="A9:B9"/>
    <mergeCell ref="A10:B10"/>
    <mergeCell ref="G8:H8"/>
    <mergeCell ref="G9:H9"/>
    <mergeCell ref="A11:B11"/>
    <mergeCell ref="I14:L14"/>
    <mergeCell ref="I12:L12"/>
    <mergeCell ref="A16:B16"/>
    <mergeCell ref="A15:B15"/>
    <mergeCell ref="C15:H15"/>
    <mergeCell ref="D12:F12"/>
    <mergeCell ref="G12:H12"/>
    <mergeCell ref="A12:B12"/>
    <mergeCell ref="A13:L13"/>
    <mergeCell ref="A14:H14"/>
    <mergeCell ref="I19:L19"/>
    <mergeCell ref="I20:L20"/>
    <mergeCell ref="I15:L15"/>
    <mergeCell ref="I21:L21"/>
    <mergeCell ref="I16:L16"/>
    <mergeCell ref="I17:L17"/>
    <mergeCell ref="I18:L18"/>
    <mergeCell ref="I36:L36"/>
    <mergeCell ref="I22:L22"/>
    <mergeCell ref="I23:L23"/>
    <mergeCell ref="I24:L25"/>
    <mergeCell ref="I26:L26"/>
    <mergeCell ref="I32:L32"/>
    <mergeCell ref="I33:L33"/>
    <mergeCell ref="I34:L34"/>
    <mergeCell ref="I35:L35"/>
    <mergeCell ref="I28:L28"/>
    <mergeCell ref="I29:L29"/>
    <mergeCell ref="I30:L30"/>
    <mergeCell ref="I31:L31"/>
    <mergeCell ref="A59:C59"/>
    <mergeCell ref="I45:L45"/>
    <mergeCell ref="I37:L37"/>
    <mergeCell ref="I38:L38"/>
    <mergeCell ref="I39:L39"/>
    <mergeCell ref="I40:L40"/>
    <mergeCell ref="I41:L41"/>
    <mergeCell ref="I42:L42"/>
    <mergeCell ref="I43:L43"/>
    <mergeCell ref="I44:L44"/>
    <mergeCell ref="G59:L59"/>
    <mergeCell ref="I46:L46"/>
    <mergeCell ref="I47:L47"/>
    <mergeCell ref="I53:L53"/>
    <mergeCell ref="I52:L52"/>
    <mergeCell ref="I54:L54"/>
    <mergeCell ref="I51:L51"/>
    <mergeCell ref="G57:L57"/>
    <mergeCell ref="A60:C60"/>
    <mergeCell ref="D57:F57"/>
    <mergeCell ref="D58:F58"/>
    <mergeCell ref="D59:F59"/>
    <mergeCell ref="D60:F60"/>
    <mergeCell ref="A57:C57"/>
    <mergeCell ref="I48:L48"/>
    <mergeCell ref="I49:L49"/>
    <mergeCell ref="G60:I60"/>
    <mergeCell ref="J60:L60"/>
    <mergeCell ref="I50:L50"/>
    <mergeCell ref="A55:L55"/>
    <mergeCell ref="A56:E56"/>
    <mergeCell ref="A58:C58"/>
    <mergeCell ref="G58:I58"/>
    <mergeCell ref="J58:L58"/>
  </mergeCells>
  <phoneticPr fontId="7" type="noConversion"/>
  <printOptions horizontalCentered="1" verticalCentered="1"/>
  <pageMargins left="0" right="0" top="0" bottom="0" header="0" footer="0"/>
  <pageSetup scale="83" orientation="portrait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FD1F-2092-43E7-ACA3-41A8412FF1B5}">
  <sheetPr>
    <pageSetUpPr fitToPage="1"/>
  </sheetPr>
  <dimension ref="A1:L61"/>
  <sheetViews>
    <sheetView workbookViewId="0">
      <selection activeCell="A18" sqref="A18"/>
    </sheetView>
  </sheetViews>
  <sheetFormatPr defaultRowHeight="12.75" x14ac:dyDescent="0.35"/>
  <cols>
    <col min="1" max="2" width="10.73046875" customWidth="1"/>
    <col min="3" max="3" width="10.86328125" customWidth="1"/>
    <col min="4" max="11" width="9.73046875" customWidth="1"/>
    <col min="12" max="12" width="11.73046875" customWidth="1"/>
  </cols>
  <sheetData>
    <row r="1" spans="1:12" ht="17.649999999999999" x14ac:dyDescent="0.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5" customFormat="1" ht="23.65" ph="1" x14ac:dyDescent="0.4">
      <c r="A2" s="55"/>
      <c r="B2" s="55"/>
      <c r="C2" s="55"/>
      <c r="D2" s="41" t="s">
        <v>33</v>
      </c>
      <c r="E2" s="41"/>
      <c r="F2" s="41"/>
      <c r="G2" s="41"/>
      <c r="H2" s="41"/>
      <c r="I2" s="41"/>
      <c r="J2" s="55"/>
      <c r="K2" s="55"/>
      <c r="L2" s="55"/>
    </row>
    <row r="3" spans="1:12" s="5" customFormat="1" ht="23.65" ph="1" x14ac:dyDescent="0.4">
      <c r="A3" s="93" t="s">
        <v>1</v>
      </c>
      <c r="B3" s="93"/>
      <c r="C3" s="3" t="str">
        <f>IF(Info!D4=""," ",Info!D4)</f>
        <v xml:space="preserve"> </v>
      </c>
      <c r="D3" s="41" t="s">
        <v>4</v>
      </c>
      <c r="E3" s="41"/>
      <c r="F3" s="41"/>
      <c r="G3" s="41"/>
      <c r="H3" s="41"/>
      <c r="I3" s="41"/>
      <c r="J3" s="1" t="s">
        <v>3</v>
      </c>
      <c r="K3" s="97" t="str">
        <f>IF(Info!D5=""," ",Info!D5)</f>
        <v xml:space="preserve"> </v>
      </c>
      <c r="L3" s="97"/>
    </row>
    <row r="4" spans="1:12" s="5" customFormat="1" ht="15" x14ac:dyDescent="0.4">
      <c r="A4" s="93" t="s">
        <v>2</v>
      </c>
      <c r="B4" s="93"/>
      <c r="C4" s="6">
        <v>2</v>
      </c>
      <c r="D4" s="41" t="s">
        <v>64</v>
      </c>
      <c r="E4" s="41"/>
      <c r="F4" s="41"/>
      <c r="G4" s="41"/>
      <c r="H4" s="41"/>
      <c r="I4" s="41"/>
      <c r="J4" s="2"/>
      <c r="K4" s="98" t="s">
        <v>52</v>
      </c>
      <c r="L4" s="98"/>
    </row>
    <row r="5" spans="1:12" s="5" customFormat="1" ht="15" x14ac:dyDescent="0.4">
      <c r="A5" s="55"/>
      <c r="B5" s="55"/>
      <c r="C5" s="55"/>
      <c r="D5" s="41" t="s">
        <v>41</v>
      </c>
      <c r="E5" s="41"/>
      <c r="F5" s="41"/>
      <c r="G5" s="41"/>
      <c r="H5" s="41"/>
      <c r="I5" s="41"/>
      <c r="J5" s="55"/>
      <c r="K5" s="55"/>
      <c r="L5" s="55"/>
    </row>
    <row r="6" spans="1:12" s="5" customFormat="1" ht="23.25" ph="1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15.75" customHeight="1" x14ac:dyDescent="0.4">
      <c r="A7" s="93" t="s">
        <v>5</v>
      </c>
      <c r="B7" s="93"/>
      <c r="C7" s="98" t="str">
        <f>IF(Info!D6=""," ",Info!D6)</f>
        <v xml:space="preserve"> </v>
      </c>
      <c r="D7" s="98"/>
      <c r="E7" s="98"/>
      <c r="F7" s="98"/>
      <c r="G7" s="46" t="s">
        <v>10</v>
      </c>
      <c r="H7" s="46"/>
      <c r="I7" s="98" t="str">
        <f>IF(Info!D8=""," ",Info!D8)</f>
        <v xml:space="preserve"> </v>
      </c>
      <c r="J7" s="98"/>
      <c r="K7" s="98"/>
      <c r="L7" s="98"/>
    </row>
    <row r="8" spans="1:12" s="5" customFormat="1" ht="23.65" ph="1" x14ac:dyDescent="0.4">
      <c r="A8" s="93" t="s">
        <v>6</v>
      </c>
      <c r="B8" s="93"/>
      <c r="C8" s="98" t="str">
        <f>IF(Info!D7=""," ",Info!D7)</f>
        <v xml:space="preserve"> </v>
      </c>
      <c r="D8" s="98"/>
      <c r="E8" s="98"/>
      <c r="F8" s="98"/>
      <c r="G8" s="46" t="s">
        <v>11</v>
      </c>
      <c r="H8" s="46"/>
      <c r="I8" s="58" t="str">
        <f>IF(Info!D11=""," ",Info!D11)</f>
        <v xml:space="preserve"> </v>
      </c>
      <c r="J8" s="58"/>
      <c r="K8" s="58"/>
      <c r="L8" s="58"/>
    </row>
    <row r="9" spans="1:12" s="5" customFormat="1" ht="23.65" ph="1" x14ac:dyDescent="0.4">
      <c r="A9" s="93" t="s">
        <v>7</v>
      </c>
      <c r="B9" s="93"/>
      <c r="C9" s="98" t="str">
        <f>IF(Info!D10=""," ",Info!D10)</f>
        <v xml:space="preserve"> </v>
      </c>
      <c r="D9" s="98"/>
      <c r="E9" s="98"/>
      <c r="F9" s="98"/>
      <c r="G9" s="46" t="s">
        <v>12</v>
      </c>
      <c r="H9" s="46"/>
      <c r="I9" s="58" t="str">
        <f>IF(Info!D12=""," ",Info!D12)</f>
        <v xml:space="preserve"> </v>
      </c>
      <c r="J9" s="58"/>
      <c r="K9" s="58"/>
      <c r="L9" s="58"/>
    </row>
    <row r="10" spans="1:12" s="5" customFormat="1" ht="23.65" ph="1" x14ac:dyDescent="0.4">
      <c r="A10" s="93" t="s">
        <v>8</v>
      </c>
      <c r="B10" s="93"/>
      <c r="C10" s="98" t="str">
        <f>IF(Info!D15=""," ",Info!D15)</f>
        <v xml:space="preserve"> </v>
      </c>
      <c r="D10" s="98"/>
      <c r="E10" s="98"/>
      <c r="F10" s="98"/>
      <c r="G10" s="46" t="s">
        <v>13</v>
      </c>
      <c r="H10" s="46"/>
      <c r="I10" s="58" t="str">
        <f>IF(Info!D13=""," ",Info!D13)</f>
        <v xml:space="preserve"> </v>
      </c>
      <c r="J10" s="58"/>
      <c r="K10" s="58"/>
      <c r="L10" s="58"/>
    </row>
    <row r="11" spans="1:12" s="5" customFormat="1" ht="13.9" x14ac:dyDescent="0.4">
      <c r="A11" s="93" t="s">
        <v>47</v>
      </c>
      <c r="B11" s="93"/>
      <c r="C11" s="96" t="str">
        <f>IF(Info!D19=""," ",Info!D19)</f>
        <v xml:space="preserve"> </v>
      </c>
      <c r="D11" s="96"/>
      <c r="E11" s="96"/>
      <c r="F11" s="96"/>
      <c r="G11" s="46" t="s">
        <v>14</v>
      </c>
      <c r="H11" s="46"/>
      <c r="I11" s="96" t="str">
        <f>IF(Info!D14=""," ",Info!D14)</f>
        <v xml:space="preserve"> </v>
      </c>
      <c r="J11" s="96"/>
      <c r="K11" s="96"/>
      <c r="L11" s="96"/>
    </row>
    <row r="12" spans="1:12" s="5" customFormat="1" ht="23.65" ph="1" x14ac:dyDescent="0.4">
      <c r="A12" s="93" t="s">
        <v>9</v>
      </c>
      <c r="B12" s="93"/>
      <c r="C12" s="8" t="str">
        <f>IF(Info!D18=""," ",Info!D18)</f>
        <v xml:space="preserve"> </v>
      </c>
      <c r="D12" s="91" t="s">
        <v>49</v>
      </c>
      <c r="E12" s="92"/>
      <c r="F12" s="92"/>
      <c r="G12" s="46" t="s">
        <v>15</v>
      </c>
      <c r="H12" s="46"/>
      <c r="I12" s="58" t="str">
        <f>IF(Info!D16=""," ",Info!D16)</f>
        <v xml:space="preserve"> </v>
      </c>
      <c r="J12" s="58"/>
      <c r="K12" s="58"/>
      <c r="L12" s="58"/>
    </row>
    <row r="13" spans="1:12" s="5" customFormat="1" ht="23.65" thickBot="1" ph="1" x14ac:dyDescent="0.4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5.4" thickBot="1" x14ac:dyDescent="0.45">
      <c r="A14" s="94" t="s">
        <v>42</v>
      </c>
      <c r="B14" s="95"/>
      <c r="C14" s="95"/>
      <c r="D14" s="95"/>
      <c r="E14" s="95"/>
      <c r="F14" s="95"/>
      <c r="G14" s="95"/>
      <c r="H14" s="95"/>
      <c r="I14" s="86"/>
      <c r="J14" s="87"/>
      <c r="K14" s="87"/>
      <c r="L14" s="88"/>
    </row>
    <row r="15" spans="1:12" ht="14.25" thickBot="1" x14ac:dyDescent="0.45">
      <c r="A15" s="71" t="s">
        <v>16</v>
      </c>
      <c r="B15" s="89"/>
      <c r="C15" s="90" t="s">
        <v>43</v>
      </c>
      <c r="D15" s="72"/>
      <c r="E15" s="72"/>
      <c r="F15" s="72"/>
      <c r="G15" s="72"/>
      <c r="H15" s="72"/>
      <c r="I15" s="80"/>
      <c r="J15" s="81"/>
      <c r="K15" s="81"/>
      <c r="L15" s="82"/>
    </row>
    <row r="16" spans="1:12" ht="13.9" x14ac:dyDescent="0.4">
      <c r="A16" s="71" t="s">
        <v>17</v>
      </c>
      <c r="B16" s="89"/>
      <c r="C16" s="34" t="s">
        <v>60</v>
      </c>
      <c r="D16" s="34" t="s">
        <v>62</v>
      </c>
      <c r="E16" s="34" t="s">
        <v>56</v>
      </c>
      <c r="F16" s="34" t="s">
        <v>54</v>
      </c>
      <c r="G16" s="32" t="s">
        <v>58</v>
      </c>
      <c r="H16" s="35" t="s">
        <v>54</v>
      </c>
      <c r="I16" s="65" t="s">
        <v>20</v>
      </c>
      <c r="J16" s="66"/>
      <c r="K16" s="66"/>
      <c r="L16" s="67"/>
    </row>
    <row r="17" spans="1:12" ht="14.25" thickBot="1" x14ac:dyDescent="0.45">
      <c r="A17" s="26" t="s">
        <v>18</v>
      </c>
      <c r="B17" s="27" t="s">
        <v>19</v>
      </c>
      <c r="C17" s="4" t="s">
        <v>61</v>
      </c>
      <c r="D17" s="4" t="s">
        <v>63</v>
      </c>
      <c r="E17" s="4" t="s">
        <v>57</v>
      </c>
      <c r="F17" s="4" t="s">
        <v>55</v>
      </c>
      <c r="G17" s="10" t="s">
        <v>57</v>
      </c>
      <c r="H17" s="28" t="s">
        <v>55</v>
      </c>
      <c r="I17" s="65" t="s">
        <v>21</v>
      </c>
      <c r="J17" s="66"/>
      <c r="K17" s="66"/>
      <c r="L17" s="67"/>
    </row>
    <row r="18" spans="1:12" ht="13.9" x14ac:dyDescent="0.4">
      <c r="A18" s="22"/>
      <c r="B18" s="23"/>
      <c r="C18" s="24"/>
      <c r="D18" s="25"/>
      <c r="E18" s="25"/>
      <c r="F18" s="21" t="str">
        <f>IF(E18=""," ",IF(E18&lt;=Info!D18,"Pass","Fail"))</f>
        <v xml:space="preserve"> </v>
      </c>
      <c r="G18" s="20"/>
      <c r="H18" s="33" t="str">
        <f>IF(G18=""," ",IF(G18&lt;=Info!F18,"Pass","Fail"))</f>
        <v xml:space="preserve"> </v>
      </c>
      <c r="I18" s="83" t="s">
        <v>22</v>
      </c>
      <c r="J18" s="84"/>
      <c r="K18" s="84"/>
      <c r="L18" s="85"/>
    </row>
    <row r="19" spans="1:12" ht="13.9" x14ac:dyDescent="0.4">
      <c r="A19" s="14"/>
      <c r="B19" s="15"/>
      <c r="C19" s="18"/>
      <c r="D19" s="11"/>
      <c r="E19" s="11"/>
      <c r="F19" s="29" t="str">
        <f>IF(E19=""," ",IF(E19&lt;=Info!D19,"Pass","Fail"))</f>
        <v xml:space="preserve"> </v>
      </c>
      <c r="G19" s="30"/>
      <c r="H19" s="31" t="str">
        <f>IF(G19=""," ",IF(G19&lt;=Info!F19,"Pass","Fail"))</f>
        <v xml:space="preserve"> </v>
      </c>
      <c r="I19" s="83" t="s">
        <v>23</v>
      </c>
      <c r="J19" s="84"/>
      <c r="K19" s="84"/>
      <c r="L19" s="85"/>
    </row>
    <row r="20" spans="1:12" ht="13.9" x14ac:dyDescent="0.4">
      <c r="A20" s="14"/>
      <c r="B20" s="15"/>
      <c r="C20" s="18"/>
      <c r="D20" s="11"/>
      <c r="E20" s="11"/>
      <c r="F20" s="29" t="str">
        <f>IF(E20=""," ",IF(E20&lt;=Info!D20,"Pass","Fail"))</f>
        <v xml:space="preserve"> </v>
      </c>
      <c r="G20" s="30"/>
      <c r="H20" s="31" t="str">
        <f>IF(G20=""," ",IF(G20&lt;=Info!F20,"Pass","Fail"))</f>
        <v xml:space="preserve"> </v>
      </c>
      <c r="I20" s="65" t="s">
        <v>24</v>
      </c>
      <c r="J20" s="66"/>
      <c r="K20" s="66"/>
      <c r="L20" s="67"/>
    </row>
    <row r="21" spans="1:12" ht="14.25" thickBot="1" x14ac:dyDescent="0.45">
      <c r="A21" s="14"/>
      <c r="B21" s="15"/>
      <c r="C21" s="18"/>
      <c r="D21" s="11"/>
      <c r="E21" s="11"/>
      <c r="F21" s="29" t="str">
        <f>IF(E21=""," ",IF(E21&lt;=Info!D21,"Pass","Fail"))</f>
        <v xml:space="preserve"> </v>
      </c>
      <c r="G21" s="30"/>
      <c r="H21" s="31" t="str">
        <f>IF(G21=""," ",IF(G21&lt;=Info!F21,"Pass","Fail"))</f>
        <v xml:space="preserve"> </v>
      </c>
      <c r="I21" s="68"/>
      <c r="J21" s="69"/>
      <c r="K21" s="69"/>
      <c r="L21" s="70"/>
    </row>
    <row r="22" spans="1:12" ht="13.9" x14ac:dyDescent="0.4">
      <c r="A22" s="14"/>
      <c r="B22" s="15"/>
      <c r="C22" s="18"/>
      <c r="D22" s="11"/>
      <c r="E22" s="11"/>
      <c r="F22" s="29" t="str">
        <f>IF(E22=""," ",IF(E22&lt;=Info!D22,"Pass","Fail"))</f>
        <v xml:space="preserve"> </v>
      </c>
      <c r="G22" s="30"/>
      <c r="H22" s="31" t="str">
        <f>IF(G22=""," ",IF(G22&lt;=Info!F22,"Pass","Fail"))</f>
        <v xml:space="preserve"> </v>
      </c>
      <c r="I22" s="71"/>
      <c r="J22" s="72"/>
      <c r="K22" s="72"/>
      <c r="L22" s="73"/>
    </row>
    <row r="23" spans="1:12" ht="14.25" thickBot="1" x14ac:dyDescent="0.45">
      <c r="A23" s="14"/>
      <c r="B23" s="15"/>
      <c r="C23" s="18"/>
      <c r="D23" s="11"/>
      <c r="E23" s="11"/>
      <c r="F23" s="29" t="str">
        <f>IF(E23=""," ",IF(E23&lt;=Info!D23,"Pass","Fail"))</f>
        <v xml:space="preserve"> </v>
      </c>
      <c r="G23" s="30"/>
      <c r="H23" s="31" t="str">
        <f>IF(G23=""," ",IF(G23&lt;=Info!F23,"Pass","Fail"))</f>
        <v xml:space="preserve"> </v>
      </c>
      <c r="I23" s="65" t="s">
        <v>32</v>
      </c>
      <c r="J23" s="66"/>
      <c r="K23" s="66"/>
      <c r="L23" s="67"/>
    </row>
    <row r="24" spans="1:12" ht="13.9" customHeight="1" x14ac:dyDescent="0.4">
      <c r="A24" s="14"/>
      <c r="B24" s="15"/>
      <c r="C24" s="18"/>
      <c r="D24" s="11"/>
      <c r="E24" s="11"/>
      <c r="F24" s="29" t="str">
        <f>IF(E24=""," ",IF(E24&lt;=Info!D24,"Pass","Fail"))</f>
        <v xml:space="preserve"> </v>
      </c>
      <c r="G24" s="30"/>
      <c r="H24" s="31" t="str">
        <f>IF(G24=""," ",IF(G24&lt;=Info!F24,"Pass","Fail"))</f>
        <v xml:space="preserve"> </v>
      </c>
      <c r="I24" s="74" t="str">
        <f>IF(A18=""," ",IF(F56=0,"Do Meet","Do Not Meet"))</f>
        <v xml:space="preserve"> </v>
      </c>
      <c r="J24" s="75"/>
      <c r="K24" s="75"/>
      <c r="L24" s="76"/>
    </row>
    <row r="25" spans="1:12" ht="13.9" customHeight="1" thickBot="1" x14ac:dyDescent="0.45">
      <c r="A25" s="14"/>
      <c r="B25" s="15"/>
      <c r="C25" s="18"/>
      <c r="D25" s="11"/>
      <c r="E25" s="11"/>
      <c r="F25" s="29" t="str">
        <f>IF(E25=""," ",IF(E25&lt;=Info!D25,"Pass","Fail"))</f>
        <v xml:space="preserve"> </v>
      </c>
      <c r="G25" s="30"/>
      <c r="H25" s="31" t="str">
        <f>IF(G25=""," ",IF(G25&lt;=Info!F25,"Pass","Fail"))</f>
        <v xml:space="preserve"> </v>
      </c>
      <c r="I25" s="77"/>
      <c r="J25" s="78"/>
      <c r="K25" s="78"/>
      <c r="L25" s="79"/>
    </row>
    <row r="26" spans="1:12" ht="13.9" x14ac:dyDescent="0.4">
      <c r="A26" s="14"/>
      <c r="B26" s="15"/>
      <c r="C26" s="18"/>
      <c r="D26" s="11"/>
      <c r="E26" s="11"/>
      <c r="F26" s="29" t="str">
        <f>IF(E26=""," ",IF(E26&lt;=Info!D26,"Pass","Fail"))</f>
        <v xml:space="preserve"> </v>
      </c>
      <c r="G26" s="30"/>
      <c r="H26" s="31" t="str">
        <f>IF(G26=""," ",IF(G26&lt;=Info!F26,"Pass","Fail"))</f>
        <v xml:space="preserve"> </v>
      </c>
      <c r="I26" s="65" t="s">
        <v>25</v>
      </c>
      <c r="J26" s="66"/>
      <c r="K26" s="66"/>
      <c r="L26" s="67"/>
    </row>
    <row r="27" spans="1:12" ht="14.25" thickBot="1" x14ac:dyDescent="0.45">
      <c r="A27" s="14"/>
      <c r="B27" s="15"/>
      <c r="C27" s="18"/>
      <c r="D27" s="11"/>
      <c r="E27" s="11"/>
      <c r="F27" s="29" t="str">
        <f>IF(E27=""," ",IF(E27&lt;=Info!D27,"Pass","Fail"))</f>
        <v xml:space="preserve"> </v>
      </c>
      <c r="G27" s="30"/>
      <c r="H27" s="31" t="str">
        <f>IF(G27=""," ",IF(G27&lt;=Info!F27,"Pass","Fail"))</f>
        <v xml:space="preserve"> </v>
      </c>
      <c r="I27" s="65" t="s">
        <v>45</v>
      </c>
      <c r="J27" s="66"/>
      <c r="K27" s="66"/>
      <c r="L27" s="67"/>
    </row>
    <row r="28" spans="1:12" ht="13.9" x14ac:dyDescent="0.4">
      <c r="A28" s="14"/>
      <c r="B28" s="15"/>
      <c r="C28" s="18"/>
      <c r="D28" s="11"/>
      <c r="E28" s="11"/>
      <c r="F28" s="29" t="str">
        <f>IF(E28=""," ",IF(E28&lt;=Info!D28,"Pass","Fail"))</f>
        <v xml:space="preserve"> </v>
      </c>
      <c r="G28" s="30"/>
      <c r="H28" s="31" t="str">
        <f>IF(G28=""," ",IF(G28&lt;=Info!F28,"Pass","Fail"))</f>
        <v xml:space="preserve"> </v>
      </c>
      <c r="I28" s="80"/>
      <c r="J28" s="81"/>
      <c r="K28" s="81"/>
      <c r="L28" s="82"/>
    </row>
    <row r="29" spans="1:12" ht="13.9" x14ac:dyDescent="0.4">
      <c r="A29" s="14"/>
      <c r="B29" s="15"/>
      <c r="C29" s="18"/>
      <c r="D29" s="11"/>
      <c r="E29" s="11"/>
      <c r="F29" s="29" t="str">
        <f>IF(E29=""," ",IF(E29&lt;=Info!D29,"Pass","Fail"))</f>
        <v xml:space="preserve"> </v>
      </c>
      <c r="G29" s="30"/>
      <c r="H29" s="31" t="str">
        <f>IF(G29=""," ",IF(G29&lt;=Info!F29,"Pass","Fail"))</f>
        <v xml:space="preserve"> </v>
      </c>
      <c r="I29" s="65" t="s">
        <v>26</v>
      </c>
      <c r="J29" s="66"/>
      <c r="K29" s="66"/>
      <c r="L29" s="67"/>
    </row>
    <row r="30" spans="1:12" ht="14.25" thickBot="1" x14ac:dyDescent="0.45">
      <c r="A30" s="14"/>
      <c r="B30" s="15"/>
      <c r="C30" s="18"/>
      <c r="D30" s="11"/>
      <c r="E30" s="11"/>
      <c r="F30" s="29" t="str">
        <f>IF(E30=""," ",IF(E30&lt;=Info!D30,"Pass","Fail"))</f>
        <v xml:space="preserve"> </v>
      </c>
      <c r="G30" s="30"/>
      <c r="H30" s="31" t="str">
        <f>IF(G30=""," ",IF(G30&lt;=Info!F30,"Pass","Fail"))</f>
        <v xml:space="preserve"> </v>
      </c>
      <c r="I30" s="68"/>
      <c r="J30" s="69"/>
      <c r="K30" s="69"/>
      <c r="L30" s="70"/>
    </row>
    <row r="31" spans="1:12" ht="13.9" x14ac:dyDescent="0.4">
      <c r="A31" s="14"/>
      <c r="B31" s="15"/>
      <c r="C31" s="18"/>
      <c r="D31" s="11"/>
      <c r="E31" s="11"/>
      <c r="F31" s="29" t="str">
        <f>IF(E31=""," ",IF(E31&lt;=Info!D31,"Pass","Fail"))</f>
        <v xml:space="preserve"> </v>
      </c>
      <c r="G31" s="30"/>
      <c r="H31" s="31" t="str">
        <f>IF(G31=""," ",IF(G31&lt;=Info!F31,"Pass","Fail"))</f>
        <v xml:space="preserve"> </v>
      </c>
      <c r="I31" s="59"/>
      <c r="J31" s="60"/>
      <c r="K31" s="60"/>
      <c r="L31" s="61"/>
    </row>
    <row r="32" spans="1:12" ht="13.9" x14ac:dyDescent="0.4">
      <c r="A32" s="14"/>
      <c r="B32" s="15"/>
      <c r="C32" s="18"/>
      <c r="D32" s="11"/>
      <c r="E32" s="11"/>
      <c r="F32" s="29" t="str">
        <f>IF(E32=""," ",IF(E32&lt;=Info!D32,"Pass","Fail"))</f>
        <v xml:space="preserve"> </v>
      </c>
      <c r="G32" s="30"/>
      <c r="H32" s="31" t="str">
        <f>IF(G32=""," ",IF(G32&lt;=Info!F32,"Pass","Fail"))</f>
        <v xml:space="preserve"> </v>
      </c>
      <c r="I32" s="59"/>
      <c r="J32" s="60"/>
      <c r="K32" s="60"/>
      <c r="L32" s="61"/>
    </row>
    <row r="33" spans="1:12" ht="13.9" x14ac:dyDescent="0.4">
      <c r="A33" s="14"/>
      <c r="B33" s="15"/>
      <c r="C33" s="18"/>
      <c r="D33" s="11"/>
      <c r="E33" s="11"/>
      <c r="F33" s="29" t="str">
        <f>IF(E33=""," ",IF(E33&lt;=Info!D33,"Pass","Fail"))</f>
        <v xml:space="preserve"> </v>
      </c>
      <c r="G33" s="30"/>
      <c r="H33" s="31" t="str">
        <f>IF(G33=""," ",IF(G33&lt;=Info!F33,"Pass","Fail"))</f>
        <v xml:space="preserve"> </v>
      </c>
      <c r="I33" s="59"/>
      <c r="J33" s="60"/>
      <c r="K33" s="60"/>
      <c r="L33" s="61"/>
    </row>
    <row r="34" spans="1:12" ht="13.9" x14ac:dyDescent="0.4">
      <c r="A34" s="14"/>
      <c r="B34" s="15"/>
      <c r="C34" s="18"/>
      <c r="D34" s="11"/>
      <c r="E34" s="11"/>
      <c r="F34" s="29" t="str">
        <f>IF(E34=""," ",IF(E34&lt;=Info!D34,"Pass","Fail"))</f>
        <v xml:space="preserve"> </v>
      </c>
      <c r="G34" s="30"/>
      <c r="H34" s="31" t="str">
        <f>IF(G34=""," ",IF(G34&lt;=Info!F34,"Pass","Fail"))</f>
        <v xml:space="preserve"> </v>
      </c>
      <c r="I34" s="59"/>
      <c r="J34" s="60"/>
      <c r="K34" s="60"/>
      <c r="L34" s="61"/>
    </row>
    <row r="35" spans="1:12" ht="13.9" x14ac:dyDescent="0.4">
      <c r="A35" s="14"/>
      <c r="B35" s="15"/>
      <c r="C35" s="18"/>
      <c r="D35" s="11"/>
      <c r="E35" s="11"/>
      <c r="F35" s="29" t="str">
        <f>IF(E35=""," ",IF(E35&lt;=Info!D35,"Pass","Fail"))</f>
        <v xml:space="preserve"> </v>
      </c>
      <c r="G35" s="30"/>
      <c r="H35" s="31" t="str">
        <f>IF(G35=""," ",IF(G35&lt;=Info!F35,"Pass","Fail"))</f>
        <v xml:space="preserve"> </v>
      </c>
      <c r="I35" s="59"/>
      <c r="J35" s="60"/>
      <c r="K35" s="60"/>
      <c r="L35" s="61"/>
    </row>
    <row r="36" spans="1:12" ht="13.9" x14ac:dyDescent="0.4">
      <c r="A36" s="14"/>
      <c r="B36" s="15"/>
      <c r="C36" s="18"/>
      <c r="D36" s="11"/>
      <c r="E36" s="11"/>
      <c r="F36" s="29" t="str">
        <f>IF(E36=""," ",IF(E36&lt;=Info!D36,"Pass","Fail"))</f>
        <v xml:space="preserve"> </v>
      </c>
      <c r="G36" s="30"/>
      <c r="H36" s="31" t="str">
        <f>IF(G36=""," ",IF(G36&lt;=Info!F36,"Pass","Fail"))</f>
        <v xml:space="preserve"> </v>
      </c>
      <c r="I36" s="59"/>
      <c r="J36" s="60"/>
      <c r="K36" s="60"/>
      <c r="L36" s="61"/>
    </row>
    <row r="37" spans="1:12" ht="13.9" x14ac:dyDescent="0.4">
      <c r="A37" s="14"/>
      <c r="B37" s="15"/>
      <c r="C37" s="18"/>
      <c r="D37" s="11"/>
      <c r="E37" s="11"/>
      <c r="F37" s="29" t="str">
        <f>IF(E37=""," ",IF(E37&lt;=Info!D37,"Pass","Fail"))</f>
        <v xml:space="preserve"> </v>
      </c>
      <c r="G37" s="30"/>
      <c r="H37" s="31" t="str">
        <f>IF(G37=""," ",IF(G37&lt;=Info!F37,"Pass","Fail"))</f>
        <v xml:space="preserve"> </v>
      </c>
      <c r="I37" s="59"/>
      <c r="J37" s="60"/>
      <c r="K37" s="60"/>
      <c r="L37" s="61"/>
    </row>
    <row r="38" spans="1:12" ht="13.9" x14ac:dyDescent="0.4">
      <c r="A38" s="14"/>
      <c r="B38" s="15"/>
      <c r="C38" s="18"/>
      <c r="D38" s="11"/>
      <c r="E38" s="11"/>
      <c r="F38" s="29" t="str">
        <f>IF(E38=""," ",IF(E38&lt;=Info!D38,"Pass","Fail"))</f>
        <v xml:space="preserve"> </v>
      </c>
      <c r="G38" s="30"/>
      <c r="H38" s="31" t="str">
        <f>IF(G38=""," ",IF(G38&lt;=Info!F38,"Pass","Fail"))</f>
        <v xml:space="preserve"> </v>
      </c>
      <c r="I38" s="59"/>
      <c r="J38" s="60"/>
      <c r="K38" s="60"/>
      <c r="L38" s="61"/>
    </row>
    <row r="39" spans="1:12" ht="13.9" x14ac:dyDescent="0.4">
      <c r="A39" s="14"/>
      <c r="B39" s="15"/>
      <c r="C39" s="18"/>
      <c r="D39" s="11"/>
      <c r="E39" s="11"/>
      <c r="F39" s="29" t="str">
        <f>IF(E39=""," ",IF(E39&lt;=Info!D39,"Pass","Fail"))</f>
        <v xml:space="preserve"> </v>
      </c>
      <c r="G39" s="30"/>
      <c r="H39" s="31" t="str">
        <f>IF(G39=""," ",IF(G39&lt;=Info!F39,"Pass","Fail"))</f>
        <v xml:space="preserve"> </v>
      </c>
      <c r="I39" s="59"/>
      <c r="J39" s="60"/>
      <c r="K39" s="60"/>
      <c r="L39" s="61"/>
    </row>
    <row r="40" spans="1:12" ht="13.9" x14ac:dyDescent="0.4">
      <c r="A40" s="14"/>
      <c r="B40" s="15"/>
      <c r="C40" s="18"/>
      <c r="D40" s="11"/>
      <c r="E40" s="11"/>
      <c r="F40" s="29" t="str">
        <f>IF(E40=""," ",IF(E40&lt;=Info!D40,"Pass","Fail"))</f>
        <v xml:space="preserve"> </v>
      </c>
      <c r="G40" s="30"/>
      <c r="H40" s="31" t="str">
        <f>IF(G40=""," ",IF(G40&lt;=Info!F40,"Pass","Fail"))</f>
        <v xml:space="preserve"> </v>
      </c>
      <c r="I40" s="59"/>
      <c r="J40" s="60"/>
      <c r="K40" s="60"/>
      <c r="L40" s="61"/>
    </row>
    <row r="41" spans="1:12" ht="13.9" x14ac:dyDescent="0.4">
      <c r="A41" s="14"/>
      <c r="B41" s="15"/>
      <c r="C41" s="18"/>
      <c r="D41" s="11"/>
      <c r="E41" s="11"/>
      <c r="F41" s="29" t="str">
        <f>IF(E41=""," ",IF(E41&lt;=Info!D41,"Pass","Fail"))</f>
        <v xml:space="preserve"> </v>
      </c>
      <c r="G41" s="30"/>
      <c r="H41" s="31" t="str">
        <f>IF(G41=""," ",IF(G41&lt;=Info!F41,"Pass","Fail"))</f>
        <v xml:space="preserve"> </v>
      </c>
      <c r="I41" s="59"/>
      <c r="J41" s="60"/>
      <c r="K41" s="60"/>
      <c r="L41" s="61"/>
    </row>
    <row r="42" spans="1:12" ht="13.9" x14ac:dyDescent="0.4">
      <c r="A42" s="14"/>
      <c r="B42" s="15"/>
      <c r="C42" s="18"/>
      <c r="D42" s="11"/>
      <c r="E42" s="11"/>
      <c r="F42" s="29" t="str">
        <f>IF(E42=""," ",IF(E42&lt;=Info!D42,"Pass","Fail"))</f>
        <v xml:space="preserve"> </v>
      </c>
      <c r="G42" s="30"/>
      <c r="H42" s="31" t="str">
        <f>IF(G42=""," ",IF(G42&lt;=Info!F42,"Pass","Fail"))</f>
        <v xml:space="preserve"> </v>
      </c>
      <c r="I42" s="59"/>
      <c r="J42" s="60"/>
      <c r="K42" s="60"/>
      <c r="L42" s="61"/>
    </row>
    <row r="43" spans="1:12" ht="13.9" x14ac:dyDescent="0.4">
      <c r="A43" s="14"/>
      <c r="B43" s="15"/>
      <c r="C43" s="18"/>
      <c r="D43" s="11"/>
      <c r="E43" s="11"/>
      <c r="F43" s="29" t="str">
        <f>IF(E43=""," ",IF(E43&lt;=Info!D43,"Pass","Fail"))</f>
        <v xml:space="preserve"> </v>
      </c>
      <c r="G43" s="30"/>
      <c r="H43" s="31" t="str">
        <f>IF(G43=""," ",IF(G43&lt;=Info!F43,"Pass","Fail"))</f>
        <v xml:space="preserve"> </v>
      </c>
      <c r="I43" s="59"/>
      <c r="J43" s="60"/>
      <c r="K43" s="60"/>
      <c r="L43" s="61"/>
    </row>
    <row r="44" spans="1:12" ht="13.9" x14ac:dyDescent="0.4">
      <c r="A44" s="14"/>
      <c r="B44" s="15"/>
      <c r="C44" s="18"/>
      <c r="D44" s="11"/>
      <c r="E44" s="11"/>
      <c r="F44" s="29" t="str">
        <f>IF(E44=""," ",IF(E44&lt;=Info!D44,"Pass","Fail"))</f>
        <v xml:space="preserve"> </v>
      </c>
      <c r="G44" s="30"/>
      <c r="H44" s="31" t="str">
        <f>IF(G44=""," ",IF(G44&lt;=Info!F44,"Pass","Fail"))</f>
        <v xml:space="preserve"> </v>
      </c>
      <c r="I44" s="59"/>
      <c r="J44" s="60"/>
      <c r="K44" s="60"/>
      <c r="L44" s="61"/>
    </row>
    <row r="45" spans="1:12" ht="13.9" x14ac:dyDescent="0.4">
      <c r="A45" s="14"/>
      <c r="B45" s="15"/>
      <c r="C45" s="18"/>
      <c r="D45" s="11"/>
      <c r="E45" s="11"/>
      <c r="F45" s="29" t="str">
        <f>IF(E45=""," ",IF(E45&lt;=Info!D45,"Pass","Fail"))</f>
        <v xml:space="preserve"> </v>
      </c>
      <c r="G45" s="30"/>
      <c r="H45" s="31" t="str">
        <f>IF(G45=""," ",IF(G45&lt;=Info!F45,"Pass","Fail"))</f>
        <v xml:space="preserve"> </v>
      </c>
      <c r="I45" s="59"/>
      <c r="J45" s="60"/>
      <c r="K45" s="60"/>
      <c r="L45" s="61"/>
    </row>
    <row r="46" spans="1:12" ht="13.9" x14ac:dyDescent="0.4">
      <c r="A46" s="14"/>
      <c r="B46" s="15"/>
      <c r="C46" s="18"/>
      <c r="D46" s="11"/>
      <c r="E46" s="11"/>
      <c r="F46" s="29" t="str">
        <f>IF(E46=""," ",IF(E46&lt;=Info!D46,"Pass","Fail"))</f>
        <v xml:space="preserve"> </v>
      </c>
      <c r="G46" s="30"/>
      <c r="H46" s="31" t="str">
        <f>IF(G46=""," ",IF(G46&lt;=Info!F46,"Pass","Fail"))</f>
        <v xml:space="preserve"> </v>
      </c>
      <c r="I46" s="43"/>
      <c r="J46" s="44"/>
      <c r="K46" s="44"/>
      <c r="L46" s="45"/>
    </row>
    <row r="47" spans="1:12" ht="13.9" x14ac:dyDescent="0.4">
      <c r="A47" s="14"/>
      <c r="B47" s="15"/>
      <c r="C47" s="18"/>
      <c r="D47" s="11"/>
      <c r="E47" s="11"/>
      <c r="F47" s="29" t="str">
        <f>IF(E47=""," ",IF(E47&lt;=Info!D47,"Pass","Fail"))</f>
        <v xml:space="preserve"> </v>
      </c>
      <c r="G47" s="30"/>
      <c r="H47" s="31" t="str">
        <f>IF(G47=""," ",IF(G47&lt;=Info!F47,"Pass","Fail"))</f>
        <v xml:space="preserve"> </v>
      </c>
      <c r="I47" s="43"/>
      <c r="J47" s="44"/>
      <c r="K47" s="44"/>
      <c r="L47" s="45"/>
    </row>
    <row r="48" spans="1:12" ht="13.9" x14ac:dyDescent="0.4">
      <c r="A48" s="14"/>
      <c r="B48" s="15"/>
      <c r="C48" s="18"/>
      <c r="D48" s="11"/>
      <c r="E48" s="11"/>
      <c r="F48" s="29" t="str">
        <f>IF(E48=""," ",IF(E48&lt;=Info!D48,"Pass","Fail"))</f>
        <v xml:space="preserve"> </v>
      </c>
      <c r="G48" s="30"/>
      <c r="H48" s="31" t="str">
        <f>IF(G48=""," ",IF(G48&lt;=Info!F48,"Pass","Fail"))</f>
        <v xml:space="preserve"> </v>
      </c>
      <c r="I48" s="43"/>
      <c r="J48" s="44"/>
      <c r="K48" s="44"/>
      <c r="L48" s="45"/>
    </row>
    <row r="49" spans="1:12" ht="13.9" x14ac:dyDescent="0.4">
      <c r="A49" s="14"/>
      <c r="B49" s="15"/>
      <c r="C49" s="18"/>
      <c r="D49" s="11"/>
      <c r="E49" s="11"/>
      <c r="F49" s="29" t="str">
        <f>IF(E49=""," ",IF(E49&lt;=Info!D49,"Pass","Fail"))</f>
        <v xml:space="preserve"> </v>
      </c>
      <c r="G49" s="30"/>
      <c r="H49" s="31" t="str">
        <f>IF(G49=""," ",IF(G49&lt;=Info!F49,"Pass","Fail"))</f>
        <v xml:space="preserve"> </v>
      </c>
      <c r="I49" s="43"/>
      <c r="J49" s="44"/>
      <c r="K49" s="44"/>
      <c r="L49" s="45"/>
    </row>
    <row r="50" spans="1:12" ht="13.9" x14ac:dyDescent="0.4">
      <c r="A50" s="14"/>
      <c r="B50" s="15"/>
      <c r="C50" s="18"/>
      <c r="D50" s="11"/>
      <c r="E50" s="11"/>
      <c r="F50" s="29" t="str">
        <f>IF(E50=""," ",IF(E50&lt;=Info!D50,"Pass","Fail"))</f>
        <v xml:space="preserve"> </v>
      </c>
      <c r="G50" s="30"/>
      <c r="H50" s="31" t="str">
        <f>IF(G50=""," ",IF(G50&lt;=Info!F50,"Pass","Fail"))</f>
        <v xml:space="preserve"> </v>
      </c>
      <c r="I50" s="43"/>
      <c r="J50" s="44"/>
      <c r="K50" s="44"/>
      <c r="L50" s="45"/>
    </row>
    <row r="51" spans="1:12" ht="13.9" x14ac:dyDescent="0.4">
      <c r="A51" s="14"/>
      <c r="B51" s="15"/>
      <c r="C51" s="18"/>
      <c r="D51" s="11"/>
      <c r="E51" s="11"/>
      <c r="F51" s="29" t="str">
        <f>IF(E51=""," ",IF(E51&lt;=Info!D51,"Pass","Fail"))</f>
        <v xml:space="preserve"> </v>
      </c>
      <c r="G51" s="30"/>
      <c r="H51" s="31" t="str">
        <f>IF(G51=""," ",IF(G51&lt;=Info!F51,"Pass","Fail"))</f>
        <v xml:space="preserve"> </v>
      </c>
      <c r="I51" s="43"/>
      <c r="J51" s="44"/>
      <c r="K51" s="44"/>
      <c r="L51" s="45"/>
    </row>
    <row r="52" spans="1:12" ht="13.9" x14ac:dyDescent="0.4">
      <c r="A52" s="14"/>
      <c r="B52" s="15"/>
      <c r="C52" s="18"/>
      <c r="D52" s="11"/>
      <c r="E52" s="11"/>
      <c r="F52" s="29" t="str">
        <f>IF(E52=""," ",IF(E52&lt;=Info!D52,"Pass","Fail"))</f>
        <v xml:space="preserve"> </v>
      </c>
      <c r="G52" s="30"/>
      <c r="H52" s="31" t="str">
        <f>IF(G52=""," ",IF(G52&lt;=Info!F52,"Pass","Fail"))</f>
        <v xml:space="preserve"> </v>
      </c>
      <c r="I52" s="43"/>
      <c r="J52" s="44"/>
      <c r="K52" s="44"/>
      <c r="L52" s="45"/>
    </row>
    <row r="53" spans="1:12" ht="13.9" x14ac:dyDescent="0.4">
      <c r="A53" s="14"/>
      <c r="B53" s="15"/>
      <c r="C53" s="18"/>
      <c r="D53" s="11"/>
      <c r="E53" s="11"/>
      <c r="F53" s="29" t="str">
        <f>IF(E53=""," ",IF(E53&lt;=Info!D53,"Pass","Fail"))</f>
        <v xml:space="preserve"> </v>
      </c>
      <c r="G53" s="30"/>
      <c r="H53" s="31" t="str">
        <f>IF(G53=""," ",IF(G53&lt;=Info!F53,"Pass","Fail"))</f>
        <v xml:space="preserve"> </v>
      </c>
      <c r="I53" s="59"/>
      <c r="J53" s="60"/>
      <c r="K53" s="60"/>
      <c r="L53" s="61"/>
    </row>
    <row r="54" spans="1:12" ht="14.25" thickBot="1" x14ac:dyDescent="0.45">
      <c r="A54" s="16"/>
      <c r="B54" s="17"/>
      <c r="C54" s="19"/>
      <c r="D54" s="12"/>
      <c r="E54" s="12"/>
      <c r="F54" s="29" t="str">
        <f>IF(E54=""," ",IF(E54&lt;=Info!D54,"Pass","Fail"))</f>
        <v xml:space="preserve"> </v>
      </c>
      <c r="G54" s="30"/>
      <c r="H54" s="31" t="str">
        <f>IF(G54=""," ",IF(G54&lt;=Info!F54,"Pass","Fail"))</f>
        <v xml:space="preserve"> </v>
      </c>
      <c r="I54" s="62"/>
      <c r="J54" s="63"/>
      <c r="K54" s="63"/>
      <c r="L54" s="64"/>
    </row>
    <row r="55" spans="1:12" ht="14.25" thickBot="1" x14ac:dyDescent="0.45">
      <c r="A55" s="48" t="s">
        <v>44</v>
      </c>
      <c r="B55" s="49"/>
      <c r="C55" s="49"/>
      <c r="D55" s="49"/>
      <c r="E55" s="49"/>
      <c r="F55" s="50"/>
      <c r="G55" s="50"/>
      <c r="H55" s="50"/>
      <c r="I55" s="49"/>
      <c r="J55" s="49"/>
      <c r="K55" s="49"/>
      <c r="L55" s="51"/>
    </row>
    <row r="56" spans="1:12" ht="14.25" thickBot="1" x14ac:dyDescent="0.45">
      <c r="A56" s="52" t="s">
        <v>53</v>
      </c>
      <c r="B56" s="53"/>
      <c r="C56" s="53"/>
      <c r="D56" s="53"/>
      <c r="E56" s="54"/>
      <c r="F56" s="13">
        <f>COUNTIF(F18:F54:H18:H54,"Fail")</f>
        <v>0</v>
      </c>
      <c r="G56" s="9"/>
      <c r="H56" s="9"/>
      <c r="I56" s="9"/>
      <c r="J56" s="9"/>
      <c r="K56" s="9"/>
      <c r="L56" s="9"/>
    </row>
    <row r="57" spans="1:12" ht="13.9" x14ac:dyDescent="0.4">
      <c r="A57" s="46" t="s">
        <v>27</v>
      </c>
      <c r="B57" s="46"/>
      <c r="C57" s="46"/>
      <c r="D57" s="56" t="s">
        <v>51</v>
      </c>
      <c r="E57" s="56"/>
      <c r="F57" s="56"/>
      <c r="G57" s="55"/>
      <c r="H57" s="55"/>
      <c r="I57" s="55"/>
      <c r="J57" s="55"/>
      <c r="K57" s="55"/>
      <c r="L57" s="55"/>
    </row>
    <row r="58" spans="1:12" ht="13.9" x14ac:dyDescent="0.4">
      <c r="A58" s="46" t="s">
        <v>50</v>
      </c>
      <c r="B58" s="46"/>
      <c r="C58" s="46"/>
      <c r="D58" s="57"/>
      <c r="E58" s="57"/>
      <c r="F58" s="57"/>
      <c r="G58" s="46" t="s">
        <v>30</v>
      </c>
      <c r="H58" s="46"/>
      <c r="I58" s="46"/>
      <c r="J58" s="47"/>
      <c r="K58" s="47"/>
      <c r="L58" s="47"/>
    </row>
    <row r="59" spans="1:12" ht="13.9" x14ac:dyDescent="0.4">
      <c r="A59" s="46" t="s">
        <v>28</v>
      </c>
      <c r="B59" s="46"/>
      <c r="C59" s="46"/>
      <c r="D59" s="47"/>
      <c r="E59" s="47"/>
      <c r="F59" s="47"/>
      <c r="G59" s="46"/>
      <c r="H59" s="46"/>
      <c r="I59" s="46"/>
      <c r="J59" s="46"/>
      <c r="K59" s="46"/>
      <c r="L59" s="46"/>
    </row>
    <row r="60" spans="1:12" ht="13.9" x14ac:dyDescent="0.4">
      <c r="A60" s="46" t="s">
        <v>29</v>
      </c>
      <c r="B60" s="46"/>
      <c r="C60" s="46"/>
      <c r="D60" s="58" t="str">
        <f>IF(Info!D9=""," ",Info!D9)</f>
        <v xml:space="preserve"> </v>
      </c>
      <c r="E60" s="58"/>
      <c r="F60" s="58"/>
      <c r="G60" s="46" t="s">
        <v>31</v>
      </c>
      <c r="H60" s="46"/>
      <c r="I60" s="46"/>
      <c r="J60" s="47"/>
      <c r="K60" s="47"/>
      <c r="L60" s="47"/>
    </row>
    <row r="61" spans="1:12" ht="13.9" x14ac:dyDescent="0.4">
      <c r="A61" s="9"/>
      <c r="B61" s="9"/>
      <c r="C61" s="9"/>
      <c r="D61" s="9"/>
      <c r="E61" s="9"/>
      <c r="F61" s="9"/>
      <c r="G61" s="9"/>
      <c r="H61" s="9"/>
      <c r="I61" s="99" t="s">
        <v>66</v>
      </c>
      <c r="J61" s="99"/>
      <c r="K61" s="99"/>
      <c r="L61" s="99"/>
    </row>
  </sheetData>
  <sheetProtection password="96B1" sheet="1" objects="1" scenarios="1"/>
  <mergeCells count="100">
    <mergeCell ref="A59:C59"/>
    <mergeCell ref="A60:C60"/>
    <mergeCell ref="D59:F59"/>
    <mergeCell ref="D60:F60"/>
    <mergeCell ref="I61:L61"/>
    <mergeCell ref="J58:L58"/>
    <mergeCell ref="G60:I60"/>
    <mergeCell ref="J60:L60"/>
    <mergeCell ref="G59:L59"/>
    <mergeCell ref="I46:L46"/>
    <mergeCell ref="I47:L47"/>
    <mergeCell ref="I53:L53"/>
    <mergeCell ref="I52:L52"/>
    <mergeCell ref="I54:L54"/>
    <mergeCell ref="I51:L51"/>
    <mergeCell ref="I50:L50"/>
    <mergeCell ref="I48:L48"/>
    <mergeCell ref="I49:L49"/>
    <mergeCell ref="A58:C58"/>
    <mergeCell ref="A55:L55"/>
    <mergeCell ref="A56:E56"/>
    <mergeCell ref="A57:C57"/>
    <mergeCell ref="D57:F57"/>
    <mergeCell ref="G57:L57"/>
    <mergeCell ref="D58:F58"/>
    <mergeCell ref="G58:I58"/>
    <mergeCell ref="I36:L36"/>
    <mergeCell ref="I45:L45"/>
    <mergeCell ref="I37:L37"/>
    <mergeCell ref="I38:L38"/>
    <mergeCell ref="I39:L39"/>
    <mergeCell ref="I40:L40"/>
    <mergeCell ref="I41:L41"/>
    <mergeCell ref="I42:L42"/>
    <mergeCell ref="I43:L43"/>
    <mergeCell ref="I44:L44"/>
    <mergeCell ref="I24:L25"/>
    <mergeCell ref="I26:L26"/>
    <mergeCell ref="I28:L28"/>
    <mergeCell ref="I29:L29"/>
    <mergeCell ref="I30:L30"/>
    <mergeCell ref="I35:L35"/>
    <mergeCell ref="I31:L31"/>
    <mergeCell ref="I32:L32"/>
    <mergeCell ref="I33:L33"/>
    <mergeCell ref="I34:L34"/>
    <mergeCell ref="I18:L18"/>
    <mergeCell ref="I19:L19"/>
    <mergeCell ref="I20:L20"/>
    <mergeCell ref="I21:L21"/>
    <mergeCell ref="I22:L22"/>
    <mergeCell ref="I23:L23"/>
    <mergeCell ref="A15:B15"/>
    <mergeCell ref="C15:H15"/>
    <mergeCell ref="A16:B16"/>
    <mergeCell ref="I16:L16"/>
    <mergeCell ref="I15:L15"/>
    <mergeCell ref="I17:L17"/>
    <mergeCell ref="A14:H14"/>
    <mergeCell ref="I14:L14"/>
    <mergeCell ref="I12:L12"/>
    <mergeCell ref="A11:B11"/>
    <mergeCell ref="D12:F12"/>
    <mergeCell ref="G12:H12"/>
    <mergeCell ref="A13:L13"/>
    <mergeCell ref="A8:B8"/>
    <mergeCell ref="A9:B9"/>
    <mergeCell ref="A10:B10"/>
    <mergeCell ref="G8:H8"/>
    <mergeCell ref="G9:H9"/>
    <mergeCell ref="G10:H10"/>
    <mergeCell ref="C8:F8"/>
    <mergeCell ref="C9:F9"/>
    <mergeCell ref="C10:F10"/>
    <mergeCell ref="C11:F11"/>
    <mergeCell ref="I8:L8"/>
    <mergeCell ref="I9:L9"/>
    <mergeCell ref="I10:L10"/>
    <mergeCell ref="G11:H11"/>
    <mergeCell ref="I11:L11"/>
    <mergeCell ref="D3:I3"/>
    <mergeCell ref="D4:I4"/>
    <mergeCell ref="A2:C2"/>
    <mergeCell ref="J2:L2"/>
    <mergeCell ref="A7:B7"/>
    <mergeCell ref="I27:L27"/>
    <mergeCell ref="C7:F7"/>
    <mergeCell ref="G7:H7"/>
    <mergeCell ref="I7:L7"/>
    <mergeCell ref="A12:B12"/>
    <mergeCell ref="D5:I5"/>
    <mergeCell ref="A5:C5"/>
    <mergeCell ref="A6:L6"/>
    <mergeCell ref="J5:L5"/>
    <mergeCell ref="A1:L1"/>
    <mergeCell ref="A3:B3"/>
    <mergeCell ref="A4:B4"/>
    <mergeCell ref="K3:L3"/>
    <mergeCell ref="K4:L4"/>
    <mergeCell ref="D2:I2"/>
  </mergeCells>
  <phoneticPr fontId="7" type="noConversion"/>
  <printOptions horizontalCentered="1" verticalCentered="1"/>
  <pageMargins left="0" right="0" top="0" bottom="0" header="0" footer="0"/>
  <pageSetup scale="84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5915-039D-4CBF-B442-9A5DD5394A39}">
  <sheetPr>
    <pageSetUpPr fitToPage="1"/>
  </sheetPr>
  <dimension ref="A1:L61"/>
  <sheetViews>
    <sheetView workbookViewId="0">
      <selection activeCell="A18" sqref="A18"/>
    </sheetView>
  </sheetViews>
  <sheetFormatPr defaultRowHeight="12.75" x14ac:dyDescent="0.35"/>
  <cols>
    <col min="1" max="2" width="10.73046875" customWidth="1"/>
    <col min="3" max="3" width="10.86328125" customWidth="1"/>
    <col min="4" max="11" width="9.73046875" customWidth="1"/>
    <col min="12" max="12" width="11.73046875" customWidth="1"/>
  </cols>
  <sheetData>
    <row r="1" spans="1:12" ht="17.649999999999999" x14ac:dyDescent="0.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5" customFormat="1" ht="15" x14ac:dyDescent="0.4">
      <c r="A2" s="55"/>
      <c r="B2" s="55"/>
      <c r="C2" s="55"/>
      <c r="D2" s="41" t="s">
        <v>33</v>
      </c>
      <c r="E2" s="41"/>
      <c r="F2" s="41"/>
      <c r="G2" s="41"/>
      <c r="H2" s="41"/>
      <c r="I2" s="41"/>
      <c r="J2" s="55"/>
      <c r="K2" s="55"/>
      <c r="L2" s="55"/>
    </row>
    <row r="3" spans="1:12" s="5" customFormat="1" ht="15" x14ac:dyDescent="0.4">
      <c r="A3" s="93" t="s">
        <v>1</v>
      </c>
      <c r="B3" s="93"/>
      <c r="C3" s="3" t="str">
        <f>IF(Info!D4=""," ",Info!D4)</f>
        <v xml:space="preserve"> </v>
      </c>
      <c r="D3" s="41" t="s">
        <v>4</v>
      </c>
      <c r="E3" s="41"/>
      <c r="F3" s="41"/>
      <c r="G3" s="41"/>
      <c r="H3" s="41"/>
      <c r="I3" s="41"/>
      <c r="J3" s="1" t="s">
        <v>3</v>
      </c>
      <c r="K3" s="97" t="str">
        <f>IF(Info!D5=""," ",Info!D5)</f>
        <v xml:space="preserve"> </v>
      </c>
      <c r="L3" s="97"/>
    </row>
    <row r="4" spans="1:12" s="5" customFormat="1" ht="15" x14ac:dyDescent="0.4">
      <c r="A4" s="93" t="s">
        <v>2</v>
      </c>
      <c r="B4" s="93"/>
      <c r="C4" s="6">
        <v>3</v>
      </c>
      <c r="D4" s="41" t="s">
        <v>64</v>
      </c>
      <c r="E4" s="41"/>
      <c r="F4" s="41"/>
      <c r="G4" s="41"/>
      <c r="H4" s="41"/>
      <c r="I4" s="41"/>
      <c r="J4" s="2"/>
      <c r="K4" s="98" t="s">
        <v>52</v>
      </c>
      <c r="L4" s="98"/>
    </row>
    <row r="5" spans="1:12" s="5" customFormat="1" ht="15" x14ac:dyDescent="0.4">
      <c r="A5" s="55"/>
      <c r="B5" s="55"/>
      <c r="C5" s="55"/>
      <c r="D5" s="41" t="s">
        <v>41</v>
      </c>
      <c r="E5" s="41"/>
      <c r="F5" s="41"/>
      <c r="G5" s="41"/>
      <c r="H5" s="41"/>
      <c r="I5" s="41"/>
      <c r="J5" s="55"/>
      <c r="K5" s="55"/>
      <c r="L5" s="55"/>
    </row>
    <row r="6" spans="1:12" s="5" customFormat="1" ht="13.5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15.75" customHeight="1" x14ac:dyDescent="0.4">
      <c r="A7" s="93" t="s">
        <v>5</v>
      </c>
      <c r="B7" s="93"/>
      <c r="C7" s="98" t="str">
        <f>IF(Info!D6=""," ",Info!D6)</f>
        <v xml:space="preserve"> </v>
      </c>
      <c r="D7" s="98"/>
      <c r="E7" s="98"/>
      <c r="F7" s="98"/>
      <c r="G7" s="46" t="s">
        <v>10</v>
      </c>
      <c r="H7" s="46"/>
      <c r="I7" s="98" t="str">
        <f>IF(Info!D8=""," ",Info!D8)</f>
        <v xml:space="preserve"> </v>
      </c>
      <c r="J7" s="98"/>
      <c r="K7" s="98"/>
      <c r="L7" s="98"/>
    </row>
    <row r="8" spans="1:12" s="5" customFormat="1" ht="13.9" x14ac:dyDescent="0.4">
      <c r="A8" s="93" t="s">
        <v>6</v>
      </c>
      <c r="B8" s="93"/>
      <c r="C8" s="98" t="str">
        <f>IF(Info!D7=""," ",Info!D7)</f>
        <v xml:space="preserve"> </v>
      </c>
      <c r="D8" s="98"/>
      <c r="E8" s="98"/>
      <c r="F8" s="98"/>
      <c r="G8" s="46" t="s">
        <v>11</v>
      </c>
      <c r="H8" s="46"/>
      <c r="I8" s="58" t="str">
        <f>IF(Info!D11=""," ",Info!D11)</f>
        <v xml:space="preserve"> </v>
      </c>
      <c r="J8" s="58"/>
      <c r="K8" s="58"/>
      <c r="L8" s="58"/>
    </row>
    <row r="9" spans="1:12" s="5" customFormat="1" ht="13.9" x14ac:dyDescent="0.4">
      <c r="A9" s="93" t="s">
        <v>7</v>
      </c>
      <c r="B9" s="93"/>
      <c r="C9" s="98" t="str">
        <f>IF(Info!D10=""," ",Info!D10)</f>
        <v xml:space="preserve"> </v>
      </c>
      <c r="D9" s="98"/>
      <c r="E9" s="98"/>
      <c r="F9" s="98"/>
      <c r="G9" s="46" t="s">
        <v>12</v>
      </c>
      <c r="H9" s="46"/>
      <c r="I9" s="58" t="str">
        <f>IF(Info!D12=""," ",Info!D12)</f>
        <v xml:space="preserve"> </v>
      </c>
      <c r="J9" s="58"/>
      <c r="K9" s="58"/>
      <c r="L9" s="58"/>
    </row>
    <row r="10" spans="1:12" s="5" customFormat="1" ht="23.65" ph="1" x14ac:dyDescent="0.4">
      <c r="A10" s="93" t="s">
        <v>8</v>
      </c>
      <c r="B10" s="93"/>
      <c r="C10" s="98" t="str">
        <f>IF(Info!D15=""," ",Info!D15)</f>
        <v xml:space="preserve"> </v>
      </c>
      <c r="D10" s="98"/>
      <c r="E10" s="98"/>
      <c r="F10" s="98"/>
      <c r="G10" s="46" t="s">
        <v>13</v>
      </c>
      <c r="H10" s="46"/>
      <c r="I10" s="58" t="str">
        <f>IF(Info!D13=""," ",Info!D13)</f>
        <v xml:space="preserve"> </v>
      </c>
      <c r="J10" s="58"/>
      <c r="K10" s="58"/>
      <c r="L10" s="58"/>
    </row>
    <row r="11" spans="1:12" s="5" customFormat="1" ht="13.9" x14ac:dyDescent="0.4">
      <c r="A11" s="93" t="s">
        <v>47</v>
      </c>
      <c r="B11" s="93"/>
      <c r="C11" s="96" t="str">
        <f>IF(Info!D19=""," ",Info!D19)</f>
        <v xml:space="preserve"> </v>
      </c>
      <c r="D11" s="96"/>
      <c r="E11" s="96"/>
      <c r="F11" s="96"/>
      <c r="G11" s="46" t="s">
        <v>14</v>
      </c>
      <c r="H11" s="46"/>
      <c r="I11" s="96" t="str">
        <f>IF(Info!D14=""," ",Info!D14)</f>
        <v xml:space="preserve"> </v>
      </c>
      <c r="J11" s="96"/>
      <c r="K11" s="96"/>
      <c r="L11" s="96"/>
    </row>
    <row r="12" spans="1:12" s="5" customFormat="1" ht="23.65" ph="1" x14ac:dyDescent="0.4">
      <c r="A12" s="93" t="s">
        <v>9</v>
      </c>
      <c r="B12" s="93"/>
      <c r="C12" s="8" t="str">
        <f>IF(Info!D18=""," ",Info!D18)</f>
        <v xml:space="preserve"> </v>
      </c>
      <c r="D12" s="91" t="s">
        <v>49</v>
      </c>
      <c r="E12" s="92"/>
      <c r="F12" s="92"/>
      <c r="G12" s="46" t="s">
        <v>15</v>
      </c>
      <c r="H12" s="46"/>
      <c r="I12" s="58" t="str">
        <f>IF(Info!D16=""," ",Info!D16)</f>
        <v xml:space="preserve"> </v>
      </c>
      <c r="J12" s="58"/>
      <c r="K12" s="58"/>
      <c r="L12" s="58"/>
    </row>
    <row r="13" spans="1:12" s="5" customFormat="1" ht="23.65" thickBot="1" ph="1" x14ac:dyDescent="0.4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5.4" thickBot="1" x14ac:dyDescent="0.45">
      <c r="A14" s="94" t="s">
        <v>42</v>
      </c>
      <c r="B14" s="95"/>
      <c r="C14" s="95"/>
      <c r="D14" s="95"/>
      <c r="E14" s="95"/>
      <c r="F14" s="95"/>
      <c r="G14" s="95"/>
      <c r="H14" s="95"/>
      <c r="I14" s="86"/>
      <c r="J14" s="87"/>
      <c r="K14" s="87"/>
      <c r="L14" s="88"/>
    </row>
    <row r="15" spans="1:12" ht="14.25" thickBot="1" x14ac:dyDescent="0.45">
      <c r="A15" s="71" t="s">
        <v>16</v>
      </c>
      <c r="B15" s="89"/>
      <c r="C15" s="90" t="s">
        <v>43</v>
      </c>
      <c r="D15" s="72"/>
      <c r="E15" s="72"/>
      <c r="F15" s="72"/>
      <c r="G15" s="72"/>
      <c r="H15" s="72"/>
      <c r="I15" s="80"/>
      <c r="J15" s="81"/>
      <c r="K15" s="81"/>
      <c r="L15" s="82"/>
    </row>
    <row r="16" spans="1:12" ht="13.9" x14ac:dyDescent="0.4">
      <c r="A16" s="71" t="s">
        <v>17</v>
      </c>
      <c r="B16" s="89"/>
      <c r="C16" s="34" t="s">
        <v>60</v>
      </c>
      <c r="D16" s="34" t="s">
        <v>62</v>
      </c>
      <c r="E16" s="34" t="s">
        <v>56</v>
      </c>
      <c r="F16" s="34" t="s">
        <v>54</v>
      </c>
      <c r="G16" s="32" t="s">
        <v>58</v>
      </c>
      <c r="H16" s="35" t="s">
        <v>54</v>
      </c>
      <c r="I16" s="65" t="s">
        <v>20</v>
      </c>
      <c r="J16" s="66"/>
      <c r="K16" s="66"/>
      <c r="L16" s="67"/>
    </row>
    <row r="17" spans="1:12" ht="14.25" thickBot="1" x14ac:dyDescent="0.45">
      <c r="A17" s="26" t="s">
        <v>18</v>
      </c>
      <c r="B17" s="27" t="s">
        <v>19</v>
      </c>
      <c r="C17" s="4" t="s">
        <v>61</v>
      </c>
      <c r="D17" s="4" t="s">
        <v>63</v>
      </c>
      <c r="E17" s="4" t="s">
        <v>57</v>
      </c>
      <c r="F17" s="4" t="s">
        <v>55</v>
      </c>
      <c r="G17" s="10" t="s">
        <v>57</v>
      </c>
      <c r="H17" s="28" t="s">
        <v>55</v>
      </c>
      <c r="I17" s="65" t="s">
        <v>21</v>
      </c>
      <c r="J17" s="66"/>
      <c r="K17" s="66"/>
      <c r="L17" s="67"/>
    </row>
    <row r="18" spans="1:12" ht="13.9" x14ac:dyDescent="0.4">
      <c r="A18" s="22"/>
      <c r="B18" s="23"/>
      <c r="C18" s="24"/>
      <c r="D18" s="25"/>
      <c r="E18" s="25"/>
      <c r="F18" s="21" t="str">
        <f>IF(E18=""," ",IF(E18&lt;=Info!D18,"Pass","Fail"))</f>
        <v xml:space="preserve"> </v>
      </c>
      <c r="G18" s="20"/>
      <c r="H18" s="33" t="str">
        <f>IF(G18=""," ",IF(G18&lt;=Info!F18,"Pass","Fail"))</f>
        <v xml:space="preserve"> </v>
      </c>
      <c r="I18" s="83" t="s">
        <v>22</v>
      </c>
      <c r="J18" s="84"/>
      <c r="K18" s="84"/>
      <c r="L18" s="85"/>
    </row>
    <row r="19" spans="1:12" ht="13.9" x14ac:dyDescent="0.4">
      <c r="A19" s="14"/>
      <c r="B19" s="15"/>
      <c r="C19" s="18"/>
      <c r="D19" s="11"/>
      <c r="E19" s="11"/>
      <c r="F19" s="29" t="str">
        <f>IF(E19=""," ",IF(E19&lt;=Info!D19,"Pass","Fail"))</f>
        <v xml:space="preserve"> </v>
      </c>
      <c r="G19" s="30"/>
      <c r="H19" s="31" t="str">
        <f>IF(G19=""," ",IF(G19&lt;=Info!F19,"Pass","Fail"))</f>
        <v xml:space="preserve"> </v>
      </c>
      <c r="I19" s="83" t="s">
        <v>23</v>
      </c>
      <c r="J19" s="84"/>
      <c r="K19" s="84"/>
      <c r="L19" s="85"/>
    </row>
    <row r="20" spans="1:12" ht="13.9" x14ac:dyDescent="0.4">
      <c r="A20" s="14"/>
      <c r="B20" s="15"/>
      <c r="C20" s="18"/>
      <c r="D20" s="11"/>
      <c r="E20" s="11"/>
      <c r="F20" s="29" t="str">
        <f>IF(E20=""," ",IF(E20&lt;=Info!D20,"Pass","Fail"))</f>
        <v xml:space="preserve"> </v>
      </c>
      <c r="G20" s="30"/>
      <c r="H20" s="31" t="str">
        <f>IF(G20=""," ",IF(G20&lt;=Info!F20,"Pass","Fail"))</f>
        <v xml:space="preserve"> </v>
      </c>
      <c r="I20" s="65" t="s">
        <v>24</v>
      </c>
      <c r="J20" s="66"/>
      <c r="K20" s="66"/>
      <c r="L20" s="67"/>
    </row>
    <row r="21" spans="1:12" ht="14.25" thickBot="1" x14ac:dyDescent="0.45">
      <c r="A21" s="14"/>
      <c r="B21" s="15"/>
      <c r="C21" s="18"/>
      <c r="D21" s="11"/>
      <c r="E21" s="11"/>
      <c r="F21" s="29" t="str">
        <f>IF(E21=""," ",IF(E21&lt;=Info!D21,"Pass","Fail"))</f>
        <v xml:space="preserve"> </v>
      </c>
      <c r="G21" s="30"/>
      <c r="H21" s="31" t="str">
        <f>IF(G21=""," ",IF(G21&lt;=Info!F21,"Pass","Fail"))</f>
        <v xml:space="preserve"> </v>
      </c>
      <c r="I21" s="68"/>
      <c r="J21" s="69"/>
      <c r="K21" s="69"/>
      <c r="L21" s="70"/>
    </row>
    <row r="22" spans="1:12" ht="13.9" x14ac:dyDescent="0.4">
      <c r="A22" s="14"/>
      <c r="B22" s="15"/>
      <c r="C22" s="18"/>
      <c r="D22" s="11"/>
      <c r="E22" s="11"/>
      <c r="F22" s="29" t="str">
        <f>IF(E22=""," ",IF(E22&lt;=Info!D22,"Pass","Fail"))</f>
        <v xml:space="preserve"> </v>
      </c>
      <c r="G22" s="30"/>
      <c r="H22" s="31" t="str">
        <f>IF(G22=""," ",IF(G22&lt;=Info!F22,"Pass","Fail"))</f>
        <v xml:space="preserve"> </v>
      </c>
      <c r="I22" s="71"/>
      <c r="J22" s="72"/>
      <c r="K22" s="72"/>
      <c r="L22" s="73"/>
    </row>
    <row r="23" spans="1:12" ht="14.25" thickBot="1" x14ac:dyDescent="0.45">
      <c r="A23" s="14"/>
      <c r="B23" s="15"/>
      <c r="C23" s="18"/>
      <c r="D23" s="11"/>
      <c r="E23" s="11"/>
      <c r="F23" s="29" t="str">
        <f>IF(E23=""," ",IF(E23&lt;=Info!D23,"Pass","Fail"))</f>
        <v xml:space="preserve"> </v>
      </c>
      <c r="G23" s="30"/>
      <c r="H23" s="31" t="str">
        <f>IF(G23=""," ",IF(G23&lt;=Info!F23,"Pass","Fail"))</f>
        <v xml:space="preserve"> </v>
      </c>
      <c r="I23" s="65" t="s">
        <v>32</v>
      </c>
      <c r="J23" s="66"/>
      <c r="K23" s="66"/>
      <c r="L23" s="67"/>
    </row>
    <row r="24" spans="1:12" ht="13.9" customHeight="1" x14ac:dyDescent="0.4">
      <c r="A24" s="14"/>
      <c r="B24" s="15"/>
      <c r="C24" s="18"/>
      <c r="D24" s="11"/>
      <c r="E24" s="11"/>
      <c r="F24" s="29" t="str">
        <f>IF(E24=""," ",IF(E24&lt;=Info!D24,"Pass","Fail"))</f>
        <v xml:space="preserve"> </v>
      </c>
      <c r="G24" s="30"/>
      <c r="H24" s="31" t="str">
        <f>IF(G24=""," ",IF(G24&lt;=Info!F24,"Pass","Fail"))</f>
        <v xml:space="preserve"> </v>
      </c>
      <c r="I24" s="74" t="str">
        <f>IF(A18=""," ",IF(F56=0,"Do Meet","Do Not Meet"))</f>
        <v xml:space="preserve"> </v>
      </c>
      <c r="J24" s="75"/>
      <c r="K24" s="75"/>
      <c r="L24" s="76"/>
    </row>
    <row r="25" spans="1:12" ht="13.9" customHeight="1" thickBot="1" x14ac:dyDescent="0.45">
      <c r="A25" s="14"/>
      <c r="B25" s="15"/>
      <c r="C25" s="18"/>
      <c r="D25" s="11"/>
      <c r="E25" s="11"/>
      <c r="F25" s="29" t="str">
        <f>IF(E25=""," ",IF(E25&lt;=Info!D25,"Pass","Fail"))</f>
        <v xml:space="preserve"> </v>
      </c>
      <c r="G25" s="30"/>
      <c r="H25" s="31" t="str">
        <f>IF(G25=""," ",IF(G25&lt;=Info!F25,"Pass","Fail"))</f>
        <v xml:space="preserve"> </v>
      </c>
      <c r="I25" s="77"/>
      <c r="J25" s="78"/>
      <c r="K25" s="78"/>
      <c r="L25" s="79"/>
    </row>
    <row r="26" spans="1:12" ht="13.9" x14ac:dyDescent="0.4">
      <c r="A26" s="14"/>
      <c r="B26" s="15"/>
      <c r="C26" s="18"/>
      <c r="D26" s="11"/>
      <c r="E26" s="11"/>
      <c r="F26" s="29" t="str">
        <f>IF(E26=""," ",IF(E26&lt;=Info!D26,"Pass","Fail"))</f>
        <v xml:space="preserve"> </v>
      </c>
      <c r="G26" s="30"/>
      <c r="H26" s="31" t="str">
        <f>IF(G26=""," ",IF(G26&lt;=Info!F26,"Pass","Fail"))</f>
        <v xml:space="preserve"> </v>
      </c>
      <c r="I26" s="65" t="s">
        <v>25</v>
      </c>
      <c r="J26" s="66"/>
      <c r="K26" s="66"/>
      <c r="L26" s="67"/>
    </row>
    <row r="27" spans="1:12" ht="14.25" thickBot="1" x14ac:dyDescent="0.45">
      <c r="A27" s="14"/>
      <c r="B27" s="15"/>
      <c r="C27" s="18"/>
      <c r="D27" s="11"/>
      <c r="E27" s="11"/>
      <c r="F27" s="29" t="str">
        <f>IF(E27=""," ",IF(E27&lt;=Info!D27,"Pass","Fail"))</f>
        <v xml:space="preserve"> </v>
      </c>
      <c r="G27" s="30"/>
      <c r="H27" s="31" t="str">
        <f>IF(G27=""," ",IF(G27&lt;=Info!F27,"Pass","Fail"))</f>
        <v xml:space="preserve"> </v>
      </c>
      <c r="I27" s="65" t="s">
        <v>45</v>
      </c>
      <c r="J27" s="66"/>
      <c r="K27" s="66"/>
      <c r="L27" s="67"/>
    </row>
    <row r="28" spans="1:12" ht="13.9" x14ac:dyDescent="0.4">
      <c r="A28" s="14"/>
      <c r="B28" s="15"/>
      <c r="C28" s="18"/>
      <c r="D28" s="11"/>
      <c r="E28" s="11"/>
      <c r="F28" s="29" t="str">
        <f>IF(E28=""," ",IF(E28&lt;=Info!D28,"Pass","Fail"))</f>
        <v xml:space="preserve"> </v>
      </c>
      <c r="G28" s="30"/>
      <c r="H28" s="31" t="str">
        <f>IF(G28=""," ",IF(G28&lt;=Info!F28,"Pass","Fail"))</f>
        <v xml:space="preserve"> </v>
      </c>
      <c r="I28" s="80"/>
      <c r="J28" s="81"/>
      <c r="K28" s="81"/>
      <c r="L28" s="82"/>
    </row>
    <row r="29" spans="1:12" ht="13.9" x14ac:dyDescent="0.4">
      <c r="A29" s="14"/>
      <c r="B29" s="15"/>
      <c r="C29" s="18"/>
      <c r="D29" s="11"/>
      <c r="E29" s="11"/>
      <c r="F29" s="29" t="str">
        <f>IF(E29=""," ",IF(E29&lt;=Info!D29,"Pass","Fail"))</f>
        <v xml:space="preserve"> </v>
      </c>
      <c r="G29" s="30"/>
      <c r="H29" s="31" t="str">
        <f>IF(G29=""," ",IF(G29&lt;=Info!F29,"Pass","Fail"))</f>
        <v xml:space="preserve"> </v>
      </c>
      <c r="I29" s="65" t="s">
        <v>26</v>
      </c>
      <c r="J29" s="66"/>
      <c r="K29" s="66"/>
      <c r="L29" s="67"/>
    </row>
    <row r="30" spans="1:12" ht="14.25" thickBot="1" x14ac:dyDescent="0.45">
      <c r="A30" s="14"/>
      <c r="B30" s="15"/>
      <c r="C30" s="18"/>
      <c r="D30" s="11"/>
      <c r="E30" s="11"/>
      <c r="F30" s="29" t="str">
        <f>IF(E30=""," ",IF(E30&lt;=Info!D30,"Pass","Fail"))</f>
        <v xml:space="preserve"> </v>
      </c>
      <c r="G30" s="30"/>
      <c r="H30" s="31" t="str">
        <f>IF(G30=""," ",IF(G30&lt;=Info!F30,"Pass","Fail"))</f>
        <v xml:space="preserve"> </v>
      </c>
      <c r="I30" s="68"/>
      <c r="J30" s="69"/>
      <c r="K30" s="69"/>
      <c r="L30" s="70"/>
    </row>
    <row r="31" spans="1:12" ht="13.9" x14ac:dyDescent="0.4">
      <c r="A31" s="14"/>
      <c r="B31" s="15"/>
      <c r="C31" s="18"/>
      <c r="D31" s="11"/>
      <c r="E31" s="11"/>
      <c r="F31" s="29" t="str">
        <f>IF(E31=""," ",IF(E31&lt;=Info!D31,"Pass","Fail"))</f>
        <v xml:space="preserve"> </v>
      </c>
      <c r="G31" s="30"/>
      <c r="H31" s="31" t="str">
        <f>IF(G31=""," ",IF(G31&lt;=Info!F31,"Pass","Fail"))</f>
        <v xml:space="preserve"> </v>
      </c>
      <c r="I31" s="59"/>
      <c r="J31" s="60"/>
      <c r="K31" s="60"/>
      <c r="L31" s="61"/>
    </row>
    <row r="32" spans="1:12" ht="13.9" x14ac:dyDescent="0.4">
      <c r="A32" s="14"/>
      <c r="B32" s="15"/>
      <c r="C32" s="18"/>
      <c r="D32" s="11"/>
      <c r="E32" s="11"/>
      <c r="F32" s="29" t="str">
        <f>IF(E32=""," ",IF(E32&lt;=Info!D32,"Pass","Fail"))</f>
        <v xml:space="preserve"> </v>
      </c>
      <c r="G32" s="30"/>
      <c r="H32" s="31" t="str">
        <f>IF(G32=""," ",IF(G32&lt;=Info!F32,"Pass","Fail"))</f>
        <v xml:space="preserve"> </v>
      </c>
      <c r="I32" s="59"/>
      <c r="J32" s="60"/>
      <c r="K32" s="60"/>
      <c r="L32" s="61"/>
    </row>
    <row r="33" spans="1:12" ht="13.9" x14ac:dyDescent="0.4">
      <c r="A33" s="14"/>
      <c r="B33" s="15"/>
      <c r="C33" s="18"/>
      <c r="D33" s="11"/>
      <c r="E33" s="11"/>
      <c r="F33" s="29" t="str">
        <f>IF(E33=""," ",IF(E33&lt;=Info!D33,"Pass","Fail"))</f>
        <v xml:space="preserve"> </v>
      </c>
      <c r="G33" s="30"/>
      <c r="H33" s="31" t="str">
        <f>IF(G33=""," ",IF(G33&lt;=Info!F33,"Pass","Fail"))</f>
        <v xml:space="preserve"> </v>
      </c>
      <c r="I33" s="59"/>
      <c r="J33" s="60"/>
      <c r="K33" s="60"/>
      <c r="L33" s="61"/>
    </row>
    <row r="34" spans="1:12" ht="13.9" x14ac:dyDescent="0.4">
      <c r="A34" s="14"/>
      <c r="B34" s="15"/>
      <c r="C34" s="18"/>
      <c r="D34" s="11"/>
      <c r="E34" s="11"/>
      <c r="F34" s="29" t="str">
        <f>IF(E34=""," ",IF(E34&lt;=Info!D34,"Pass","Fail"))</f>
        <v xml:space="preserve"> </v>
      </c>
      <c r="G34" s="30"/>
      <c r="H34" s="31" t="str">
        <f>IF(G34=""," ",IF(G34&lt;=Info!F34,"Pass","Fail"))</f>
        <v xml:space="preserve"> </v>
      </c>
      <c r="I34" s="59"/>
      <c r="J34" s="60"/>
      <c r="K34" s="60"/>
      <c r="L34" s="61"/>
    </row>
    <row r="35" spans="1:12" ht="13.9" x14ac:dyDescent="0.4">
      <c r="A35" s="14"/>
      <c r="B35" s="15"/>
      <c r="C35" s="18"/>
      <c r="D35" s="11"/>
      <c r="E35" s="11"/>
      <c r="F35" s="29" t="str">
        <f>IF(E35=""," ",IF(E35&lt;=Info!D35,"Pass","Fail"))</f>
        <v xml:space="preserve"> </v>
      </c>
      <c r="G35" s="30"/>
      <c r="H35" s="31" t="str">
        <f>IF(G35=""," ",IF(G35&lt;=Info!F35,"Pass","Fail"))</f>
        <v xml:space="preserve"> </v>
      </c>
      <c r="I35" s="59"/>
      <c r="J35" s="60"/>
      <c r="K35" s="60"/>
      <c r="L35" s="61"/>
    </row>
    <row r="36" spans="1:12" ht="13.9" x14ac:dyDescent="0.4">
      <c r="A36" s="14"/>
      <c r="B36" s="15"/>
      <c r="C36" s="18"/>
      <c r="D36" s="11"/>
      <c r="E36" s="11"/>
      <c r="F36" s="29" t="str">
        <f>IF(E36=""," ",IF(E36&lt;=Info!D36,"Pass","Fail"))</f>
        <v xml:space="preserve"> </v>
      </c>
      <c r="G36" s="30"/>
      <c r="H36" s="31" t="str">
        <f>IF(G36=""," ",IF(G36&lt;=Info!F36,"Pass","Fail"))</f>
        <v xml:space="preserve"> </v>
      </c>
      <c r="I36" s="59"/>
      <c r="J36" s="60"/>
      <c r="K36" s="60"/>
      <c r="L36" s="61"/>
    </row>
    <row r="37" spans="1:12" ht="13.9" x14ac:dyDescent="0.4">
      <c r="A37" s="14"/>
      <c r="B37" s="15"/>
      <c r="C37" s="18"/>
      <c r="D37" s="11"/>
      <c r="E37" s="11"/>
      <c r="F37" s="29" t="str">
        <f>IF(E37=""," ",IF(E37&lt;=Info!D37,"Pass","Fail"))</f>
        <v xml:space="preserve"> </v>
      </c>
      <c r="G37" s="30"/>
      <c r="H37" s="31" t="str">
        <f>IF(G37=""," ",IF(G37&lt;=Info!F37,"Pass","Fail"))</f>
        <v xml:space="preserve"> </v>
      </c>
      <c r="I37" s="59"/>
      <c r="J37" s="60"/>
      <c r="K37" s="60"/>
      <c r="L37" s="61"/>
    </row>
    <row r="38" spans="1:12" ht="13.9" x14ac:dyDescent="0.4">
      <c r="A38" s="14"/>
      <c r="B38" s="15"/>
      <c r="C38" s="18"/>
      <c r="D38" s="11"/>
      <c r="E38" s="11"/>
      <c r="F38" s="29" t="str">
        <f>IF(E38=""," ",IF(E38&lt;=Info!D38,"Pass","Fail"))</f>
        <v xml:space="preserve"> </v>
      </c>
      <c r="G38" s="30"/>
      <c r="H38" s="31" t="str">
        <f>IF(G38=""," ",IF(G38&lt;=Info!F38,"Pass","Fail"))</f>
        <v xml:space="preserve"> </v>
      </c>
      <c r="I38" s="59"/>
      <c r="J38" s="60"/>
      <c r="K38" s="60"/>
      <c r="L38" s="61"/>
    </row>
    <row r="39" spans="1:12" ht="13.9" x14ac:dyDescent="0.4">
      <c r="A39" s="14"/>
      <c r="B39" s="15"/>
      <c r="C39" s="18"/>
      <c r="D39" s="11"/>
      <c r="E39" s="11"/>
      <c r="F39" s="29" t="str">
        <f>IF(E39=""," ",IF(E39&lt;=Info!D39,"Pass","Fail"))</f>
        <v xml:space="preserve"> </v>
      </c>
      <c r="G39" s="30"/>
      <c r="H39" s="31" t="str">
        <f>IF(G39=""," ",IF(G39&lt;=Info!F39,"Pass","Fail"))</f>
        <v xml:space="preserve"> </v>
      </c>
      <c r="I39" s="59"/>
      <c r="J39" s="60"/>
      <c r="K39" s="60"/>
      <c r="L39" s="61"/>
    </row>
    <row r="40" spans="1:12" ht="13.9" x14ac:dyDescent="0.4">
      <c r="A40" s="14"/>
      <c r="B40" s="15"/>
      <c r="C40" s="18"/>
      <c r="D40" s="11"/>
      <c r="E40" s="11"/>
      <c r="F40" s="29" t="str">
        <f>IF(E40=""," ",IF(E40&lt;=Info!D40,"Pass","Fail"))</f>
        <v xml:space="preserve"> </v>
      </c>
      <c r="G40" s="30"/>
      <c r="H40" s="31" t="str">
        <f>IF(G40=""," ",IF(G40&lt;=Info!F40,"Pass","Fail"))</f>
        <v xml:space="preserve"> </v>
      </c>
      <c r="I40" s="59"/>
      <c r="J40" s="60"/>
      <c r="K40" s="60"/>
      <c r="L40" s="61"/>
    </row>
    <row r="41" spans="1:12" ht="13.9" x14ac:dyDescent="0.4">
      <c r="A41" s="14"/>
      <c r="B41" s="15"/>
      <c r="C41" s="18"/>
      <c r="D41" s="11"/>
      <c r="E41" s="11"/>
      <c r="F41" s="29" t="str">
        <f>IF(E41=""," ",IF(E41&lt;=Info!D41,"Pass","Fail"))</f>
        <v xml:space="preserve"> </v>
      </c>
      <c r="G41" s="30"/>
      <c r="H41" s="31" t="str">
        <f>IF(G41=""," ",IF(G41&lt;=Info!F41,"Pass","Fail"))</f>
        <v xml:space="preserve"> </v>
      </c>
      <c r="I41" s="59"/>
      <c r="J41" s="60"/>
      <c r="K41" s="60"/>
      <c r="L41" s="61"/>
    </row>
    <row r="42" spans="1:12" ht="13.9" x14ac:dyDescent="0.4">
      <c r="A42" s="14"/>
      <c r="B42" s="15"/>
      <c r="C42" s="18"/>
      <c r="D42" s="11"/>
      <c r="E42" s="11"/>
      <c r="F42" s="29" t="str">
        <f>IF(E42=""," ",IF(E42&lt;=Info!D42,"Pass","Fail"))</f>
        <v xml:space="preserve"> </v>
      </c>
      <c r="G42" s="30"/>
      <c r="H42" s="31" t="str">
        <f>IF(G42=""," ",IF(G42&lt;=Info!F42,"Pass","Fail"))</f>
        <v xml:space="preserve"> </v>
      </c>
      <c r="I42" s="59"/>
      <c r="J42" s="60"/>
      <c r="K42" s="60"/>
      <c r="L42" s="61"/>
    </row>
    <row r="43" spans="1:12" ht="13.9" x14ac:dyDescent="0.4">
      <c r="A43" s="14"/>
      <c r="B43" s="15"/>
      <c r="C43" s="18"/>
      <c r="D43" s="11"/>
      <c r="E43" s="11"/>
      <c r="F43" s="29" t="str">
        <f>IF(E43=""," ",IF(E43&lt;=Info!D43,"Pass","Fail"))</f>
        <v xml:space="preserve"> </v>
      </c>
      <c r="G43" s="30"/>
      <c r="H43" s="31" t="str">
        <f>IF(G43=""," ",IF(G43&lt;=Info!F43,"Pass","Fail"))</f>
        <v xml:space="preserve"> </v>
      </c>
      <c r="I43" s="59"/>
      <c r="J43" s="60"/>
      <c r="K43" s="60"/>
      <c r="L43" s="61"/>
    </row>
    <row r="44" spans="1:12" ht="13.9" x14ac:dyDescent="0.4">
      <c r="A44" s="14"/>
      <c r="B44" s="15"/>
      <c r="C44" s="18"/>
      <c r="D44" s="11"/>
      <c r="E44" s="11"/>
      <c r="F44" s="29" t="str">
        <f>IF(E44=""," ",IF(E44&lt;=Info!D44,"Pass","Fail"))</f>
        <v xml:space="preserve"> </v>
      </c>
      <c r="G44" s="30"/>
      <c r="H44" s="31" t="str">
        <f>IF(G44=""," ",IF(G44&lt;=Info!F44,"Pass","Fail"))</f>
        <v xml:space="preserve"> </v>
      </c>
      <c r="I44" s="59"/>
      <c r="J44" s="60"/>
      <c r="K44" s="60"/>
      <c r="L44" s="61"/>
    </row>
    <row r="45" spans="1:12" ht="13.9" x14ac:dyDescent="0.4">
      <c r="A45" s="14"/>
      <c r="B45" s="15"/>
      <c r="C45" s="18"/>
      <c r="D45" s="11"/>
      <c r="E45" s="11"/>
      <c r="F45" s="29" t="str">
        <f>IF(E45=""," ",IF(E45&lt;=Info!D45,"Pass","Fail"))</f>
        <v xml:space="preserve"> </v>
      </c>
      <c r="G45" s="30"/>
      <c r="H45" s="31" t="str">
        <f>IF(G45=""," ",IF(G45&lt;=Info!F45,"Pass","Fail"))</f>
        <v xml:space="preserve"> </v>
      </c>
      <c r="I45" s="59"/>
      <c r="J45" s="60"/>
      <c r="K45" s="60"/>
      <c r="L45" s="61"/>
    </row>
    <row r="46" spans="1:12" ht="13.9" x14ac:dyDescent="0.4">
      <c r="A46" s="14"/>
      <c r="B46" s="15"/>
      <c r="C46" s="18"/>
      <c r="D46" s="11"/>
      <c r="E46" s="11"/>
      <c r="F46" s="29" t="str">
        <f>IF(E46=""," ",IF(E46&lt;=Info!D46,"Pass","Fail"))</f>
        <v xml:space="preserve"> </v>
      </c>
      <c r="G46" s="30"/>
      <c r="H46" s="31" t="str">
        <f>IF(G46=""," ",IF(G46&lt;=Info!F46,"Pass","Fail"))</f>
        <v xml:space="preserve"> </v>
      </c>
      <c r="I46" s="43"/>
      <c r="J46" s="44"/>
      <c r="K46" s="44"/>
      <c r="L46" s="45"/>
    </row>
    <row r="47" spans="1:12" ht="13.9" x14ac:dyDescent="0.4">
      <c r="A47" s="14"/>
      <c r="B47" s="15"/>
      <c r="C47" s="18"/>
      <c r="D47" s="11"/>
      <c r="E47" s="11"/>
      <c r="F47" s="29" t="str">
        <f>IF(E47=""," ",IF(E47&lt;=Info!D47,"Pass","Fail"))</f>
        <v xml:space="preserve"> </v>
      </c>
      <c r="G47" s="30"/>
      <c r="H47" s="31" t="str">
        <f>IF(G47=""," ",IF(G47&lt;=Info!F47,"Pass","Fail"))</f>
        <v xml:space="preserve"> </v>
      </c>
      <c r="I47" s="43"/>
      <c r="J47" s="44"/>
      <c r="K47" s="44"/>
      <c r="L47" s="45"/>
    </row>
    <row r="48" spans="1:12" ht="13.9" x14ac:dyDescent="0.4">
      <c r="A48" s="14"/>
      <c r="B48" s="15"/>
      <c r="C48" s="18"/>
      <c r="D48" s="11"/>
      <c r="E48" s="11"/>
      <c r="F48" s="29" t="str">
        <f>IF(E48=""," ",IF(E48&lt;=Info!D48,"Pass","Fail"))</f>
        <v xml:space="preserve"> </v>
      </c>
      <c r="G48" s="30"/>
      <c r="H48" s="31" t="str">
        <f>IF(G48=""," ",IF(G48&lt;=Info!F48,"Pass","Fail"))</f>
        <v xml:space="preserve"> </v>
      </c>
      <c r="I48" s="43"/>
      <c r="J48" s="44"/>
      <c r="K48" s="44"/>
      <c r="L48" s="45"/>
    </row>
    <row r="49" spans="1:12" ht="13.9" x14ac:dyDescent="0.4">
      <c r="A49" s="14"/>
      <c r="B49" s="15"/>
      <c r="C49" s="18"/>
      <c r="D49" s="11"/>
      <c r="E49" s="11"/>
      <c r="F49" s="29" t="str">
        <f>IF(E49=""," ",IF(E49&lt;=Info!D49,"Pass","Fail"))</f>
        <v xml:space="preserve"> </v>
      </c>
      <c r="G49" s="30"/>
      <c r="H49" s="31" t="str">
        <f>IF(G49=""," ",IF(G49&lt;=Info!F49,"Pass","Fail"))</f>
        <v xml:space="preserve"> </v>
      </c>
      <c r="I49" s="43"/>
      <c r="J49" s="44"/>
      <c r="K49" s="44"/>
      <c r="L49" s="45"/>
    </row>
    <row r="50" spans="1:12" ht="13.9" x14ac:dyDescent="0.4">
      <c r="A50" s="14"/>
      <c r="B50" s="15"/>
      <c r="C50" s="18"/>
      <c r="D50" s="11"/>
      <c r="E50" s="11"/>
      <c r="F50" s="29" t="str">
        <f>IF(E50=""," ",IF(E50&lt;=Info!D50,"Pass","Fail"))</f>
        <v xml:space="preserve"> </v>
      </c>
      <c r="G50" s="30"/>
      <c r="H50" s="31" t="str">
        <f>IF(G50=""," ",IF(G50&lt;=Info!F50,"Pass","Fail"))</f>
        <v xml:space="preserve"> </v>
      </c>
      <c r="I50" s="43"/>
      <c r="J50" s="44"/>
      <c r="K50" s="44"/>
      <c r="L50" s="45"/>
    </row>
    <row r="51" spans="1:12" ht="13.9" x14ac:dyDescent="0.4">
      <c r="A51" s="14"/>
      <c r="B51" s="15"/>
      <c r="C51" s="18"/>
      <c r="D51" s="11"/>
      <c r="E51" s="11"/>
      <c r="F51" s="29" t="str">
        <f>IF(E51=""," ",IF(E51&lt;=Info!D51,"Pass","Fail"))</f>
        <v xml:space="preserve"> </v>
      </c>
      <c r="G51" s="30"/>
      <c r="H51" s="31" t="str">
        <f>IF(G51=""," ",IF(G51&lt;=Info!F51,"Pass","Fail"))</f>
        <v xml:space="preserve"> </v>
      </c>
      <c r="I51" s="43"/>
      <c r="J51" s="44"/>
      <c r="K51" s="44"/>
      <c r="L51" s="45"/>
    </row>
    <row r="52" spans="1:12" ht="13.9" x14ac:dyDescent="0.4">
      <c r="A52" s="14"/>
      <c r="B52" s="15"/>
      <c r="C52" s="18"/>
      <c r="D52" s="11"/>
      <c r="E52" s="11"/>
      <c r="F52" s="29" t="str">
        <f>IF(E52=""," ",IF(E52&lt;=Info!D52,"Pass","Fail"))</f>
        <v xml:space="preserve"> </v>
      </c>
      <c r="G52" s="30"/>
      <c r="H52" s="31" t="str">
        <f>IF(G52=""," ",IF(G52&lt;=Info!F52,"Pass","Fail"))</f>
        <v xml:space="preserve"> </v>
      </c>
      <c r="I52" s="43"/>
      <c r="J52" s="44"/>
      <c r="K52" s="44"/>
      <c r="L52" s="45"/>
    </row>
    <row r="53" spans="1:12" ht="13.9" x14ac:dyDescent="0.4">
      <c r="A53" s="14"/>
      <c r="B53" s="15"/>
      <c r="C53" s="18"/>
      <c r="D53" s="11"/>
      <c r="E53" s="11"/>
      <c r="F53" s="29" t="str">
        <f>IF(E53=""," ",IF(E53&lt;=Info!D53,"Pass","Fail"))</f>
        <v xml:space="preserve"> </v>
      </c>
      <c r="G53" s="30"/>
      <c r="H53" s="31" t="str">
        <f>IF(G53=""," ",IF(G53&lt;=Info!F53,"Pass","Fail"))</f>
        <v xml:space="preserve"> </v>
      </c>
      <c r="I53" s="59"/>
      <c r="J53" s="60"/>
      <c r="K53" s="60"/>
      <c r="L53" s="61"/>
    </row>
    <row r="54" spans="1:12" ht="14.25" thickBot="1" x14ac:dyDescent="0.45">
      <c r="A54" s="16"/>
      <c r="B54" s="17"/>
      <c r="C54" s="19"/>
      <c r="D54" s="12"/>
      <c r="E54" s="12"/>
      <c r="F54" s="29" t="str">
        <f>IF(E54=""," ",IF(E54&lt;=Info!D54,"Pass","Fail"))</f>
        <v xml:space="preserve"> </v>
      </c>
      <c r="G54" s="30"/>
      <c r="H54" s="31" t="str">
        <f>IF(G54=""," ",IF(G54&lt;=Info!F54,"Pass","Fail"))</f>
        <v xml:space="preserve"> </v>
      </c>
      <c r="I54" s="62"/>
      <c r="J54" s="63"/>
      <c r="K54" s="63"/>
      <c r="L54" s="64"/>
    </row>
    <row r="55" spans="1:12" ht="14.25" thickBot="1" x14ac:dyDescent="0.45">
      <c r="A55" s="48" t="s">
        <v>44</v>
      </c>
      <c r="B55" s="49"/>
      <c r="C55" s="49"/>
      <c r="D55" s="49"/>
      <c r="E55" s="49"/>
      <c r="F55" s="50"/>
      <c r="G55" s="50"/>
      <c r="H55" s="50"/>
      <c r="I55" s="49"/>
      <c r="J55" s="49"/>
      <c r="K55" s="49"/>
      <c r="L55" s="51"/>
    </row>
    <row r="56" spans="1:12" ht="14.25" thickBot="1" x14ac:dyDescent="0.45">
      <c r="A56" s="52" t="s">
        <v>53</v>
      </c>
      <c r="B56" s="53"/>
      <c r="C56" s="53"/>
      <c r="D56" s="53"/>
      <c r="E56" s="54"/>
      <c r="F56" s="13">
        <f>COUNTIF(F18:F54:H18:H54,"Fail")</f>
        <v>0</v>
      </c>
      <c r="G56" s="9"/>
      <c r="H56" s="9"/>
      <c r="I56" s="9"/>
      <c r="J56" s="9"/>
      <c r="K56" s="9"/>
      <c r="L56" s="9"/>
    </row>
    <row r="57" spans="1:12" ht="13.9" x14ac:dyDescent="0.4">
      <c r="A57" s="46" t="s">
        <v>27</v>
      </c>
      <c r="B57" s="46"/>
      <c r="C57" s="46"/>
      <c r="D57" s="56" t="s">
        <v>51</v>
      </c>
      <c r="E57" s="56"/>
      <c r="F57" s="56"/>
      <c r="G57" s="55"/>
      <c r="H57" s="55"/>
      <c r="I57" s="55"/>
      <c r="J57" s="55"/>
      <c r="K57" s="55"/>
      <c r="L57" s="55"/>
    </row>
    <row r="58" spans="1:12" ht="13.9" x14ac:dyDescent="0.4">
      <c r="A58" s="46" t="s">
        <v>50</v>
      </c>
      <c r="B58" s="46"/>
      <c r="C58" s="46"/>
      <c r="D58" s="57"/>
      <c r="E58" s="57"/>
      <c r="F58" s="57"/>
      <c r="G58" s="46" t="s">
        <v>30</v>
      </c>
      <c r="H58" s="46"/>
      <c r="I58" s="46"/>
      <c r="J58" s="47"/>
      <c r="K58" s="47"/>
      <c r="L58" s="47"/>
    </row>
    <row r="59" spans="1:12" ht="13.9" x14ac:dyDescent="0.4">
      <c r="A59" s="46" t="s">
        <v>28</v>
      </c>
      <c r="B59" s="46"/>
      <c r="C59" s="46"/>
      <c r="D59" s="47"/>
      <c r="E59" s="47"/>
      <c r="F59" s="47"/>
      <c r="G59" s="46"/>
      <c r="H59" s="46"/>
      <c r="I59" s="46"/>
      <c r="J59" s="46"/>
      <c r="K59" s="46"/>
      <c r="L59" s="46"/>
    </row>
    <row r="60" spans="1:12" ht="13.9" x14ac:dyDescent="0.4">
      <c r="A60" s="46" t="s">
        <v>29</v>
      </c>
      <c r="B60" s="46"/>
      <c r="C60" s="46"/>
      <c r="D60" s="58" t="str">
        <f>IF(Info!D9=""," ",Info!D9)</f>
        <v xml:space="preserve"> </v>
      </c>
      <c r="E60" s="58"/>
      <c r="F60" s="58"/>
      <c r="G60" s="46" t="s">
        <v>31</v>
      </c>
      <c r="H60" s="46"/>
      <c r="I60" s="46"/>
      <c r="J60" s="47"/>
      <c r="K60" s="47"/>
      <c r="L60" s="47"/>
    </row>
    <row r="61" spans="1:12" ht="13.9" x14ac:dyDescent="0.4">
      <c r="A61" s="9"/>
      <c r="B61" s="9"/>
      <c r="C61" s="9"/>
      <c r="D61" s="9"/>
      <c r="E61" s="9"/>
      <c r="F61" s="9"/>
      <c r="G61" s="9"/>
      <c r="H61" s="9"/>
      <c r="I61" s="99" t="s">
        <v>66</v>
      </c>
      <c r="J61" s="99"/>
      <c r="K61" s="99"/>
      <c r="L61" s="99"/>
    </row>
  </sheetData>
  <sheetProtection password="96B1" sheet="1" objects="1" scenarios="1"/>
  <mergeCells count="100">
    <mergeCell ref="I61:L61"/>
    <mergeCell ref="D5:I5"/>
    <mergeCell ref="A5:C5"/>
    <mergeCell ref="A6:L6"/>
    <mergeCell ref="J5:L5"/>
    <mergeCell ref="A7:B7"/>
    <mergeCell ref="I27:L27"/>
    <mergeCell ref="C7:F7"/>
    <mergeCell ref="G7:H7"/>
    <mergeCell ref="I7:L7"/>
    <mergeCell ref="A1:L1"/>
    <mergeCell ref="A3:B3"/>
    <mergeCell ref="A4:B4"/>
    <mergeCell ref="K3:L3"/>
    <mergeCell ref="K4:L4"/>
    <mergeCell ref="D2:I2"/>
    <mergeCell ref="D3:I3"/>
    <mergeCell ref="D4:I4"/>
    <mergeCell ref="A2:C2"/>
    <mergeCell ref="J2:L2"/>
    <mergeCell ref="A11:B11"/>
    <mergeCell ref="C11:F11"/>
    <mergeCell ref="I8:L8"/>
    <mergeCell ref="I9:L9"/>
    <mergeCell ref="I10:L10"/>
    <mergeCell ref="G11:H11"/>
    <mergeCell ref="I11:L11"/>
    <mergeCell ref="A8:B8"/>
    <mergeCell ref="A9:B9"/>
    <mergeCell ref="A10:B10"/>
    <mergeCell ref="C10:F10"/>
    <mergeCell ref="G10:H10"/>
    <mergeCell ref="I14:L14"/>
    <mergeCell ref="I12:L12"/>
    <mergeCell ref="G8:H8"/>
    <mergeCell ref="G9:H9"/>
    <mergeCell ref="C8:F8"/>
    <mergeCell ref="C9:F9"/>
    <mergeCell ref="A16:B16"/>
    <mergeCell ref="A15:B15"/>
    <mergeCell ref="C15:H15"/>
    <mergeCell ref="D12:F12"/>
    <mergeCell ref="G12:H12"/>
    <mergeCell ref="A12:B12"/>
    <mergeCell ref="A14:H14"/>
    <mergeCell ref="A13:L13"/>
    <mergeCell ref="I19:L19"/>
    <mergeCell ref="I20:L20"/>
    <mergeCell ref="I15:L15"/>
    <mergeCell ref="I21:L21"/>
    <mergeCell ref="I16:L16"/>
    <mergeCell ref="I17:L17"/>
    <mergeCell ref="I18:L18"/>
    <mergeCell ref="I34:L34"/>
    <mergeCell ref="I35:L35"/>
    <mergeCell ref="I36:L36"/>
    <mergeCell ref="I22:L22"/>
    <mergeCell ref="I23:L23"/>
    <mergeCell ref="I24:L25"/>
    <mergeCell ref="I26:L26"/>
    <mergeCell ref="D59:F59"/>
    <mergeCell ref="D60:F60"/>
    <mergeCell ref="A58:C58"/>
    <mergeCell ref="I28:L28"/>
    <mergeCell ref="I29:L29"/>
    <mergeCell ref="I30:L30"/>
    <mergeCell ref="A55:L55"/>
    <mergeCell ref="I31:L31"/>
    <mergeCell ref="I32:L32"/>
    <mergeCell ref="I33:L33"/>
    <mergeCell ref="I50:L50"/>
    <mergeCell ref="I45:L45"/>
    <mergeCell ref="I37:L37"/>
    <mergeCell ref="I38:L38"/>
    <mergeCell ref="I39:L39"/>
    <mergeCell ref="I40:L40"/>
    <mergeCell ref="I41:L41"/>
    <mergeCell ref="I42:L42"/>
    <mergeCell ref="I43:L43"/>
    <mergeCell ref="I44:L44"/>
    <mergeCell ref="I46:L46"/>
    <mergeCell ref="G58:I58"/>
    <mergeCell ref="J58:L58"/>
    <mergeCell ref="I48:L48"/>
    <mergeCell ref="I49:L49"/>
    <mergeCell ref="I47:L47"/>
    <mergeCell ref="I53:L53"/>
    <mergeCell ref="I52:L52"/>
    <mergeCell ref="I54:L54"/>
    <mergeCell ref="I51:L51"/>
    <mergeCell ref="A56:E56"/>
    <mergeCell ref="A57:C57"/>
    <mergeCell ref="D57:F57"/>
    <mergeCell ref="G57:L57"/>
    <mergeCell ref="G60:I60"/>
    <mergeCell ref="J60:L60"/>
    <mergeCell ref="G59:L59"/>
    <mergeCell ref="A59:C59"/>
    <mergeCell ref="A60:C60"/>
    <mergeCell ref="D58:F58"/>
  </mergeCells>
  <phoneticPr fontId="7" type="noConversion"/>
  <printOptions horizontalCentered="1" verticalCentered="1"/>
  <pageMargins left="0" right="0" top="0" bottom="0" header="0" footer="0"/>
  <pageSetup scale="84" orientation="portrait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D96C-1415-4594-BBC9-1A3E356287FC}">
  <sheetPr>
    <pageSetUpPr fitToPage="1"/>
  </sheetPr>
  <dimension ref="A1:L61"/>
  <sheetViews>
    <sheetView workbookViewId="0">
      <selection activeCell="A18" sqref="A18"/>
    </sheetView>
  </sheetViews>
  <sheetFormatPr defaultRowHeight="12.75" x14ac:dyDescent="0.35"/>
  <cols>
    <col min="1" max="2" width="10.73046875" customWidth="1"/>
    <col min="3" max="3" width="10.86328125" customWidth="1"/>
    <col min="4" max="11" width="9.73046875" customWidth="1"/>
    <col min="12" max="12" width="11.73046875" customWidth="1"/>
  </cols>
  <sheetData>
    <row r="1" spans="1:12" ht="17.649999999999999" x14ac:dyDescent="0.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5" customFormat="1" ht="23.65" ph="1" x14ac:dyDescent="0.4">
      <c r="A2" s="55"/>
      <c r="B2" s="55"/>
      <c r="C2" s="55"/>
      <c r="D2" s="41" t="s">
        <v>33</v>
      </c>
      <c r="E2" s="41"/>
      <c r="F2" s="41"/>
      <c r="G2" s="41"/>
      <c r="H2" s="41"/>
      <c r="I2" s="41"/>
      <c r="J2" s="55"/>
      <c r="K2" s="55"/>
      <c r="L2" s="55"/>
    </row>
    <row r="3" spans="1:12" s="5" customFormat="1" ht="15" x14ac:dyDescent="0.4">
      <c r="A3" s="93" t="s">
        <v>1</v>
      </c>
      <c r="B3" s="93"/>
      <c r="C3" s="3" t="str">
        <f>IF(Info!D4=""," ",Info!D4)</f>
        <v xml:space="preserve"> </v>
      </c>
      <c r="D3" s="41" t="s">
        <v>4</v>
      </c>
      <c r="E3" s="41"/>
      <c r="F3" s="41"/>
      <c r="G3" s="41"/>
      <c r="H3" s="41"/>
      <c r="I3" s="41"/>
      <c r="J3" s="1" t="s">
        <v>3</v>
      </c>
      <c r="K3" s="97" t="str">
        <f>IF(Info!D5=""," ",Info!D5)</f>
        <v xml:space="preserve"> </v>
      </c>
      <c r="L3" s="97"/>
    </row>
    <row r="4" spans="1:12" s="5" customFormat="1" ht="23.65" ph="1" x14ac:dyDescent="0.4">
      <c r="A4" s="93" t="s">
        <v>2</v>
      </c>
      <c r="B4" s="93"/>
      <c r="C4" s="6">
        <v>4</v>
      </c>
      <c r="D4" s="41" t="s">
        <v>64</v>
      </c>
      <c r="E4" s="41"/>
      <c r="F4" s="41"/>
      <c r="G4" s="41"/>
      <c r="H4" s="41"/>
      <c r="I4" s="41"/>
      <c r="J4" s="2"/>
      <c r="K4" s="98" t="s">
        <v>52</v>
      </c>
      <c r="L4" s="98"/>
    </row>
    <row r="5" spans="1:12" s="5" customFormat="1" ht="23.65" ph="1" x14ac:dyDescent="0.4">
      <c r="A5" s="55"/>
      <c r="B5" s="55"/>
      <c r="C5" s="55"/>
      <c r="D5" s="41" t="s">
        <v>41</v>
      </c>
      <c r="E5" s="41"/>
      <c r="F5" s="41"/>
      <c r="G5" s="41"/>
      <c r="H5" s="41"/>
      <c r="I5" s="41"/>
      <c r="J5" s="55"/>
      <c r="K5" s="55"/>
      <c r="L5" s="55"/>
    </row>
    <row r="6" spans="1:12" s="5" customFormat="1" ht="23.25" ph="1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15.75" customHeight="1" ph="1" x14ac:dyDescent="0.4">
      <c r="A7" s="93" t="s">
        <v>5</v>
      </c>
      <c r="B7" s="93"/>
      <c r="C7" s="98" t="str">
        <f>IF(Info!D6=""," ",Info!D6)</f>
        <v xml:space="preserve"> </v>
      </c>
      <c r="D7" s="98"/>
      <c r="E7" s="98"/>
      <c r="F7" s="98"/>
      <c r="G7" s="46" t="s">
        <v>10</v>
      </c>
      <c r="H7" s="46"/>
      <c r="I7" s="98" t="str">
        <f>IF(Info!D8=""," ",Info!D8)</f>
        <v xml:space="preserve"> </v>
      </c>
      <c r="J7" s="98"/>
      <c r="K7" s="98"/>
      <c r="L7" s="98"/>
    </row>
    <row r="8" spans="1:12" s="5" customFormat="1" ht="13.9" x14ac:dyDescent="0.4">
      <c r="A8" s="93" t="s">
        <v>6</v>
      </c>
      <c r="B8" s="93"/>
      <c r="C8" s="98" t="str">
        <f>IF(Info!D7=""," ",Info!D7)</f>
        <v xml:space="preserve"> </v>
      </c>
      <c r="D8" s="98"/>
      <c r="E8" s="98"/>
      <c r="F8" s="98"/>
      <c r="G8" s="46" t="s">
        <v>11</v>
      </c>
      <c r="H8" s="46"/>
      <c r="I8" s="58" t="str">
        <f>IF(Info!D11=""," ",Info!D11)</f>
        <v xml:space="preserve"> </v>
      </c>
      <c r="J8" s="58"/>
      <c r="K8" s="58"/>
      <c r="L8" s="58"/>
    </row>
    <row r="9" spans="1:12" s="5" customFormat="1" ht="23.65" ph="1" x14ac:dyDescent="0.4">
      <c r="A9" s="93" t="s">
        <v>7</v>
      </c>
      <c r="B9" s="93"/>
      <c r="C9" s="98" t="str">
        <f>IF(Info!D10=""," ",Info!D10)</f>
        <v xml:space="preserve"> </v>
      </c>
      <c r="D9" s="98"/>
      <c r="E9" s="98"/>
      <c r="F9" s="98"/>
      <c r="G9" s="46" t="s">
        <v>12</v>
      </c>
      <c r="H9" s="46"/>
      <c r="I9" s="58" t="str">
        <f>IF(Info!D12=""," ",Info!D12)</f>
        <v xml:space="preserve"> </v>
      </c>
      <c r="J9" s="58"/>
      <c r="K9" s="58"/>
      <c r="L9" s="58"/>
    </row>
    <row r="10" spans="1:12" s="5" customFormat="1" ht="23.65" ph="1" x14ac:dyDescent="0.4">
      <c r="A10" s="93" t="s">
        <v>8</v>
      </c>
      <c r="B10" s="93"/>
      <c r="C10" s="98" t="str">
        <f>IF(Info!D15=""," ",Info!D15)</f>
        <v xml:space="preserve"> </v>
      </c>
      <c r="D10" s="98"/>
      <c r="E10" s="98"/>
      <c r="F10" s="98"/>
      <c r="G10" s="46" t="s">
        <v>13</v>
      </c>
      <c r="H10" s="46"/>
      <c r="I10" s="58" t="str">
        <f>IF(Info!D13=""," ",Info!D13)</f>
        <v xml:space="preserve"> </v>
      </c>
      <c r="J10" s="58"/>
      <c r="K10" s="58"/>
      <c r="L10" s="58"/>
    </row>
    <row r="11" spans="1:12" s="5" customFormat="1" ht="23.65" ph="1" x14ac:dyDescent="0.4">
      <c r="A11" s="93" t="s">
        <v>47</v>
      </c>
      <c r="B11" s="93"/>
      <c r="C11" s="96" t="str">
        <f>IF(Info!D19=""," ",Info!D19)</f>
        <v xml:space="preserve"> </v>
      </c>
      <c r="D11" s="96"/>
      <c r="E11" s="96"/>
      <c r="F11" s="96"/>
      <c r="G11" s="46" t="s">
        <v>14</v>
      </c>
      <c r="H11" s="46"/>
      <c r="I11" s="96" t="str">
        <f>IF(Info!D14=""," ",Info!D14)</f>
        <v xml:space="preserve"> </v>
      </c>
      <c r="J11" s="96"/>
      <c r="K11" s="96"/>
      <c r="L11" s="96"/>
    </row>
    <row r="12" spans="1:12" s="5" customFormat="1" ht="23.65" ph="1" x14ac:dyDescent="0.4">
      <c r="A12" s="93" t="s">
        <v>9</v>
      </c>
      <c r="B12" s="93"/>
      <c r="C12" s="8" t="str">
        <f>IF(Info!D18=""," ",Info!D18)</f>
        <v xml:space="preserve"> </v>
      </c>
      <c r="D12" s="91" t="s">
        <v>49</v>
      </c>
      <c r="E12" s="92"/>
      <c r="F12" s="92"/>
      <c r="G12" s="46" t="s">
        <v>15</v>
      </c>
      <c r="H12" s="46"/>
      <c r="I12" s="58" t="str">
        <f>IF(Info!D16=""," ",Info!D16)</f>
        <v xml:space="preserve"> </v>
      </c>
      <c r="J12" s="58"/>
      <c r="K12" s="58"/>
      <c r="L12" s="58"/>
    </row>
    <row r="13" spans="1:12" s="5" customFormat="1" ht="13.9" thickBot="1" x14ac:dyDescent="0.4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5.4" thickBot="1" x14ac:dyDescent="0.45">
      <c r="A14" s="94" t="s">
        <v>42</v>
      </c>
      <c r="B14" s="95"/>
      <c r="C14" s="95"/>
      <c r="D14" s="95"/>
      <c r="E14" s="95"/>
      <c r="F14" s="95"/>
      <c r="G14" s="95"/>
      <c r="H14" s="95"/>
      <c r="I14" s="86"/>
      <c r="J14" s="87"/>
      <c r="K14" s="87"/>
      <c r="L14" s="88"/>
    </row>
    <row r="15" spans="1:12" ht="14.25" thickBot="1" x14ac:dyDescent="0.45">
      <c r="A15" s="71" t="s">
        <v>16</v>
      </c>
      <c r="B15" s="89"/>
      <c r="C15" s="90" t="s">
        <v>43</v>
      </c>
      <c r="D15" s="72"/>
      <c r="E15" s="72"/>
      <c r="F15" s="72"/>
      <c r="G15" s="72"/>
      <c r="H15" s="72"/>
      <c r="I15" s="80"/>
      <c r="J15" s="81"/>
      <c r="K15" s="81"/>
      <c r="L15" s="82"/>
    </row>
    <row r="16" spans="1:12" ht="13.9" x14ac:dyDescent="0.4">
      <c r="A16" s="71" t="s">
        <v>17</v>
      </c>
      <c r="B16" s="89"/>
      <c r="C16" s="34" t="s">
        <v>60</v>
      </c>
      <c r="D16" s="34" t="s">
        <v>62</v>
      </c>
      <c r="E16" s="34" t="s">
        <v>56</v>
      </c>
      <c r="F16" s="34" t="s">
        <v>54</v>
      </c>
      <c r="G16" s="32" t="s">
        <v>58</v>
      </c>
      <c r="H16" s="35" t="s">
        <v>54</v>
      </c>
      <c r="I16" s="65" t="s">
        <v>20</v>
      </c>
      <c r="J16" s="66"/>
      <c r="K16" s="66"/>
      <c r="L16" s="67"/>
    </row>
    <row r="17" spans="1:12" ht="14.25" thickBot="1" x14ac:dyDescent="0.45">
      <c r="A17" s="26" t="s">
        <v>18</v>
      </c>
      <c r="B17" s="27" t="s">
        <v>19</v>
      </c>
      <c r="C17" s="4" t="s">
        <v>61</v>
      </c>
      <c r="D17" s="4" t="s">
        <v>63</v>
      </c>
      <c r="E17" s="4" t="s">
        <v>57</v>
      </c>
      <c r="F17" s="4" t="s">
        <v>55</v>
      </c>
      <c r="G17" s="10" t="s">
        <v>57</v>
      </c>
      <c r="H17" s="28" t="s">
        <v>55</v>
      </c>
      <c r="I17" s="65" t="s">
        <v>21</v>
      </c>
      <c r="J17" s="66"/>
      <c r="K17" s="66"/>
      <c r="L17" s="67"/>
    </row>
    <row r="18" spans="1:12" ht="13.9" x14ac:dyDescent="0.4">
      <c r="A18" s="22"/>
      <c r="B18" s="23"/>
      <c r="C18" s="24"/>
      <c r="D18" s="25"/>
      <c r="E18" s="25"/>
      <c r="F18" s="21" t="str">
        <f>IF(E18=""," ",IF(E18&lt;=Info!D18,"Pass","Fail"))</f>
        <v xml:space="preserve"> </v>
      </c>
      <c r="G18" s="20"/>
      <c r="H18" s="33" t="str">
        <f>IF(G18=""," ",IF(G18&lt;=Info!F18,"Pass","Fail"))</f>
        <v xml:space="preserve"> </v>
      </c>
      <c r="I18" s="83" t="s">
        <v>22</v>
      </c>
      <c r="J18" s="84"/>
      <c r="K18" s="84"/>
      <c r="L18" s="85"/>
    </row>
    <row r="19" spans="1:12" ht="13.9" x14ac:dyDescent="0.4">
      <c r="A19" s="14"/>
      <c r="B19" s="15"/>
      <c r="C19" s="18"/>
      <c r="D19" s="11"/>
      <c r="E19" s="11"/>
      <c r="F19" s="29" t="str">
        <f>IF(E19=""," ",IF(E19&lt;=Info!D19,"Pass","Fail"))</f>
        <v xml:space="preserve"> </v>
      </c>
      <c r="G19" s="30"/>
      <c r="H19" s="31" t="str">
        <f>IF(G19=""," ",IF(G19&lt;=Info!F19,"Pass","Fail"))</f>
        <v xml:space="preserve"> </v>
      </c>
      <c r="I19" s="83" t="s">
        <v>23</v>
      </c>
      <c r="J19" s="84"/>
      <c r="K19" s="84"/>
      <c r="L19" s="85"/>
    </row>
    <row r="20" spans="1:12" ht="13.9" x14ac:dyDescent="0.4">
      <c r="A20" s="14"/>
      <c r="B20" s="15"/>
      <c r="C20" s="18"/>
      <c r="D20" s="11"/>
      <c r="E20" s="11"/>
      <c r="F20" s="29" t="str">
        <f>IF(E20=""," ",IF(E20&lt;=Info!D20,"Pass","Fail"))</f>
        <v xml:space="preserve"> </v>
      </c>
      <c r="G20" s="30"/>
      <c r="H20" s="31" t="str">
        <f>IF(G20=""," ",IF(G20&lt;=Info!F20,"Pass","Fail"))</f>
        <v xml:space="preserve"> </v>
      </c>
      <c r="I20" s="65" t="s">
        <v>24</v>
      </c>
      <c r="J20" s="66"/>
      <c r="K20" s="66"/>
      <c r="L20" s="67"/>
    </row>
    <row r="21" spans="1:12" ht="14.25" thickBot="1" x14ac:dyDescent="0.45">
      <c r="A21" s="14"/>
      <c r="B21" s="15"/>
      <c r="C21" s="18"/>
      <c r="D21" s="11"/>
      <c r="E21" s="11"/>
      <c r="F21" s="29" t="str">
        <f>IF(E21=""," ",IF(E21&lt;=Info!D21,"Pass","Fail"))</f>
        <v xml:space="preserve"> </v>
      </c>
      <c r="G21" s="30"/>
      <c r="H21" s="31" t="str">
        <f>IF(G21=""," ",IF(G21&lt;=Info!F21,"Pass","Fail"))</f>
        <v xml:space="preserve"> </v>
      </c>
      <c r="I21" s="68"/>
      <c r="J21" s="69"/>
      <c r="K21" s="69"/>
      <c r="L21" s="70"/>
    </row>
    <row r="22" spans="1:12" ht="13.9" x14ac:dyDescent="0.4">
      <c r="A22" s="14"/>
      <c r="B22" s="15"/>
      <c r="C22" s="18"/>
      <c r="D22" s="11"/>
      <c r="E22" s="11"/>
      <c r="F22" s="29" t="str">
        <f>IF(E22=""," ",IF(E22&lt;=Info!D22,"Pass","Fail"))</f>
        <v xml:space="preserve"> </v>
      </c>
      <c r="G22" s="30"/>
      <c r="H22" s="31" t="str">
        <f>IF(G22=""," ",IF(G22&lt;=Info!F22,"Pass","Fail"))</f>
        <v xml:space="preserve"> </v>
      </c>
      <c r="I22" s="71"/>
      <c r="J22" s="72"/>
      <c r="K22" s="72"/>
      <c r="L22" s="73"/>
    </row>
    <row r="23" spans="1:12" ht="14.25" thickBot="1" x14ac:dyDescent="0.45">
      <c r="A23" s="14"/>
      <c r="B23" s="15"/>
      <c r="C23" s="18"/>
      <c r="D23" s="11"/>
      <c r="E23" s="11"/>
      <c r="F23" s="29" t="str">
        <f>IF(E23=""," ",IF(E23&lt;=Info!D23,"Pass","Fail"))</f>
        <v xml:space="preserve"> </v>
      </c>
      <c r="G23" s="30"/>
      <c r="H23" s="31" t="str">
        <f>IF(G23=""," ",IF(G23&lt;=Info!F23,"Pass","Fail"))</f>
        <v xml:space="preserve"> </v>
      </c>
      <c r="I23" s="65" t="s">
        <v>32</v>
      </c>
      <c r="J23" s="66"/>
      <c r="K23" s="66"/>
      <c r="L23" s="67"/>
    </row>
    <row r="24" spans="1:12" ht="13.9" customHeight="1" x14ac:dyDescent="0.4">
      <c r="A24" s="14"/>
      <c r="B24" s="15"/>
      <c r="C24" s="18"/>
      <c r="D24" s="11"/>
      <c r="E24" s="11"/>
      <c r="F24" s="29" t="str">
        <f>IF(E24=""," ",IF(E24&lt;=Info!D24,"Pass","Fail"))</f>
        <v xml:space="preserve"> </v>
      </c>
      <c r="G24" s="30"/>
      <c r="H24" s="31" t="str">
        <f>IF(G24=""," ",IF(G24&lt;=Info!F24,"Pass","Fail"))</f>
        <v xml:space="preserve"> </v>
      </c>
      <c r="I24" s="74" t="str">
        <f>IF(A18=""," ",IF(F56=0,"Do Meet","Do Not Meet"))</f>
        <v xml:space="preserve"> </v>
      </c>
      <c r="J24" s="75"/>
      <c r="K24" s="75"/>
      <c r="L24" s="76"/>
    </row>
    <row r="25" spans="1:12" ht="13.9" customHeight="1" thickBot="1" x14ac:dyDescent="0.45">
      <c r="A25" s="14"/>
      <c r="B25" s="15"/>
      <c r="C25" s="18"/>
      <c r="D25" s="11"/>
      <c r="E25" s="11"/>
      <c r="F25" s="29" t="str">
        <f>IF(E25=""," ",IF(E25&lt;=Info!D25,"Pass","Fail"))</f>
        <v xml:space="preserve"> </v>
      </c>
      <c r="G25" s="30"/>
      <c r="H25" s="31" t="str">
        <f>IF(G25=""," ",IF(G25&lt;=Info!F25,"Pass","Fail"))</f>
        <v xml:space="preserve"> </v>
      </c>
      <c r="I25" s="77"/>
      <c r="J25" s="78"/>
      <c r="K25" s="78"/>
      <c r="L25" s="79"/>
    </row>
    <row r="26" spans="1:12" ht="13.9" x14ac:dyDescent="0.4">
      <c r="A26" s="14"/>
      <c r="B26" s="15"/>
      <c r="C26" s="18"/>
      <c r="D26" s="11"/>
      <c r="E26" s="11"/>
      <c r="F26" s="29" t="str">
        <f>IF(E26=""," ",IF(E26&lt;=Info!D26,"Pass","Fail"))</f>
        <v xml:space="preserve"> </v>
      </c>
      <c r="G26" s="30"/>
      <c r="H26" s="31" t="str">
        <f>IF(G26=""," ",IF(G26&lt;=Info!F26,"Pass","Fail"))</f>
        <v xml:space="preserve"> </v>
      </c>
      <c r="I26" s="65" t="s">
        <v>25</v>
      </c>
      <c r="J26" s="66"/>
      <c r="K26" s="66"/>
      <c r="L26" s="67"/>
    </row>
    <row r="27" spans="1:12" ht="14.25" thickBot="1" x14ac:dyDescent="0.45">
      <c r="A27" s="14"/>
      <c r="B27" s="15"/>
      <c r="C27" s="18"/>
      <c r="D27" s="11"/>
      <c r="E27" s="11"/>
      <c r="F27" s="29" t="str">
        <f>IF(E27=""," ",IF(E27&lt;=Info!D27,"Pass","Fail"))</f>
        <v xml:space="preserve"> </v>
      </c>
      <c r="G27" s="30"/>
      <c r="H27" s="31" t="str">
        <f>IF(G27=""," ",IF(G27&lt;=Info!F27,"Pass","Fail"))</f>
        <v xml:space="preserve"> </v>
      </c>
      <c r="I27" s="65" t="s">
        <v>45</v>
      </c>
      <c r="J27" s="66"/>
      <c r="K27" s="66"/>
      <c r="L27" s="67"/>
    </row>
    <row r="28" spans="1:12" ht="13.9" x14ac:dyDescent="0.4">
      <c r="A28" s="14"/>
      <c r="B28" s="15"/>
      <c r="C28" s="18"/>
      <c r="D28" s="11"/>
      <c r="E28" s="11"/>
      <c r="F28" s="29" t="str">
        <f>IF(E28=""," ",IF(E28&lt;=Info!D28,"Pass","Fail"))</f>
        <v xml:space="preserve"> </v>
      </c>
      <c r="G28" s="30"/>
      <c r="H28" s="31" t="str">
        <f>IF(G28=""," ",IF(G28&lt;=Info!F28,"Pass","Fail"))</f>
        <v xml:space="preserve"> </v>
      </c>
      <c r="I28" s="80"/>
      <c r="J28" s="81"/>
      <c r="K28" s="81"/>
      <c r="L28" s="82"/>
    </row>
    <row r="29" spans="1:12" ht="13.9" x14ac:dyDescent="0.4">
      <c r="A29" s="14"/>
      <c r="B29" s="15"/>
      <c r="C29" s="18"/>
      <c r="D29" s="11"/>
      <c r="E29" s="11"/>
      <c r="F29" s="29" t="str">
        <f>IF(E29=""," ",IF(E29&lt;=Info!D29,"Pass","Fail"))</f>
        <v xml:space="preserve"> </v>
      </c>
      <c r="G29" s="30"/>
      <c r="H29" s="31" t="str">
        <f>IF(G29=""," ",IF(G29&lt;=Info!F29,"Pass","Fail"))</f>
        <v xml:space="preserve"> </v>
      </c>
      <c r="I29" s="65" t="s">
        <v>26</v>
      </c>
      <c r="J29" s="66"/>
      <c r="K29" s="66"/>
      <c r="L29" s="67"/>
    </row>
    <row r="30" spans="1:12" ht="14.25" thickBot="1" x14ac:dyDescent="0.45">
      <c r="A30" s="14"/>
      <c r="B30" s="15"/>
      <c r="C30" s="18"/>
      <c r="D30" s="11"/>
      <c r="E30" s="11"/>
      <c r="F30" s="29" t="str">
        <f>IF(E30=""," ",IF(E30&lt;=Info!D30,"Pass","Fail"))</f>
        <v xml:space="preserve"> </v>
      </c>
      <c r="G30" s="30"/>
      <c r="H30" s="31" t="str">
        <f>IF(G30=""," ",IF(G30&lt;=Info!F30,"Pass","Fail"))</f>
        <v xml:space="preserve"> </v>
      </c>
      <c r="I30" s="68"/>
      <c r="J30" s="69"/>
      <c r="K30" s="69"/>
      <c r="L30" s="70"/>
    </row>
    <row r="31" spans="1:12" ht="13.9" x14ac:dyDescent="0.4">
      <c r="A31" s="14"/>
      <c r="B31" s="15"/>
      <c r="C31" s="18"/>
      <c r="D31" s="11"/>
      <c r="E31" s="11"/>
      <c r="F31" s="29" t="str">
        <f>IF(E31=""," ",IF(E31&lt;=Info!D31,"Pass","Fail"))</f>
        <v xml:space="preserve"> </v>
      </c>
      <c r="G31" s="30"/>
      <c r="H31" s="31" t="str">
        <f>IF(G31=""," ",IF(G31&lt;=Info!F31,"Pass","Fail"))</f>
        <v xml:space="preserve"> </v>
      </c>
      <c r="I31" s="59"/>
      <c r="J31" s="60"/>
      <c r="K31" s="60"/>
      <c r="L31" s="61"/>
    </row>
    <row r="32" spans="1:12" ht="13.9" x14ac:dyDescent="0.4">
      <c r="A32" s="14"/>
      <c r="B32" s="15"/>
      <c r="C32" s="18"/>
      <c r="D32" s="11"/>
      <c r="E32" s="11"/>
      <c r="F32" s="29" t="str">
        <f>IF(E32=""," ",IF(E32&lt;=Info!D32,"Pass","Fail"))</f>
        <v xml:space="preserve"> </v>
      </c>
      <c r="G32" s="30"/>
      <c r="H32" s="31" t="str">
        <f>IF(G32=""," ",IF(G32&lt;=Info!F32,"Pass","Fail"))</f>
        <v xml:space="preserve"> </v>
      </c>
      <c r="I32" s="59"/>
      <c r="J32" s="60"/>
      <c r="K32" s="60"/>
      <c r="L32" s="61"/>
    </row>
    <row r="33" spans="1:12" ht="13.9" x14ac:dyDescent="0.4">
      <c r="A33" s="14"/>
      <c r="B33" s="15"/>
      <c r="C33" s="18"/>
      <c r="D33" s="11"/>
      <c r="E33" s="11"/>
      <c r="F33" s="29" t="str">
        <f>IF(E33=""," ",IF(E33&lt;=Info!D33,"Pass","Fail"))</f>
        <v xml:space="preserve"> </v>
      </c>
      <c r="G33" s="30"/>
      <c r="H33" s="31" t="str">
        <f>IF(G33=""," ",IF(G33&lt;=Info!F33,"Pass","Fail"))</f>
        <v xml:space="preserve"> </v>
      </c>
      <c r="I33" s="59"/>
      <c r="J33" s="60"/>
      <c r="K33" s="60"/>
      <c r="L33" s="61"/>
    </row>
    <row r="34" spans="1:12" ht="13.9" x14ac:dyDescent="0.4">
      <c r="A34" s="14"/>
      <c r="B34" s="15"/>
      <c r="C34" s="18"/>
      <c r="D34" s="11"/>
      <c r="E34" s="11"/>
      <c r="F34" s="29" t="str">
        <f>IF(E34=""," ",IF(E34&lt;=Info!D34,"Pass","Fail"))</f>
        <v xml:space="preserve"> </v>
      </c>
      <c r="G34" s="30"/>
      <c r="H34" s="31" t="str">
        <f>IF(G34=""," ",IF(G34&lt;=Info!F34,"Pass","Fail"))</f>
        <v xml:space="preserve"> </v>
      </c>
      <c r="I34" s="59"/>
      <c r="J34" s="60"/>
      <c r="K34" s="60"/>
      <c r="L34" s="61"/>
    </row>
    <row r="35" spans="1:12" ht="13.9" x14ac:dyDescent="0.4">
      <c r="A35" s="14"/>
      <c r="B35" s="15"/>
      <c r="C35" s="18"/>
      <c r="D35" s="11"/>
      <c r="E35" s="11"/>
      <c r="F35" s="29" t="str">
        <f>IF(E35=""," ",IF(E35&lt;=Info!D35,"Pass","Fail"))</f>
        <v xml:space="preserve"> </v>
      </c>
      <c r="G35" s="30"/>
      <c r="H35" s="31" t="str">
        <f>IF(G35=""," ",IF(G35&lt;=Info!F35,"Pass","Fail"))</f>
        <v xml:space="preserve"> </v>
      </c>
      <c r="I35" s="59"/>
      <c r="J35" s="60"/>
      <c r="K35" s="60"/>
      <c r="L35" s="61"/>
    </row>
    <row r="36" spans="1:12" ht="13.9" x14ac:dyDescent="0.4">
      <c r="A36" s="14"/>
      <c r="B36" s="15"/>
      <c r="C36" s="18"/>
      <c r="D36" s="11"/>
      <c r="E36" s="11"/>
      <c r="F36" s="29" t="str">
        <f>IF(E36=""," ",IF(E36&lt;=Info!D36,"Pass","Fail"))</f>
        <v xml:space="preserve"> </v>
      </c>
      <c r="G36" s="30"/>
      <c r="H36" s="31" t="str">
        <f>IF(G36=""," ",IF(G36&lt;=Info!F36,"Pass","Fail"))</f>
        <v xml:space="preserve"> </v>
      </c>
      <c r="I36" s="59"/>
      <c r="J36" s="60"/>
      <c r="K36" s="60"/>
      <c r="L36" s="61"/>
    </row>
    <row r="37" spans="1:12" ht="13.9" x14ac:dyDescent="0.4">
      <c r="A37" s="14"/>
      <c r="B37" s="15"/>
      <c r="C37" s="18"/>
      <c r="D37" s="11"/>
      <c r="E37" s="11"/>
      <c r="F37" s="29" t="str">
        <f>IF(E37=""," ",IF(E37&lt;=Info!D37,"Pass","Fail"))</f>
        <v xml:space="preserve"> </v>
      </c>
      <c r="G37" s="30"/>
      <c r="H37" s="31" t="str">
        <f>IF(G37=""," ",IF(G37&lt;=Info!F37,"Pass","Fail"))</f>
        <v xml:space="preserve"> </v>
      </c>
      <c r="I37" s="59"/>
      <c r="J37" s="60"/>
      <c r="K37" s="60"/>
      <c r="L37" s="61"/>
    </row>
    <row r="38" spans="1:12" ht="13.9" x14ac:dyDescent="0.4">
      <c r="A38" s="14"/>
      <c r="B38" s="15"/>
      <c r="C38" s="18"/>
      <c r="D38" s="11"/>
      <c r="E38" s="11"/>
      <c r="F38" s="29" t="str">
        <f>IF(E38=""," ",IF(E38&lt;=Info!D38,"Pass","Fail"))</f>
        <v xml:space="preserve"> </v>
      </c>
      <c r="G38" s="30"/>
      <c r="H38" s="31" t="str">
        <f>IF(G38=""," ",IF(G38&lt;=Info!F38,"Pass","Fail"))</f>
        <v xml:space="preserve"> </v>
      </c>
      <c r="I38" s="59"/>
      <c r="J38" s="60"/>
      <c r="K38" s="60"/>
      <c r="L38" s="61"/>
    </row>
    <row r="39" spans="1:12" ht="13.9" x14ac:dyDescent="0.4">
      <c r="A39" s="14"/>
      <c r="B39" s="15"/>
      <c r="C39" s="18"/>
      <c r="D39" s="11"/>
      <c r="E39" s="11"/>
      <c r="F39" s="29" t="str">
        <f>IF(E39=""," ",IF(E39&lt;=Info!D39,"Pass","Fail"))</f>
        <v xml:space="preserve"> </v>
      </c>
      <c r="G39" s="30"/>
      <c r="H39" s="31" t="str">
        <f>IF(G39=""," ",IF(G39&lt;=Info!F39,"Pass","Fail"))</f>
        <v xml:space="preserve"> </v>
      </c>
      <c r="I39" s="59"/>
      <c r="J39" s="60"/>
      <c r="K39" s="60"/>
      <c r="L39" s="61"/>
    </row>
    <row r="40" spans="1:12" ht="13.9" x14ac:dyDescent="0.4">
      <c r="A40" s="14"/>
      <c r="B40" s="15"/>
      <c r="C40" s="18"/>
      <c r="D40" s="11"/>
      <c r="E40" s="11"/>
      <c r="F40" s="29" t="str">
        <f>IF(E40=""," ",IF(E40&lt;=Info!D40,"Pass","Fail"))</f>
        <v xml:space="preserve"> </v>
      </c>
      <c r="G40" s="30"/>
      <c r="H40" s="31" t="str">
        <f>IF(G40=""," ",IF(G40&lt;=Info!F40,"Pass","Fail"))</f>
        <v xml:space="preserve"> </v>
      </c>
      <c r="I40" s="59"/>
      <c r="J40" s="60"/>
      <c r="K40" s="60"/>
      <c r="L40" s="61"/>
    </row>
    <row r="41" spans="1:12" ht="13.9" x14ac:dyDescent="0.4">
      <c r="A41" s="14"/>
      <c r="B41" s="15"/>
      <c r="C41" s="18"/>
      <c r="D41" s="11"/>
      <c r="E41" s="11"/>
      <c r="F41" s="29" t="str">
        <f>IF(E41=""," ",IF(E41&lt;=Info!D41,"Pass","Fail"))</f>
        <v xml:space="preserve"> </v>
      </c>
      <c r="G41" s="30"/>
      <c r="H41" s="31" t="str">
        <f>IF(G41=""," ",IF(G41&lt;=Info!F41,"Pass","Fail"))</f>
        <v xml:space="preserve"> </v>
      </c>
      <c r="I41" s="59"/>
      <c r="J41" s="60"/>
      <c r="K41" s="60"/>
      <c r="L41" s="61"/>
    </row>
    <row r="42" spans="1:12" ht="13.9" x14ac:dyDescent="0.4">
      <c r="A42" s="14"/>
      <c r="B42" s="15"/>
      <c r="C42" s="18"/>
      <c r="D42" s="11"/>
      <c r="E42" s="11"/>
      <c r="F42" s="29" t="str">
        <f>IF(E42=""," ",IF(E42&lt;=Info!D42,"Pass","Fail"))</f>
        <v xml:space="preserve"> </v>
      </c>
      <c r="G42" s="30"/>
      <c r="H42" s="31" t="str">
        <f>IF(G42=""," ",IF(G42&lt;=Info!F42,"Pass","Fail"))</f>
        <v xml:space="preserve"> </v>
      </c>
      <c r="I42" s="59"/>
      <c r="J42" s="60"/>
      <c r="K42" s="60"/>
      <c r="L42" s="61"/>
    </row>
    <row r="43" spans="1:12" ht="13.9" x14ac:dyDescent="0.4">
      <c r="A43" s="14"/>
      <c r="B43" s="15"/>
      <c r="C43" s="18"/>
      <c r="D43" s="11"/>
      <c r="E43" s="11"/>
      <c r="F43" s="29" t="str">
        <f>IF(E43=""," ",IF(E43&lt;=Info!D43,"Pass","Fail"))</f>
        <v xml:space="preserve"> </v>
      </c>
      <c r="G43" s="30"/>
      <c r="H43" s="31" t="str">
        <f>IF(G43=""," ",IF(G43&lt;=Info!F43,"Pass","Fail"))</f>
        <v xml:space="preserve"> </v>
      </c>
      <c r="I43" s="59"/>
      <c r="J43" s="60"/>
      <c r="K43" s="60"/>
      <c r="L43" s="61"/>
    </row>
    <row r="44" spans="1:12" ht="13.9" x14ac:dyDescent="0.4">
      <c r="A44" s="14"/>
      <c r="B44" s="15"/>
      <c r="C44" s="18"/>
      <c r="D44" s="11"/>
      <c r="E44" s="11"/>
      <c r="F44" s="29" t="str">
        <f>IF(E44=""," ",IF(E44&lt;=Info!D44,"Pass","Fail"))</f>
        <v xml:space="preserve"> </v>
      </c>
      <c r="G44" s="30"/>
      <c r="H44" s="31" t="str">
        <f>IF(G44=""," ",IF(G44&lt;=Info!F44,"Pass","Fail"))</f>
        <v xml:space="preserve"> </v>
      </c>
      <c r="I44" s="59"/>
      <c r="J44" s="60"/>
      <c r="K44" s="60"/>
      <c r="L44" s="61"/>
    </row>
    <row r="45" spans="1:12" ht="13.9" x14ac:dyDescent="0.4">
      <c r="A45" s="14"/>
      <c r="B45" s="15"/>
      <c r="C45" s="18"/>
      <c r="D45" s="11"/>
      <c r="E45" s="11"/>
      <c r="F45" s="29" t="str">
        <f>IF(E45=""," ",IF(E45&lt;=Info!D45,"Pass","Fail"))</f>
        <v xml:space="preserve"> </v>
      </c>
      <c r="G45" s="30"/>
      <c r="H45" s="31" t="str">
        <f>IF(G45=""," ",IF(G45&lt;=Info!F45,"Pass","Fail"))</f>
        <v xml:space="preserve"> </v>
      </c>
      <c r="I45" s="59"/>
      <c r="J45" s="60"/>
      <c r="K45" s="60"/>
      <c r="L45" s="61"/>
    </row>
    <row r="46" spans="1:12" ht="13.9" x14ac:dyDescent="0.4">
      <c r="A46" s="14"/>
      <c r="B46" s="15"/>
      <c r="C46" s="18"/>
      <c r="D46" s="11"/>
      <c r="E46" s="11"/>
      <c r="F46" s="29" t="str">
        <f>IF(E46=""," ",IF(E46&lt;=Info!D46,"Pass","Fail"))</f>
        <v xml:space="preserve"> </v>
      </c>
      <c r="G46" s="30"/>
      <c r="H46" s="31" t="str">
        <f>IF(G46=""," ",IF(G46&lt;=Info!F46,"Pass","Fail"))</f>
        <v xml:space="preserve"> </v>
      </c>
      <c r="I46" s="43"/>
      <c r="J46" s="44"/>
      <c r="K46" s="44"/>
      <c r="L46" s="45"/>
    </row>
    <row r="47" spans="1:12" ht="13.9" x14ac:dyDescent="0.4">
      <c r="A47" s="14"/>
      <c r="B47" s="15"/>
      <c r="C47" s="18"/>
      <c r="D47" s="11"/>
      <c r="E47" s="11"/>
      <c r="F47" s="29" t="str">
        <f>IF(E47=""," ",IF(E47&lt;=Info!D47,"Pass","Fail"))</f>
        <v xml:space="preserve"> </v>
      </c>
      <c r="G47" s="30"/>
      <c r="H47" s="31" t="str">
        <f>IF(G47=""," ",IF(G47&lt;=Info!F47,"Pass","Fail"))</f>
        <v xml:space="preserve"> </v>
      </c>
      <c r="I47" s="43"/>
      <c r="J47" s="44"/>
      <c r="K47" s="44"/>
      <c r="L47" s="45"/>
    </row>
    <row r="48" spans="1:12" ht="13.9" x14ac:dyDescent="0.4">
      <c r="A48" s="14"/>
      <c r="B48" s="15"/>
      <c r="C48" s="18"/>
      <c r="D48" s="11"/>
      <c r="E48" s="11"/>
      <c r="F48" s="29" t="str">
        <f>IF(E48=""," ",IF(E48&lt;=Info!D48,"Pass","Fail"))</f>
        <v xml:space="preserve"> </v>
      </c>
      <c r="G48" s="30"/>
      <c r="H48" s="31" t="str">
        <f>IF(G48=""," ",IF(G48&lt;=Info!F48,"Pass","Fail"))</f>
        <v xml:space="preserve"> </v>
      </c>
      <c r="I48" s="43"/>
      <c r="J48" s="44"/>
      <c r="K48" s="44"/>
      <c r="L48" s="45"/>
    </row>
    <row r="49" spans="1:12" ht="13.9" x14ac:dyDescent="0.4">
      <c r="A49" s="14"/>
      <c r="B49" s="15"/>
      <c r="C49" s="18"/>
      <c r="D49" s="11"/>
      <c r="E49" s="11"/>
      <c r="F49" s="29" t="str">
        <f>IF(E49=""," ",IF(E49&lt;=Info!D49,"Pass","Fail"))</f>
        <v xml:space="preserve"> </v>
      </c>
      <c r="G49" s="30"/>
      <c r="H49" s="31" t="str">
        <f>IF(G49=""," ",IF(G49&lt;=Info!F49,"Pass","Fail"))</f>
        <v xml:space="preserve"> </v>
      </c>
      <c r="I49" s="43"/>
      <c r="J49" s="44"/>
      <c r="K49" s="44"/>
      <c r="L49" s="45"/>
    </row>
    <row r="50" spans="1:12" ht="13.9" x14ac:dyDescent="0.4">
      <c r="A50" s="14"/>
      <c r="B50" s="15"/>
      <c r="C50" s="18"/>
      <c r="D50" s="11"/>
      <c r="E50" s="11"/>
      <c r="F50" s="29" t="str">
        <f>IF(E50=""," ",IF(E50&lt;=Info!D50,"Pass","Fail"))</f>
        <v xml:space="preserve"> </v>
      </c>
      <c r="G50" s="30"/>
      <c r="H50" s="31" t="str">
        <f>IF(G50=""," ",IF(G50&lt;=Info!F50,"Pass","Fail"))</f>
        <v xml:space="preserve"> </v>
      </c>
      <c r="I50" s="43"/>
      <c r="J50" s="44"/>
      <c r="K50" s="44"/>
      <c r="L50" s="45"/>
    </row>
    <row r="51" spans="1:12" ht="13.9" x14ac:dyDescent="0.4">
      <c r="A51" s="14"/>
      <c r="B51" s="15"/>
      <c r="C51" s="18"/>
      <c r="D51" s="11"/>
      <c r="E51" s="11"/>
      <c r="F51" s="29" t="str">
        <f>IF(E51=""," ",IF(E51&lt;=Info!D51,"Pass","Fail"))</f>
        <v xml:space="preserve"> </v>
      </c>
      <c r="G51" s="30"/>
      <c r="H51" s="31" t="str">
        <f>IF(G51=""," ",IF(G51&lt;=Info!F51,"Pass","Fail"))</f>
        <v xml:space="preserve"> </v>
      </c>
      <c r="I51" s="43"/>
      <c r="J51" s="44"/>
      <c r="K51" s="44"/>
      <c r="L51" s="45"/>
    </row>
    <row r="52" spans="1:12" ht="13.9" x14ac:dyDescent="0.4">
      <c r="A52" s="14"/>
      <c r="B52" s="15"/>
      <c r="C52" s="18"/>
      <c r="D52" s="11"/>
      <c r="E52" s="11"/>
      <c r="F52" s="29" t="str">
        <f>IF(E52=""," ",IF(E52&lt;=Info!D52,"Pass","Fail"))</f>
        <v xml:space="preserve"> </v>
      </c>
      <c r="G52" s="30"/>
      <c r="H52" s="31" t="str">
        <f>IF(G52=""," ",IF(G52&lt;=Info!F52,"Pass","Fail"))</f>
        <v xml:space="preserve"> </v>
      </c>
      <c r="I52" s="43"/>
      <c r="J52" s="44"/>
      <c r="K52" s="44"/>
      <c r="L52" s="45"/>
    </row>
    <row r="53" spans="1:12" ht="13.9" x14ac:dyDescent="0.4">
      <c r="A53" s="14"/>
      <c r="B53" s="15"/>
      <c r="C53" s="18"/>
      <c r="D53" s="11"/>
      <c r="E53" s="11"/>
      <c r="F53" s="29" t="str">
        <f>IF(E53=""," ",IF(E53&lt;=Info!D53,"Pass","Fail"))</f>
        <v xml:space="preserve"> </v>
      </c>
      <c r="G53" s="30"/>
      <c r="H53" s="31" t="str">
        <f>IF(G53=""," ",IF(G53&lt;=Info!F53,"Pass","Fail"))</f>
        <v xml:space="preserve"> </v>
      </c>
      <c r="I53" s="59"/>
      <c r="J53" s="60"/>
      <c r="K53" s="60"/>
      <c r="L53" s="61"/>
    </row>
    <row r="54" spans="1:12" ht="14.25" thickBot="1" x14ac:dyDescent="0.45">
      <c r="A54" s="16"/>
      <c r="B54" s="17"/>
      <c r="C54" s="19"/>
      <c r="D54" s="12"/>
      <c r="E54" s="12"/>
      <c r="F54" s="29" t="str">
        <f>IF(E54=""," ",IF(E54&lt;=Info!D54,"Pass","Fail"))</f>
        <v xml:space="preserve"> </v>
      </c>
      <c r="G54" s="30"/>
      <c r="H54" s="31" t="str">
        <f>IF(G54=""," ",IF(G54&lt;=Info!F54,"Pass","Fail"))</f>
        <v xml:space="preserve"> </v>
      </c>
      <c r="I54" s="62"/>
      <c r="J54" s="63"/>
      <c r="K54" s="63"/>
      <c r="L54" s="64"/>
    </row>
    <row r="55" spans="1:12" ht="14.25" thickBot="1" x14ac:dyDescent="0.45">
      <c r="A55" s="48" t="s">
        <v>44</v>
      </c>
      <c r="B55" s="49"/>
      <c r="C55" s="49"/>
      <c r="D55" s="49"/>
      <c r="E55" s="49"/>
      <c r="F55" s="50"/>
      <c r="G55" s="50"/>
      <c r="H55" s="50"/>
      <c r="I55" s="49"/>
      <c r="J55" s="49"/>
      <c r="K55" s="49"/>
      <c r="L55" s="51"/>
    </row>
    <row r="56" spans="1:12" ht="14.25" thickBot="1" x14ac:dyDescent="0.45">
      <c r="A56" s="52" t="s">
        <v>53</v>
      </c>
      <c r="B56" s="53"/>
      <c r="C56" s="53"/>
      <c r="D56" s="53"/>
      <c r="E56" s="54"/>
      <c r="F56" s="13">
        <f>COUNTIF(F18:F54:H18:H54,"Fail")</f>
        <v>0</v>
      </c>
      <c r="G56" s="9"/>
      <c r="H56" s="9"/>
      <c r="I56" s="9"/>
      <c r="J56" s="9"/>
      <c r="K56" s="9"/>
      <c r="L56" s="9"/>
    </row>
    <row r="57" spans="1:12" ht="13.9" x14ac:dyDescent="0.4">
      <c r="A57" s="46" t="s">
        <v>27</v>
      </c>
      <c r="B57" s="46"/>
      <c r="C57" s="46"/>
      <c r="D57" s="56" t="s">
        <v>51</v>
      </c>
      <c r="E57" s="56"/>
      <c r="F57" s="56"/>
      <c r="G57" s="55"/>
      <c r="H57" s="55"/>
      <c r="I57" s="55"/>
      <c r="J57" s="55"/>
      <c r="K57" s="55"/>
      <c r="L57" s="55"/>
    </row>
    <row r="58" spans="1:12" ht="13.9" x14ac:dyDescent="0.4">
      <c r="A58" s="46" t="s">
        <v>50</v>
      </c>
      <c r="B58" s="46"/>
      <c r="C58" s="46"/>
      <c r="D58" s="57"/>
      <c r="E58" s="57"/>
      <c r="F58" s="57"/>
      <c r="G58" s="46" t="s">
        <v>30</v>
      </c>
      <c r="H58" s="46"/>
      <c r="I58" s="46"/>
      <c r="J58" s="47"/>
      <c r="K58" s="47"/>
      <c r="L58" s="47"/>
    </row>
    <row r="59" spans="1:12" ht="13.9" x14ac:dyDescent="0.4">
      <c r="A59" s="46" t="s">
        <v>28</v>
      </c>
      <c r="B59" s="46"/>
      <c r="C59" s="46"/>
      <c r="D59" s="47"/>
      <c r="E59" s="47"/>
      <c r="F59" s="47"/>
      <c r="G59" s="46"/>
      <c r="H59" s="46"/>
      <c r="I59" s="46"/>
      <c r="J59" s="46"/>
      <c r="K59" s="46"/>
      <c r="L59" s="46"/>
    </row>
    <row r="60" spans="1:12" ht="13.9" x14ac:dyDescent="0.4">
      <c r="A60" s="46" t="s">
        <v>29</v>
      </c>
      <c r="B60" s="46"/>
      <c r="C60" s="46"/>
      <c r="D60" s="58" t="str">
        <f>IF(Info!D9=""," ",Info!D9)</f>
        <v xml:space="preserve"> </v>
      </c>
      <c r="E60" s="58"/>
      <c r="F60" s="58"/>
      <c r="G60" s="46" t="s">
        <v>31</v>
      </c>
      <c r="H60" s="46"/>
      <c r="I60" s="46"/>
      <c r="J60" s="47"/>
      <c r="K60" s="47"/>
      <c r="L60" s="47"/>
    </row>
    <row r="61" spans="1:12" ht="13.9" x14ac:dyDescent="0.4">
      <c r="A61" s="9"/>
      <c r="B61" s="9"/>
      <c r="C61" s="9"/>
      <c r="D61" s="9"/>
      <c r="E61" s="9"/>
      <c r="F61" s="9"/>
      <c r="G61" s="9"/>
      <c r="H61" s="9"/>
      <c r="I61" s="99" t="s">
        <v>66</v>
      </c>
      <c r="J61" s="99"/>
      <c r="K61" s="99"/>
      <c r="L61" s="99"/>
    </row>
  </sheetData>
  <sheetProtection password="96B1" sheet="1" objects="1" scenarios="1"/>
  <mergeCells count="100">
    <mergeCell ref="A59:C59"/>
    <mergeCell ref="A60:C60"/>
    <mergeCell ref="D59:F59"/>
    <mergeCell ref="D60:F60"/>
    <mergeCell ref="I61:L61"/>
    <mergeCell ref="J58:L58"/>
    <mergeCell ref="G60:I60"/>
    <mergeCell ref="J60:L60"/>
    <mergeCell ref="G59:L59"/>
    <mergeCell ref="I46:L46"/>
    <mergeCell ref="I47:L47"/>
    <mergeCell ref="I53:L53"/>
    <mergeCell ref="I52:L52"/>
    <mergeCell ref="I54:L54"/>
    <mergeCell ref="I51:L51"/>
    <mergeCell ref="I50:L50"/>
    <mergeCell ref="I48:L48"/>
    <mergeCell ref="I49:L49"/>
    <mergeCell ref="A58:C58"/>
    <mergeCell ref="A55:L55"/>
    <mergeCell ref="A56:E56"/>
    <mergeCell ref="A57:C57"/>
    <mergeCell ref="D57:F57"/>
    <mergeCell ref="G57:L57"/>
    <mergeCell ref="D58:F58"/>
    <mergeCell ref="G58:I58"/>
    <mergeCell ref="I36:L36"/>
    <mergeCell ref="I45:L45"/>
    <mergeCell ref="I37:L37"/>
    <mergeCell ref="I38:L38"/>
    <mergeCell ref="I39:L39"/>
    <mergeCell ref="I40:L40"/>
    <mergeCell ref="I41:L41"/>
    <mergeCell ref="I42:L42"/>
    <mergeCell ref="I43:L43"/>
    <mergeCell ref="I44:L44"/>
    <mergeCell ref="I24:L25"/>
    <mergeCell ref="I26:L26"/>
    <mergeCell ref="I28:L28"/>
    <mergeCell ref="I29:L29"/>
    <mergeCell ref="I30:L30"/>
    <mergeCell ref="I35:L35"/>
    <mergeCell ref="I31:L31"/>
    <mergeCell ref="I32:L32"/>
    <mergeCell ref="I33:L33"/>
    <mergeCell ref="I34:L34"/>
    <mergeCell ref="I18:L18"/>
    <mergeCell ref="I19:L19"/>
    <mergeCell ref="I20:L20"/>
    <mergeCell ref="I21:L21"/>
    <mergeCell ref="I22:L22"/>
    <mergeCell ref="I23:L23"/>
    <mergeCell ref="A15:B15"/>
    <mergeCell ref="C15:H15"/>
    <mergeCell ref="A16:B16"/>
    <mergeCell ref="I16:L16"/>
    <mergeCell ref="I15:L15"/>
    <mergeCell ref="I17:L17"/>
    <mergeCell ref="A14:H14"/>
    <mergeCell ref="I14:L14"/>
    <mergeCell ref="I12:L12"/>
    <mergeCell ref="A11:B11"/>
    <mergeCell ref="D12:F12"/>
    <mergeCell ref="G12:H12"/>
    <mergeCell ref="A13:L13"/>
    <mergeCell ref="A8:B8"/>
    <mergeCell ref="A9:B9"/>
    <mergeCell ref="A10:B10"/>
    <mergeCell ref="G8:H8"/>
    <mergeCell ref="G9:H9"/>
    <mergeCell ref="G10:H10"/>
    <mergeCell ref="C8:F8"/>
    <mergeCell ref="C9:F9"/>
    <mergeCell ref="C10:F10"/>
    <mergeCell ref="C11:F11"/>
    <mergeCell ref="I8:L8"/>
    <mergeCell ref="I9:L9"/>
    <mergeCell ref="I10:L10"/>
    <mergeCell ref="G11:H11"/>
    <mergeCell ref="I11:L11"/>
    <mergeCell ref="D3:I3"/>
    <mergeCell ref="D4:I4"/>
    <mergeCell ref="A2:C2"/>
    <mergeCell ref="J2:L2"/>
    <mergeCell ref="A7:B7"/>
    <mergeCell ref="I27:L27"/>
    <mergeCell ref="C7:F7"/>
    <mergeCell ref="G7:H7"/>
    <mergeCell ref="I7:L7"/>
    <mergeCell ref="A12:B12"/>
    <mergeCell ref="D5:I5"/>
    <mergeCell ref="A5:C5"/>
    <mergeCell ref="A6:L6"/>
    <mergeCell ref="J5:L5"/>
    <mergeCell ref="A1:L1"/>
    <mergeCell ref="A3:B3"/>
    <mergeCell ref="A4:B4"/>
    <mergeCell ref="K3:L3"/>
    <mergeCell ref="K4:L4"/>
    <mergeCell ref="D2:I2"/>
  </mergeCells>
  <phoneticPr fontId="7" type="noConversion"/>
  <printOptions horizontalCentered="1" verticalCentered="1"/>
  <pageMargins left="0" right="0" top="0" bottom="0" header="0" footer="0"/>
  <pageSetup scale="84" orientation="portrait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3C84-F313-4502-9A90-08E1C5B752B6}">
  <sheetPr>
    <pageSetUpPr fitToPage="1"/>
  </sheetPr>
  <dimension ref="A1:L61"/>
  <sheetViews>
    <sheetView workbookViewId="0">
      <selection activeCell="A18" sqref="A18"/>
    </sheetView>
  </sheetViews>
  <sheetFormatPr defaultRowHeight="12.75" x14ac:dyDescent="0.35"/>
  <cols>
    <col min="1" max="2" width="10.73046875" customWidth="1"/>
    <col min="3" max="3" width="10.86328125" customWidth="1"/>
    <col min="4" max="11" width="9.73046875" customWidth="1"/>
    <col min="12" max="12" width="11.73046875" customWidth="1"/>
  </cols>
  <sheetData>
    <row r="1" spans="1:12" ht="17.649999999999999" x14ac:dyDescent="0.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5" customFormat="1" ht="23.65" ph="1" x14ac:dyDescent="0.4">
      <c r="A2" s="55"/>
      <c r="B2" s="55"/>
      <c r="C2" s="55"/>
      <c r="D2" s="41" t="s">
        <v>33</v>
      </c>
      <c r="E2" s="41"/>
      <c r="F2" s="41"/>
      <c r="G2" s="41"/>
      <c r="H2" s="41"/>
      <c r="I2" s="41"/>
      <c r="J2" s="55"/>
      <c r="K2" s="55"/>
      <c r="L2" s="55"/>
    </row>
    <row r="3" spans="1:12" s="5" customFormat="1" ht="23.65" ph="1" x14ac:dyDescent="0.4">
      <c r="A3" s="93" t="s">
        <v>1</v>
      </c>
      <c r="B3" s="93"/>
      <c r="C3" s="3" t="str">
        <f>IF(Info!D4=""," ",Info!D4)</f>
        <v xml:space="preserve"> </v>
      </c>
      <c r="D3" s="41" t="s">
        <v>4</v>
      </c>
      <c r="E3" s="41"/>
      <c r="F3" s="41"/>
      <c r="G3" s="41"/>
      <c r="H3" s="41"/>
      <c r="I3" s="41"/>
      <c r="J3" s="1" t="s">
        <v>3</v>
      </c>
      <c r="K3" s="97" t="str">
        <f>IF(Info!D5=""," ",Info!D5)</f>
        <v xml:space="preserve"> </v>
      </c>
      <c r="L3" s="97"/>
    </row>
    <row r="4" spans="1:12" s="5" customFormat="1" ht="15" x14ac:dyDescent="0.4">
      <c r="A4" s="93" t="s">
        <v>2</v>
      </c>
      <c r="B4" s="93"/>
      <c r="C4" s="6">
        <v>5</v>
      </c>
      <c r="D4" s="41" t="s">
        <v>64</v>
      </c>
      <c r="E4" s="41"/>
      <c r="F4" s="41"/>
      <c r="G4" s="41"/>
      <c r="H4" s="41"/>
      <c r="I4" s="41"/>
      <c r="J4" s="2"/>
      <c r="K4" s="98" t="s">
        <v>52</v>
      </c>
      <c r="L4" s="98"/>
    </row>
    <row r="5" spans="1:12" s="5" customFormat="1" ht="23.65" ph="1" x14ac:dyDescent="0.4">
      <c r="A5" s="55"/>
      <c r="B5" s="55"/>
      <c r="C5" s="55"/>
      <c r="D5" s="41" t="s">
        <v>41</v>
      </c>
      <c r="E5" s="41"/>
      <c r="F5" s="41"/>
      <c r="G5" s="41"/>
      <c r="H5" s="41"/>
      <c r="I5" s="41"/>
      <c r="J5" s="55"/>
      <c r="K5" s="55"/>
      <c r="L5" s="55"/>
    </row>
    <row r="6" spans="1:12" s="5" customFormat="1" ht="13.5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15.75" customHeight="1" ph="1" x14ac:dyDescent="0.4">
      <c r="A7" s="93" t="s">
        <v>5</v>
      </c>
      <c r="B7" s="93"/>
      <c r="C7" s="98" t="str">
        <f>IF(Info!D6=""," ",Info!D6)</f>
        <v xml:space="preserve"> </v>
      </c>
      <c r="D7" s="98"/>
      <c r="E7" s="98"/>
      <c r="F7" s="98"/>
      <c r="G7" s="46" t="s">
        <v>10</v>
      </c>
      <c r="H7" s="46"/>
      <c r="I7" s="98" t="str">
        <f>IF(Info!D8=""," ",Info!D8)</f>
        <v xml:space="preserve"> </v>
      </c>
      <c r="J7" s="98"/>
      <c r="K7" s="98"/>
      <c r="L7" s="98"/>
    </row>
    <row r="8" spans="1:12" s="5" customFormat="1" ht="13.9" x14ac:dyDescent="0.4">
      <c r="A8" s="93" t="s">
        <v>6</v>
      </c>
      <c r="B8" s="93"/>
      <c r="C8" s="98" t="str">
        <f>IF(Info!D7=""," ",Info!D7)</f>
        <v xml:space="preserve"> </v>
      </c>
      <c r="D8" s="98"/>
      <c r="E8" s="98"/>
      <c r="F8" s="98"/>
      <c r="G8" s="46" t="s">
        <v>11</v>
      </c>
      <c r="H8" s="46"/>
      <c r="I8" s="58" t="str">
        <f>IF(Info!D11=""," ",Info!D11)</f>
        <v xml:space="preserve"> </v>
      </c>
      <c r="J8" s="58"/>
      <c r="K8" s="58"/>
      <c r="L8" s="58"/>
    </row>
    <row r="9" spans="1:12" s="5" customFormat="1" ht="13.9" x14ac:dyDescent="0.4">
      <c r="A9" s="93" t="s">
        <v>7</v>
      </c>
      <c r="B9" s="93"/>
      <c r="C9" s="98" t="str">
        <f>IF(Info!D10=""," ",Info!D10)</f>
        <v xml:space="preserve"> </v>
      </c>
      <c r="D9" s="98"/>
      <c r="E9" s="98"/>
      <c r="F9" s="98"/>
      <c r="G9" s="46" t="s">
        <v>12</v>
      </c>
      <c r="H9" s="46"/>
      <c r="I9" s="58" t="str">
        <f>IF(Info!D12=""," ",Info!D12)</f>
        <v xml:space="preserve"> </v>
      </c>
      <c r="J9" s="58"/>
      <c r="K9" s="58"/>
      <c r="L9" s="58"/>
    </row>
    <row r="10" spans="1:12" s="5" customFormat="1" ht="13.9" x14ac:dyDescent="0.4">
      <c r="A10" s="93" t="s">
        <v>8</v>
      </c>
      <c r="B10" s="93"/>
      <c r="C10" s="98" t="str">
        <f>IF(Info!D15=""," ",Info!D15)</f>
        <v xml:space="preserve"> </v>
      </c>
      <c r="D10" s="98"/>
      <c r="E10" s="98"/>
      <c r="F10" s="98"/>
      <c r="G10" s="46" t="s">
        <v>13</v>
      </c>
      <c r="H10" s="46"/>
      <c r="I10" s="58" t="str">
        <f>IF(Info!D13=""," ",Info!D13)</f>
        <v xml:space="preserve"> </v>
      </c>
      <c r="J10" s="58"/>
      <c r="K10" s="58"/>
      <c r="L10" s="58"/>
    </row>
    <row r="11" spans="1:12" s="5" customFormat="1" ht="23.65" ph="1" x14ac:dyDescent="0.4">
      <c r="A11" s="93" t="s">
        <v>47</v>
      </c>
      <c r="B11" s="93"/>
      <c r="C11" s="96" t="str">
        <f>IF(Info!D19=""," ",Info!D19)</f>
        <v xml:space="preserve"> </v>
      </c>
      <c r="D11" s="96"/>
      <c r="E11" s="96"/>
      <c r="F11" s="96"/>
      <c r="G11" s="46" t="s">
        <v>14</v>
      </c>
      <c r="H11" s="46"/>
      <c r="I11" s="96" t="str">
        <f>IF(Info!D14=""," ",Info!D14)</f>
        <v xml:space="preserve"> </v>
      </c>
      <c r="J11" s="96"/>
      <c r="K11" s="96"/>
      <c r="L11" s="96"/>
    </row>
    <row r="12" spans="1:12" s="5" customFormat="1" ht="23.65" ph="1" x14ac:dyDescent="0.4">
      <c r="A12" s="93" t="s">
        <v>9</v>
      </c>
      <c r="B12" s="93"/>
      <c r="C12" s="8" t="str">
        <f>IF(Info!D18=""," ",Info!D18)</f>
        <v xml:space="preserve"> </v>
      </c>
      <c r="D12" s="91" t="s">
        <v>49</v>
      </c>
      <c r="E12" s="92"/>
      <c r="F12" s="92"/>
      <c r="G12" s="46" t="s">
        <v>15</v>
      </c>
      <c r="H12" s="46"/>
      <c r="I12" s="58" t="str">
        <f>IF(Info!D16=""," ",Info!D16)</f>
        <v xml:space="preserve"> </v>
      </c>
      <c r="J12" s="58"/>
      <c r="K12" s="58"/>
      <c r="L12" s="58"/>
    </row>
    <row r="13" spans="1:12" s="5" customFormat="1" ht="13.9" thickBot="1" x14ac:dyDescent="0.4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5.4" thickBot="1" x14ac:dyDescent="0.45">
      <c r="A14" s="94" t="s">
        <v>42</v>
      </c>
      <c r="B14" s="95"/>
      <c r="C14" s="95"/>
      <c r="D14" s="95"/>
      <c r="E14" s="95"/>
      <c r="F14" s="95"/>
      <c r="G14" s="95"/>
      <c r="H14" s="95"/>
      <c r="I14" s="86"/>
      <c r="J14" s="87"/>
      <c r="K14" s="87"/>
      <c r="L14" s="88"/>
    </row>
    <row r="15" spans="1:12" ht="14.25" thickBot="1" x14ac:dyDescent="0.45">
      <c r="A15" s="71" t="s">
        <v>16</v>
      </c>
      <c r="B15" s="89"/>
      <c r="C15" s="90" t="s">
        <v>43</v>
      </c>
      <c r="D15" s="72"/>
      <c r="E15" s="72"/>
      <c r="F15" s="72"/>
      <c r="G15" s="72"/>
      <c r="H15" s="72"/>
      <c r="I15" s="80"/>
      <c r="J15" s="81"/>
      <c r="K15" s="81"/>
      <c r="L15" s="82"/>
    </row>
    <row r="16" spans="1:12" ht="13.9" x14ac:dyDescent="0.4">
      <c r="A16" s="71" t="s">
        <v>17</v>
      </c>
      <c r="B16" s="89"/>
      <c r="C16" s="34" t="s">
        <v>60</v>
      </c>
      <c r="D16" s="34" t="s">
        <v>62</v>
      </c>
      <c r="E16" s="34" t="s">
        <v>56</v>
      </c>
      <c r="F16" s="34" t="s">
        <v>54</v>
      </c>
      <c r="G16" s="32" t="s">
        <v>58</v>
      </c>
      <c r="H16" s="35" t="s">
        <v>54</v>
      </c>
      <c r="I16" s="65" t="s">
        <v>20</v>
      </c>
      <c r="J16" s="66"/>
      <c r="K16" s="66"/>
      <c r="L16" s="67"/>
    </row>
    <row r="17" spans="1:12" ht="14.25" thickBot="1" x14ac:dyDescent="0.45">
      <c r="A17" s="26" t="s">
        <v>18</v>
      </c>
      <c r="B17" s="27" t="s">
        <v>19</v>
      </c>
      <c r="C17" s="4" t="s">
        <v>61</v>
      </c>
      <c r="D17" s="4" t="s">
        <v>63</v>
      </c>
      <c r="E17" s="4" t="s">
        <v>57</v>
      </c>
      <c r="F17" s="4" t="s">
        <v>55</v>
      </c>
      <c r="G17" s="10" t="s">
        <v>57</v>
      </c>
      <c r="H17" s="28" t="s">
        <v>55</v>
      </c>
      <c r="I17" s="65" t="s">
        <v>21</v>
      </c>
      <c r="J17" s="66"/>
      <c r="K17" s="66"/>
      <c r="L17" s="67"/>
    </row>
    <row r="18" spans="1:12" ht="13.9" x14ac:dyDescent="0.4">
      <c r="A18" s="22"/>
      <c r="B18" s="23"/>
      <c r="C18" s="24"/>
      <c r="D18" s="25"/>
      <c r="E18" s="25"/>
      <c r="F18" s="21" t="str">
        <f>IF(E18=""," ",IF(E18&lt;=Info!D18,"Pass","Fail"))</f>
        <v xml:space="preserve"> </v>
      </c>
      <c r="G18" s="20"/>
      <c r="H18" s="33" t="str">
        <f>IF(G18=""," ",IF(G18&lt;=Info!F18,"Pass","Fail"))</f>
        <v xml:space="preserve"> </v>
      </c>
      <c r="I18" s="83" t="s">
        <v>22</v>
      </c>
      <c r="J18" s="84"/>
      <c r="K18" s="84"/>
      <c r="L18" s="85"/>
    </row>
    <row r="19" spans="1:12" ht="13.9" x14ac:dyDescent="0.4">
      <c r="A19" s="14"/>
      <c r="B19" s="15"/>
      <c r="C19" s="18"/>
      <c r="D19" s="11"/>
      <c r="E19" s="11"/>
      <c r="F19" s="29" t="str">
        <f>IF(E19=""," ",IF(E19&lt;=Info!D19,"Pass","Fail"))</f>
        <v xml:space="preserve"> </v>
      </c>
      <c r="G19" s="30"/>
      <c r="H19" s="31" t="str">
        <f>IF(G19=""," ",IF(G19&lt;=Info!F19,"Pass","Fail"))</f>
        <v xml:space="preserve"> </v>
      </c>
      <c r="I19" s="83" t="s">
        <v>23</v>
      </c>
      <c r="J19" s="84"/>
      <c r="K19" s="84"/>
      <c r="L19" s="85"/>
    </row>
    <row r="20" spans="1:12" ht="13.9" x14ac:dyDescent="0.4">
      <c r="A20" s="14"/>
      <c r="B20" s="15"/>
      <c r="C20" s="18"/>
      <c r="D20" s="11"/>
      <c r="E20" s="11"/>
      <c r="F20" s="29" t="str">
        <f>IF(E20=""," ",IF(E20&lt;=Info!D20,"Pass","Fail"))</f>
        <v xml:space="preserve"> </v>
      </c>
      <c r="G20" s="30"/>
      <c r="H20" s="31" t="str">
        <f>IF(G20=""," ",IF(G20&lt;=Info!F20,"Pass","Fail"))</f>
        <v xml:space="preserve"> </v>
      </c>
      <c r="I20" s="65" t="s">
        <v>24</v>
      </c>
      <c r="J20" s="66"/>
      <c r="K20" s="66"/>
      <c r="L20" s="67"/>
    </row>
    <row r="21" spans="1:12" ht="14.25" thickBot="1" x14ac:dyDescent="0.45">
      <c r="A21" s="14"/>
      <c r="B21" s="15"/>
      <c r="C21" s="18"/>
      <c r="D21" s="11"/>
      <c r="E21" s="11"/>
      <c r="F21" s="29" t="str">
        <f>IF(E21=""," ",IF(E21&lt;=Info!D21,"Pass","Fail"))</f>
        <v xml:space="preserve"> </v>
      </c>
      <c r="G21" s="30"/>
      <c r="H21" s="31" t="str">
        <f>IF(G21=""," ",IF(G21&lt;=Info!F21,"Pass","Fail"))</f>
        <v xml:space="preserve"> </v>
      </c>
      <c r="I21" s="68"/>
      <c r="J21" s="69"/>
      <c r="K21" s="69"/>
      <c r="L21" s="70"/>
    </row>
    <row r="22" spans="1:12" ht="13.9" x14ac:dyDescent="0.4">
      <c r="A22" s="14"/>
      <c r="B22" s="15"/>
      <c r="C22" s="18"/>
      <c r="D22" s="11"/>
      <c r="E22" s="11"/>
      <c r="F22" s="29" t="str">
        <f>IF(E22=""," ",IF(E22&lt;=Info!D22,"Pass","Fail"))</f>
        <v xml:space="preserve"> </v>
      </c>
      <c r="G22" s="30"/>
      <c r="H22" s="31" t="str">
        <f>IF(G22=""," ",IF(G22&lt;=Info!F22,"Pass","Fail"))</f>
        <v xml:space="preserve"> </v>
      </c>
      <c r="I22" s="71"/>
      <c r="J22" s="72"/>
      <c r="K22" s="72"/>
      <c r="L22" s="73"/>
    </row>
    <row r="23" spans="1:12" ht="14.25" thickBot="1" x14ac:dyDescent="0.45">
      <c r="A23" s="14"/>
      <c r="B23" s="15"/>
      <c r="C23" s="18"/>
      <c r="D23" s="11"/>
      <c r="E23" s="11"/>
      <c r="F23" s="29" t="str">
        <f>IF(E23=""," ",IF(E23&lt;=Info!D23,"Pass","Fail"))</f>
        <v xml:space="preserve"> </v>
      </c>
      <c r="G23" s="30"/>
      <c r="H23" s="31" t="str">
        <f>IF(G23=""," ",IF(G23&lt;=Info!F23,"Pass","Fail"))</f>
        <v xml:space="preserve"> </v>
      </c>
      <c r="I23" s="65" t="s">
        <v>32</v>
      </c>
      <c r="J23" s="66"/>
      <c r="K23" s="66"/>
      <c r="L23" s="67"/>
    </row>
    <row r="24" spans="1:12" ht="13.9" customHeight="1" x14ac:dyDescent="0.4">
      <c r="A24" s="14"/>
      <c r="B24" s="15"/>
      <c r="C24" s="18"/>
      <c r="D24" s="11"/>
      <c r="E24" s="11"/>
      <c r="F24" s="29" t="str">
        <f>IF(E24=""," ",IF(E24&lt;=Info!D24,"Pass","Fail"))</f>
        <v xml:space="preserve"> </v>
      </c>
      <c r="G24" s="30"/>
      <c r="H24" s="31" t="str">
        <f>IF(G24=""," ",IF(G24&lt;=Info!F24,"Pass","Fail"))</f>
        <v xml:space="preserve"> </v>
      </c>
      <c r="I24" s="74" t="str">
        <f>IF(A18=""," ",IF(F56=0,"Do Meet","Do Not Meet"))</f>
        <v xml:space="preserve"> </v>
      </c>
      <c r="J24" s="75"/>
      <c r="K24" s="75"/>
      <c r="L24" s="76"/>
    </row>
    <row r="25" spans="1:12" ht="13.9" customHeight="1" thickBot="1" x14ac:dyDescent="0.45">
      <c r="A25" s="14"/>
      <c r="B25" s="15"/>
      <c r="C25" s="18"/>
      <c r="D25" s="11"/>
      <c r="E25" s="11"/>
      <c r="F25" s="29" t="str">
        <f>IF(E25=""," ",IF(E25&lt;=Info!D25,"Pass","Fail"))</f>
        <v xml:space="preserve"> </v>
      </c>
      <c r="G25" s="30"/>
      <c r="H25" s="31" t="str">
        <f>IF(G25=""," ",IF(G25&lt;=Info!F25,"Pass","Fail"))</f>
        <v xml:space="preserve"> </v>
      </c>
      <c r="I25" s="77"/>
      <c r="J25" s="78"/>
      <c r="K25" s="78"/>
      <c r="L25" s="79"/>
    </row>
    <row r="26" spans="1:12" ht="13.9" x14ac:dyDescent="0.4">
      <c r="A26" s="14"/>
      <c r="B26" s="15"/>
      <c r="C26" s="18"/>
      <c r="D26" s="11"/>
      <c r="E26" s="11"/>
      <c r="F26" s="29" t="str">
        <f>IF(E26=""," ",IF(E26&lt;=Info!D26,"Pass","Fail"))</f>
        <v xml:space="preserve"> </v>
      </c>
      <c r="G26" s="30"/>
      <c r="H26" s="31" t="str">
        <f>IF(G26=""," ",IF(G26&lt;=Info!F26,"Pass","Fail"))</f>
        <v xml:space="preserve"> </v>
      </c>
      <c r="I26" s="65" t="s">
        <v>25</v>
      </c>
      <c r="J26" s="66"/>
      <c r="K26" s="66"/>
      <c r="L26" s="67"/>
    </row>
    <row r="27" spans="1:12" ht="14.25" thickBot="1" x14ac:dyDescent="0.45">
      <c r="A27" s="14"/>
      <c r="B27" s="15"/>
      <c r="C27" s="18"/>
      <c r="D27" s="11"/>
      <c r="E27" s="11"/>
      <c r="F27" s="29" t="str">
        <f>IF(E27=""," ",IF(E27&lt;=Info!D27,"Pass","Fail"))</f>
        <v xml:space="preserve"> </v>
      </c>
      <c r="G27" s="30"/>
      <c r="H27" s="31" t="str">
        <f>IF(G27=""," ",IF(G27&lt;=Info!F27,"Pass","Fail"))</f>
        <v xml:space="preserve"> </v>
      </c>
      <c r="I27" s="65" t="s">
        <v>45</v>
      </c>
      <c r="J27" s="66"/>
      <c r="K27" s="66"/>
      <c r="L27" s="67"/>
    </row>
    <row r="28" spans="1:12" ht="13.9" x14ac:dyDescent="0.4">
      <c r="A28" s="14"/>
      <c r="B28" s="15"/>
      <c r="C28" s="18"/>
      <c r="D28" s="11"/>
      <c r="E28" s="11"/>
      <c r="F28" s="29" t="str">
        <f>IF(E28=""," ",IF(E28&lt;=Info!D28,"Pass","Fail"))</f>
        <v xml:space="preserve"> </v>
      </c>
      <c r="G28" s="30"/>
      <c r="H28" s="31" t="str">
        <f>IF(G28=""," ",IF(G28&lt;=Info!F28,"Pass","Fail"))</f>
        <v xml:space="preserve"> </v>
      </c>
      <c r="I28" s="80"/>
      <c r="J28" s="81"/>
      <c r="K28" s="81"/>
      <c r="L28" s="82"/>
    </row>
    <row r="29" spans="1:12" ht="13.9" x14ac:dyDescent="0.4">
      <c r="A29" s="14"/>
      <c r="B29" s="15"/>
      <c r="C29" s="18"/>
      <c r="D29" s="11"/>
      <c r="E29" s="11"/>
      <c r="F29" s="29" t="str">
        <f>IF(E29=""," ",IF(E29&lt;=Info!D29,"Pass","Fail"))</f>
        <v xml:space="preserve"> </v>
      </c>
      <c r="G29" s="30"/>
      <c r="H29" s="31" t="str">
        <f>IF(G29=""," ",IF(G29&lt;=Info!F29,"Pass","Fail"))</f>
        <v xml:space="preserve"> </v>
      </c>
      <c r="I29" s="65" t="s">
        <v>26</v>
      </c>
      <c r="J29" s="66"/>
      <c r="K29" s="66"/>
      <c r="L29" s="67"/>
    </row>
    <row r="30" spans="1:12" ht="14.25" thickBot="1" x14ac:dyDescent="0.45">
      <c r="A30" s="14"/>
      <c r="B30" s="15"/>
      <c r="C30" s="18"/>
      <c r="D30" s="11"/>
      <c r="E30" s="11"/>
      <c r="F30" s="29" t="str">
        <f>IF(E30=""," ",IF(E30&lt;=Info!D30,"Pass","Fail"))</f>
        <v xml:space="preserve"> </v>
      </c>
      <c r="G30" s="30"/>
      <c r="H30" s="31" t="str">
        <f>IF(G30=""," ",IF(G30&lt;=Info!F30,"Pass","Fail"))</f>
        <v xml:space="preserve"> </v>
      </c>
      <c r="I30" s="68"/>
      <c r="J30" s="69"/>
      <c r="K30" s="69"/>
      <c r="L30" s="70"/>
    </row>
    <row r="31" spans="1:12" ht="13.9" x14ac:dyDescent="0.4">
      <c r="A31" s="14"/>
      <c r="B31" s="15"/>
      <c r="C31" s="18"/>
      <c r="D31" s="11"/>
      <c r="E31" s="11"/>
      <c r="F31" s="29" t="str">
        <f>IF(E31=""," ",IF(E31&lt;=Info!D31,"Pass","Fail"))</f>
        <v xml:space="preserve"> </v>
      </c>
      <c r="G31" s="30"/>
      <c r="H31" s="31" t="str">
        <f>IF(G31=""," ",IF(G31&lt;=Info!F31,"Pass","Fail"))</f>
        <v xml:space="preserve"> </v>
      </c>
      <c r="I31" s="59"/>
      <c r="J31" s="60"/>
      <c r="K31" s="60"/>
      <c r="L31" s="61"/>
    </row>
    <row r="32" spans="1:12" ht="13.9" x14ac:dyDescent="0.4">
      <c r="A32" s="14"/>
      <c r="B32" s="15"/>
      <c r="C32" s="18"/>
      <c r="D32" s="11"/>
      <c r="E32" s="11"/>
      <c r="F32" s="29" t="str">
        <f>IF(E32=""," ",IF(E32&lt;=Info!D32,"Pass","Fail"))</f>
        <v xml:space="preserve"> </v>
      </c>
      <c r="G32" s="30"/>
      <c r="H32" s="31" t="str">
        <f>IF(G32=""," ",IF(G32&lt;=Info!F32,"Pass","Fail"))</f>
        <v xml:space="preserve"> </v>
      </c>
      <c r="I32" s="59"/>
      <c r="J32" s="60"/>
      <c r="K32" s="60"/>
      <c r="L32" s="61"/>
    </row>
    <row r="33" spans="1:12" ht="13.9" x14ac:dyDescent="0.4">
      <c r="A33" s="14"/>
      <c r="B33" s="15"/>
      <c r="C33" s="18"/>
      <c r="D33" s="11"/>
      <c r="E33" s="11"/>
      <c r="F33" s="29" t="str">
        <f>IF(E33=""," ",IF(E33&lt;=Info!D33,"Pass","Fail"))</f>
        <v xml:space="preserve"> </v>
      </c>
      <c r="G33" s="30"/>
      <c r="H33" s="31" t="str">
        <f>IF(G33=""," ",IF(G33&lt;=Info!F33,"Pass","Fail"))</f>
        <v xml:space="preserve"> </v>
      </c>
      <c r="I33" s="59"/>
      <c r="J33" s="60"/>
      <c r="K33" s="60"/>
      <c r="L33" s="61"/>
    </row>
    <row r="34" spans="1:12" ht="13.9" x14ac:dyDescent="0.4">
      <c r="A34" s="14"/>
      <c r="B34" s="15"/>
      <c r="C34" s="18"/>
      <c r="D34" s="11"/>
      <c r="E34" s="11"/>
      <c r="F34" s="29" t="str">
        <f>IF(E34=""," ",IF(E34&lt;=Info!D34,"Pass","Fail"))</f>
        <v xml:space="preserve"> </v>
      </c>
      <c r="G34" s="30"/>
      <c r="H34" s="31" t="str">
        <f>IF(G34=""," ",IF(G34&lt;=Info!F34,"Pass","Fail"))</f>
        <v xml:space="preserve"> </v>
      </c>
      <c r="I34" s="59"/>
      <c r="J34" s="60"/>
      <c r="K34" s="60"/>
      <c r="L34" s="61"/>
    </row>
    <row r="35" spans="1:12" ht="13.9" x14ac:dyDescent="0.4">
      <c r="A35" s="14"/>
      <c r="B35" s="15"/>
      <c r="C35" s="18"/>
      <c r="D35" s="11"/>
      <c r="E35" s="11"/>
      <c r="F35" s="29" t="str">
        <f>IF(E35=""," ",IF(E35&lt;=Info!D35,"Pass","Fail"))</f>
        <v xml:space="preserve"> </v>
      </c>
      <c r="G35" s="30"/>
      <c r="H35" s="31" t="str">
        <f>IF(G35=""," ",IF(G35&lt;=Info!F35,"Pass","Fail"))</f>
        <v xml:space="preserve"> </v>
      </c>
      <c r="I35" s="59"/>
      <c r="J35" s="60"/>
      <c r="K35" s="60"/>
      <c r="L35" s="61"/>
    </row>
    <row r="36" spans="1:12" ht="13.9" x14ac:dyDescent="0.4">
      <c r="A36" s="14"/>
      <c r="B36" s="15"/>
      <c r="C36" s="18"/>
      <c r="D36" s="11"/>
      <c r="E36" s="11"/>
      <c r="F36" s="29" t="str">
        <f>IF(E36=""," ",IF(E36&lt;=Info!D36,"Pass","Fail"))</f>
        <v xml:space="preserve"> </v>
      </c>
      <c r="G36" s="30"/>
      <c r="H36" s="31" t="str">
        <f>IF(G36=""," ",IF(G36&lt;=Info!F36,"Pass","Fail"))</f>
        <v xml:space="preserve"> </v>
      </c>
      <c r="I36" s="59"/>
      <c r="J36" s="60"/>
      <c r="K36" s="60"/>
      <c r="L36" s="61"/>
    </row>
    <row r="37" spans="1:12" ht="13.9" x14ac:dyDescent="0.4">
      <c r="A37" s="14"/>
      <c r="B37" s="15"/>
      <c r="C37" s="18"/>
      <c r="D37" s="11"/>
      <c r="E37" s="11"/>
      <c r="F37" s="29" t="str">
        <f>IF(E37=""," ",IF(E37&lt;=Info!D37,"Pass","Fail"))</f>
        <v xml:space="preserve"> </v>
      </c>
      <c r="G37" s="30"/>
      <c r="H37" s="31" t="str">
        <f>IF(G37=""," ",IF(G37&lt;=Info!F37,"Pass","Fail"))</f>
        <v xml:space="preserve"> </v>
      </c>
      <c r="I37" s="59"/>
      <c r="J37" s="60"/>
      <c r="K37" s="60"/>
      <c r="L37" s="61"/>
    </row>
    <row r="38" spans="1:12" ht="13.9" x14ac:dyDescent="0.4">
      <c r="A38" s="14"/>
      <c r="B38" s="15"/>
      <c r="C38" s="18"/>
      <c r="D38" s="11"/>
      <c r="E38" s="11"/>
      <c r="F38" s="29" t="str">
        <f>IF(E38=""," ",IF(E38&lt;=Info!D38,"Pass","Fail"))</f>
        <v xml:space="preserve"> </v>
      </c>
      <c r="G38" s="30"/>
      <c r="H38" s="31" t="str">
        <f>IF(G38=""," ",IF(G38&lt;=Info!F38,"Pass","Fail"))</f>
        <v xml:space="preserve"> </v>
      </c>
      <c r="I38" s="59"/>
      <c r="J38" s="60"/>
      <c r="K38" s="60"/>
      <c r="L38" s="61"/>
    </row>
    <row r="39" spans="1:12" ht="13.9" x14ac:dyDescent="0.4">
      <c r="A39" s="14"/>
      <c r="B39" s="15"/>
      <c r="C39" s="18"/>
      <c r="D39" s="11"/>
      <c r="E39" s="11"/>
      <c r="F39" s="29" t="str">
        <f>IF(E39=""," ",IF(E39&lt;=Info!D39,"Pass","Fail"))</f>
        <v xml:space="preserve"> </v>
      </c>
      <c r="G39" s="30"/>
      <c r="H39" s="31" t="str">
        <f>IF(G39=""," ",IF(G39&lt;=Info!F39,"Pass","Fail"))</f>
        <v xml:space="preserve"> </v>
      </c>
      <c r="I39" s="59"/>
      <c r="J39" s="60"/>
      <c r="K39" s="60"/>
      <c r="L39" s="61"/>
    </row>
    <row r="40" spans="1:12" ht="13.9" x14ac:dyDescent="0.4">
      <c r="A40" s="14"/>
      <c r="B40" s="15"/>
      <c r="C40" s="18"/>
      <c r="D40" s="11"/>
      <c r="E40" s="11"/>
      <c r="F40" s="29" t="str">
        <f>IF(E40=""," ",IF(E40&lt;=Info!D40,"Pass","Fail"))</f>
        <v xml:space="preserve"> </v>
      </c>
      <c r="G40" s="30"/>
      <c r="H40" s="31" t="str">
        <f>IF(G40=""," ",IF(G40&lt;=Info!F40,"Pass","Fail"))</f>
        <v xml:space="preserve"> </v>
      </c>
      <c r="I40" s="59"/>
      <c r="J40" s="60"/>
      <c r="K40" s="60"/>
      <c r="L40" s="61"/>
    </row>
    <row r="41" spans="1:12" ht="13.9" x14ac:dyDescent="0.4">
      <c r="A41" s="14"/>
      <c r="B41" s="15"/>
      <c r="C41" s="18"/>
      <c r="D41" s="11"/>
      <c r="E41" s="11"/>
      <c r="F41" s="29" t="str">
        <f>IF(E41=""," ",IF(E41&lt;=Info!D41,"Pass","Fail"))</f>
        <v xml:space="preserve"> </v>
      </c>
      <c r="G41" s="30"/>
      <c r="H41" s="31" t="str">
        <f>IF(G41=""," ",IF(G41&lt;=Info!F41,"Pass","Fail"))</f>
        <v xml:space="preserve"> </v>
      </c>
      <c r="I41" s="59"/>
      <c r="J41" s="60"/>
      <c r="K41" s="60"/>
      <c r="L41" s="61"/>
    </row>
    <row r="42" spans="1:12" ht="13.9" x14ac:dyDescent="0.4">
      <c r="A42" s="14"/>
      <c r="B42" s="15"/>
      <c r="C42" s="18"/>
      <c r="D42" s="11"/>
      <c r="E42" s="11"/>
      <c r="F42" s="29" t="str">
        <f>IF(E42=""," ",IF(E42&lt;=Info!D42,"Pass","Fail"))</f>
        <v xml:space="preserve"> </v>
      </c>
      <c r="G42" s="30"/>
      <c r="H42" s="31" t="str">
        <f>IF(G42=""," ",IF(G42&lt;=Info!F42,"Pass","Fail"))</f>
        <v xml:space="preserve"> </v>
      </c>
      <c r="I42" s="59"/>
      <c r="J42" s="60"/>
      <c r="K42" s="60"/>
      <c r="L42" s="61"/>
    </row>
    <row r="43" spans="1:12" ht="13.9" x14ac:dyDescent="0.4">
      <c r="A43" s="14"/>
      <c r="B43" s="15"/>
      <c r="C43" s="18"/>
      <c r="D43" s="11"/>
      <c r="E43" s="11"/>
      <c r="F43" s="29" t="str">
        <f>IF(E43=""," ",IF(E43&lt;=Info!D43,"Pass","Fail"))</f>
        <v xml:space="preserve"> </v>
      </c>
      <c r="G43" s="30"/>
      <c r="H43" s="31" t="str">
        <f>IF(G43=""," ",IF(G43&lt;=Info!F43,"Pass","Fail"))</f>
        <v xml:space="preserve"> </v>
      </c>
      <c r="I43" s="59"/>
      <c r="J43" s="60"/>
      <c r="K43" s="60"/>
      <c r="L43" s="61"/>
    </row>
    <row r="44" spans="1:12" ht="13.9" x14ac:dyDescent="0.4">
      <c r="A44" s="14"/>
      <c r="B44" s="15"/>
      <c r="C44" s="18"/>
      <c r="D44" s="11"/>
      <c r="E44" s="11"/>
      <c r="F44" s="29" t="str">
        <f>IF(E44=""," ",IF(E44&lt;=Info!D44,"Pass","Fail"))</f>
        <v xml:space="preserve"> </v>
      </c>
      <c r="G44" s="30"/>
      <c r="H44" s="31" t="str">
        <f>IF(G44=""," ",IF(G44&lt;=Info!F44,"Pass","Fail"))</f>
        <v xml:space="preserve"> </v>
      </c>
      <c r="I44" s="59"/>
      <c r="J44" s="60"/>
      <c r="K44" s="60"/>
      <c r="L44" s="61"/>
    </row>
    <row r="45" spans="1:12" ht="13.9" x14ac:dyDescent="0.4">
      <c r="A45" s="14"/>
      <c r="B45" s="15"/>
      <c r="C45" s="18"/>
      <c r="D45" s="11"/>
      <c r="E45" s="11"/>
      <c r="F45" s="29" t="str">
        <f>IF(E45=""," ",IF(E45&lt;=Info!D45,"Pass","Fail"))</f>
        <v xml:space="preserve"> </v>
      </c>
      <c r="G45" s="30"/>
      <c r="H45" s="31" t="str">
        <f>IF(G45=""," ",IF(G45&lt;=Info!F45,"Pass","Fail"))</f>
        <v xml:space="preserve"> </v>
      </c>
      <c r="I45" s="59"/>
      <c r="J45" s="60"/>
      <c r="K45" s="60"/>
      <c r="L45" s="61"/>
    </row>
    <row r="46" spans="1:12" ht="13.9" x14ac:dyDescent="0.4">
      <c r="A46" s="14"/>
      <c r="B46" s="15"/>
      <c r="C46" s="18"/>
      <c r="D46" s="11"/>
      <c r="E46" s="11"/>
      <c r="F46" s="29" t="str">
        <f>IF(E46=""," ",IF(E46&lt;=Info!D46,"Pass","Fail"))</f>
        <v xml:space="preserve"> </v>
      </c>
      <c r="G46" s="30"/>
      <c r="H46" s="31" t="str">
        <f>IF(G46=""," ",IF(G46&lt;=Info!F46,"Pass","Fail"))</f>
        <v xml:space="preserve"> </v>
      </c>
      <c r="I46" s="43"/>
      <c r="J46" s="44"/>
      <c r="K46" s="44"/>
      <c r="L46" s="45"/>
    </row>
    <row r="47" spans="1:12" ht="13.9" x14ac:dyDescent="0.4">
      <c r="A47" s="14"/>
      <c r="B47" s="15"/>
      <c r="C47" s="18"/>
      <c r="D47" s="11"/>
      <c r="E47" s="11"/>
      <c r="F47" s="29" t="str">
        <f>IF(E47=""," ",IF(E47&lt;=Info!D47,"Pass","Fail"))</f>
        <v xml:space="preserve"> </v>
      </c>
      <c r="G47" s="30"/>
      <c r="H47" s="31" t="str">
        <f>IF(G47=""," ",IF(G47&lt;=Info!F47,"Pass","Fail"))</f>
        <v xml:space="preserve"> </v>
      </c>
      <c r="I47" s="43"/>
      <c r="J47" s="44"/>
      <c r="K47" s="44"/>
      <c r="L47" s="45"/>
    </row>
    <row r="48" spans="1:12" ht="13.9" x14ac:dyDescent="0.4">
      <c r="A48" s="14"/>
      <c r="B48" s="15"/>
      <c r="C48" s="18"/>
      <c r="D48" s="11"/>
      <c r="E48" s="11"/>
      <c r="F48" s="29" t="str">
        <f>IF(E48=""," ",IF(E48&lt;=Info!D48,"Pass","Fail"))</f>
        <v xml:space="preserve"> </v>
      </c>
      <c r="G48" s="30"/>
      <c r="H48" s="31" t="str">
        <f>IF(G48=""," ",IF(G48&lt;=Info!F48,"Pass","Fail"))</f>
        <v xml:space="preserve"> </v>
      </c>
      <c r="I48" s="43"/>
      <c r="J48" s="44"/>
      <c r="K48" s="44"/>
      <c r="L48" s="45"/>
    </row>
    <row r="49" spans="1:12" ht="13.9" x14ac:dyDescent="0.4">
      <c r="A49" s="14"/>
      <c r="B49" s="15"/>
      <c r="C49" s="18"/>
      <c r="D49" s="11"/>
      <c r="E49" s="11"/>
      <c r="F49" s="29" t="str">
        <f>IF(E49=""," ",IF(E49&lt;=Info!D49,"Pass","Fail"))</f>
        <v xml:space="preserve"> </v>
      </c>
      <c r="G49" s="30"/>
      <c r="H49" s="31" t="str">
        <f>IF(G49=""," ",IF(G49&lt;=Info!F49,"Pass","Fail"))</f>
        <v xml:space="preserve"> </v>
      </c>
      <c r="I49" s="43"/>
      <c r="J49" s="44"/>
      <c r="K49" s="44"/>
      <c r="L49" s="45"/>
    </row>
    <row r="50" spans="1:12" ht="13.9" x14ac:dyDescent="0.4">
      <c r="A50" s="14"/>
      <c r="B50" s="15"/>
      <c r="C50" s="18"/>
      <c r="D50" s="11"/>
      <c r="E50" s="11"/>
      <c r="F50" s="29" t="str">
        <f>IF(E50=""," ",IF(E50&lt;=Info!D50,"Pass","Fail"))</f>
        <v xml:space="preserve"> </v>
      </c>
      <c r="G50" s="30"/>
      <c r="H50" s="31" t="str">
        <f>IF(G50=""," ",IF(G50&lt;=Info!F50,"Pass","Fail"))</f>
        <v xml:space="preserve"> </v>
      </c>
      <c r="I50" s="43"/>
      <c r="J50" s="44"/>
      <c r="K50" s="44"/>
      <c r="L50" s="45"/>
    </row>
    <row r="51" spans="1:12" ht="13.9" x14ac:dyDescent="0.4">
      <c r="A51" s="14"/>
      <c r="B51" s="15"/>
      <c r="C51" s="18"/>
      <c r="D51" s="11"/>
      <c r="E51" s="11"/>
      <c r="F51" s="29" t="str">
        <f>IF(E51=""," ",IF(E51&lt;=Info!D51,"Pass","Fail"))</f>
        <v xml:space="preserve"> </v>
      </c>
      <c r="G51" s="30"/>
      <c r="H51" s="31" t="str">
        <f>IF(G51=""," ",IF(G51&lt;=Info!F51,"Pass","Fail"))</f>
        <v xml:space="preserve"> </v>
      </c>
      <c r="I51" s="43"/>
      <c r="J51" s="44"/>
      <c r="K51" s="44"/>
      <c r="L51" s="45"/>
    </row>
    <row r="52" spans="1:12" ht="13.9" x14ac:dyDescent="0.4">
      <c r="A52" s="14"/>
      <c r="B52" s="15"/>
      <c r="C52" s="18"/>
      <c r="D52" s="11"/>
      <c r="E52" s="11"/>
      <c r="F52" s="29" t="str">
        <f>IF(E52=""," ",IF(E52&lt;=Info!D52,"Pass","Fail"))</f>
        <v xml:space="preserve"> </v>
      </c>
      <c r="G52" s="30"/>
      <c r="H52" s="31" t="str">
        <f>IF(G52=""," ",IF(G52&lt;=Info!F52,"Pass","Fail"))</f>
        <v xml:space="preserve"> </v>
      </c>
      <c r="I52" s="43"/>
      <c r="J52" s="44"/>
      <c r="K52" s="44"/>
      <c r="L52" s="45"/>
    </row>
    <row r="53" spans="1:12" ht="13.9" x14ac:dyDescent="0.4">
      <c r="A53" s="14"/>
      <c r="B53" s="15"/>
      <c r="C53" s="18"/>
      <c r="D53" s="11"/>
      <c r="E53" s="11"/>
      <c r="F53" s="29" t="str">
        <f>IF(E53=""," ",IF(E53&lt;=Info!D53,"Pass","Fail"))</f>
        <v xml:space="preserve"> </v>
      </c>
      <c r="G53" s="30"/>
      <c r="H53" s="31" t="str">
        <f>IF(G53=""," ",IF(G53&lt;=Info!F53,"Pass","Fail"))</f>
        <v xml:space="preserve"> </v>
      </c>
      <c r="I53" s="59"/>
      <c r="J53" s="60"/>
      <c r="K53" s="60"/>
      <c r="L53" s="61"/>
    </row>
    <row r="54" spans="1:12" ht="14.25" thickBot="1" x14ac:dyDescent="0.45">
      <c r="A54" s="16"/>
      <c r="B54" s="17"/>
      <c r="C54" s="19"/>
      <c r="D54" s="12"/>
      <c r="E54" s="12"/>
      <c r="F54" s="29" t="str">
        <f>IF(E54=""," ",IF(E54&lt;=Info!D54,"Pass","Fail"))</f>
        <v xml:space="preserve"> </v>
      </c>
      <c r="G54" s="30"/>
      <c r="H54" s="31" t="str">
        <f>IF(G54=""," ",IF(G54&lt;=Info!F54,"Pass","Fail"))</f>
        <v xml:space="preserve"> </v>
      </c>
      <c r="I54" s="62"/>
      <c r="J54" s="63"/>
      <c r="K54" s="63"/>
      <c r="L54" s="64"/>
    </row>
    <row r="55" spans="1:12" ht="14.25" thickBot="1" x14ac:dyDescent="0.45">
      <c r="A55" s="48" t="s">
        <v>44</v>
      </c>
      <c r="B55" s="49"/>
      <c r="C55" s="49"/>
      <c r="D55" s="49"/>
      <c r="E55" s="49"/>
      <c r="F55" s="50"/>
      <c r="G55" s="50"/>
      <c r="H55" s="50"/>
      <c r="I55" s="49"/>
      <c r="J55" s="49"/>
      <c r="K55" s="49"/>
      <c r="L55" s="51"/>
    </row>
    <row r="56" spans="1:12" ht="14.25" thickBot="1" x14ac:dyDescent="0.45">
      <c r="A56" s="52" t="s">
        <v>53</v>
      </c>
      <c r="B56" s="53"/>
      <c r="C56" s="53"/>
      <c r="D56" s="53"/>
      <c r="E56" s="54"/>
      <c r="F56" s="13">
        <f>COUNTIF(F18:F54:H18:H54,"Fail")</f>
        <v>0</v>
      </c>
      <c r="G56" s="9"/>
      <c r="H56" s="9"/>
      <c r="I56" s="9"/>
      <c r="J56" s="9"/>
      <c r="K56" s="9"/>
      <c r="L56" s="9"/>
    </row>
    <row r="57" spans="1:12" ht="13.9" x14ac:dyDescent="0.4">
      <c r="A57" s="46" t="s">
        <v>27</v>
      </c>
      <c r="B57" s="46"/>
      <c r="C57" s="46"/>
      <c r="D57" s="56" t="s">
        <v>51</v>
      </c>
      <c r="E57" s="56"/>
      <c r="F57" s="56"/>
      <c r="G57" s="55"/>
      <c r="H57" s="55"/>
      <c r="I57" s="55"/>
      <c r="J57" s="55"/>
      <c r="K57" s="55"/>
      <c r="L57" s="55"/>
    </row>
    <row r="58" spans="1:12" ht="13.9" x14ac:dyDescent="0.4">
      <c r="A58" s="46" t="s">
        <v>50</v>
      </c>
      <c r="B58" s="46"/>
      <c r="C58" s="46"/>
      <c r="D58" s="57"/>
      <c r="E58" s="57"/>
      <c r="F58" s="57"/>
      <c r="G58" s="46" t="s">
        <v>30</v>
      </c>
      <c r="H58" s="46"/>
      <c r="I58" s="46"/>
      <c r="J58" s="47"/>
      <c r="K58" s="47"/>
      <c r="L58" s="47"/>
    </row>
    <row r="59" spans="1:12" ht="13.9" x14ac:dyDescent="0.4">
      <c r="A59" s="46" t="s">
        <v>28</v>
      </c>
      <c r="B59" s="46"/>
      <c r="C59" s="46"/>
      <c r="D59" s="47"/>
      <c r="E59" s="47"/>
      <c r="F59" s="47"/>
      <c r="G59" s="46"/>
      <c r="H59" s="46"/>
      <c r="I59" s="46"/>
      <c r="J59" s="46"/>
      <c r="K59" s="46"/>
      <c r="L59" s="46"/>
    </row>
    <row r="60" spans="1:12" ht="13.9" x14ac:dyDescent="0.4">
      <c r="A60" s="46" t="s">
        <v>29</v>
      </c>
      <c r="B60" s="46"/>
      <c r="C60" s="46"/>
      <c r="D60" s="58" t="str">
        <f>IF(Info!D9=""," ",Info!D9)</f>
        <v xml:space="preserve"> </v>
      </c>
      <c r="E60" s="58"/>
      <c r="F60" s="58"/>
      <c r="G60" s="46" t="s">
        <v>31</v>
      </c>
      <c r="H60" s="46"/>
      <c r="I60" s="46"/>
      <c r="J60" s="47"/>
      <c r="K60" s="47"/>
      <c r="L60" s="47"/>
    </row>
    <row r="61" spans="1:12" ht="13.9" x14ac:dyDescent="0.4">
      <c r="A61" s="9"/>
      <c r="B61" s="9"/>
      <c r="C61" s="9"/>
      <c r="D61" s="9"/>
      <c r="E61" s="9"/>
      <c r="F61" s="9"/>
      <c r="G61" s="9"/>
      <c r="H61" s="9"/>
      <c r="I61" s="99" t="s">
        <v>66</v>
      </c>
      <c r="J61" s="99"/>
      <c r="K61" s="99"/>
      <c r="L61" s="99"/>
    </row>
  </sheetData>
  <sheetProtection password="96B1" sheet="1" objects="1" scenarios="1"/>
  <mergeCells count="100">
    <mergeCell ref="I61:L61"/>
    <mergeCell ref="D5:I5"/>
    <mergeCell ref="A5:C5"/>
    <mergeCell ref="A6:L6"/>
    <mergeCell ref="J5:L5"/>
    <mergeCell ref="A7:B7"/>
    <mergeCell ref="I27:L27"/>
    <mergeCell ref="C7:F7"/>
    <mergeCell ref="G7:H7"/>
    <mergeCell ref="I7:L7"/>
    <mergeCell ref="A1:L1"/>
    <mergeCell ref="A3:B3"/>
    <mergeCell ref="A4:B4"/>
    <mergeCell ref="K3:L3"/>
    <mergeCell ref="K4:L4"/>
    <mergeCell ref="D2:I2"/>
    <mergeCell ref="D3:I3"/>
    <mergeCell ref="D4:I4"/>
    <mergeCell ref="A2:C2"/>
    <mergeCell ref="J2:L2"/>
    <mergeCell ref="A11:B11"/>
    <mergeCell ref="C11:F11"/>
    <mergeCell ref="I8:L8"/>
    <mergeCell ref="I9:L9"/>
    <mergeCell ref="I10:L10"/>
    <mergeCell ref="G11:H11"/>
    <mergeCell ref="I11:L11"/>
    <mergeCell ref="A8:B8"/>
    <mergeCell ref="A9:B9"/>
    <mergeCell ref="A10:B10"/>
    <mergeCell ref="C10:F10"/>
    <mergeCell ref="G10:H10"/>
    <mergeCell ref="I14:L14"/>
    <mergeCell ref="I12:L12"/>
    <mergeCell ref="G8:H8"/>
    <mergeCell ref="G9:H9"/>
    <mergeCell ref="C8:F8"/>
    <mergeCell ref="C9:F9"/>
    <mergeCell ref="A16:B16"/>
    <mergeCell ref="A15:B15"/>
    <mergeCell ref="C15:H15"/>
    <mergeCell ref="D12:F12"/>
    <mergeCell ref="G12:H12"/>
    <mergeCell ref="A12:B12"/>
    <mergeCell ref="A14:H14"/>
    <mergeCell ref="A13:L13"/>
    <mergeCell ref="I19:L19"/>
    <mergeCell ref="I20:L20"/>
    <mergeCell ref="I15:L15"/>
    <mergeCell ref="I21:L21"/>
    <mergeCell ref="I16:L16"/>
    <mergeCell ref="I17:L17"/>
    <mergeCell ref="I18:L18"/>
    <mergeCell ref="I34:L34"/>
    <mergeCell ref="I35:L35"/>
    <mergeCell ref="I36:L36"/>
    <mergeCell ref="I22:L22"/>
    <mergeCell ref="I23:L23"/>
    <mergeCell ref="I24:L25"/>
    <mergeCell ref="I26:L26"/>
    <mergeCell ref="D59:F59"/>
    <mergeCell ref="D60:F60"/>
    <mergeCell ref="A58:C58"/>
    <mergeCell ref="I28:L28"/>
    <mergeCell ref="I29:L29"/>
    <mergeCell ref="I30:L30"/>
    <mergeCell ref="A55:L55"/>
    <mergeCell ref="I31:L31"/>
    <mergeCell ref="I32:L32"/>
    <mergeCell ref="I33:L33"/>
    <mergeCell ref="I50:L50"/>
    <mergeCell ref="I45:L45"/>
    <mergeCell ref="I37:L37"/>
    <mergeCell ref="I38:L38"/>
    <mergeCell ref="I39:L39"/>
    <mergeCell ref="I40:L40"/>
    <mergeCell ref="I41:L41"/>
    <mergeCell ref="I42:L42"/>
    <mergeCell ref="I43:L43"/>
    <mergeCell ref="I44:L44"/>
    <mergeCell ref="I46:L46"/>
    <mergeCell ref="G58:I58"/>
    <mergeCell ref="J58:L58"/>
    <mergeCell ref="I48:L48"/>
    <mergeCell ref="I49:L49"/>
    <mergeCell ref="I47:L47"/>
    <mergeCell ref="I53:L53"/>
    <mergeCell ref="I52:L52"/>
    <mergeCell ref="I54:L54"/>
    <mergeCell ref="I51:L51"/>
    <mergeCell ref="A56:E56"/>
    <mergeCell ref="A57:C57"/>
    <mergeCell ref="D57:F57"/>
    <mergeCell ref="G57:L57"/>
    <mergeCell ref="G60:I60"/>
    <mergeCell ref="J60:L60"/>
    <mergeCell ref="G59:L59"/>
    <mergeCell ref="A59:C59"/>
    <mergeCell ref="A60:C60"/>
    <mergeCell ref="D58:F58"/>
  </mergeCells>
  <phoneticPr fontId="7" type="noConversion"/>
  <printOptions horizontalCentered="1" verticalCentered="1"/>
  <pageMargins left="0" right="0" top="0" bottom="0" header="0" footer="0"/>
  <pageSetup scale="84" orientation="portrait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5A36-0BF4-4920-BE8E-204119A0E179}">
  <sheetPr>
    <pageSetUpPr fitToPage="1"/>
  </sheetPr>
  <dimension ref="A1:L61"/>
  <sheetViews>
    <sheetView workbookViewId="0">
      <selection activeCell="A18" sqref="A18"/>
    </sheetView>
  </sheetViews>
  <sheetFormatPr defaultRowHeight="12.75" x14ac:dyDescent="0.35"/>
  <cols>
    <col min="1" max="2" width="10.73046875" customWidth="1"/>
    <col min="3" max="3" width="10.86328125" customWidth="1"/>
    <col min="4" max="11" width="9.73046875" customWidth="1"/>
    <col min="12" max="12" width="11.73046875" customWidth="1"/>
  </cols>
  <sheetData>
    <row r="1" spans="1:12" ht="17.649999999999999" x14ac:dyDescent="0.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5" customFormat="1" ht="15" x14ac:dyDescent="0.4">
      <c r="A2" s="55"/>
      <c r="B2" s="55"/>
      <c r="C2" s="55"/>
      <c r="D2" s="41" t="s">
        <v>33</v>
      </c>
      <c r="E2" s="41"/>
      <c r="F2" s="41"/>
      <c r="G2" s="41"/>
      <c r="H2" s="41"/>
      <c r="I2" s="41"/>
      <c r="J2" s="55"/>
      <c r="K2" s="55"/>
      <c r="L2" s="55"/>
    </row>
    <row r="3" spans="1:12" s="5" customFormat="1" ht="15" x14ac:dyDescent="0.4">
      <c r="A3" s="93" t="s">
        <v>1</v>
      </c>
      <c r="B3" s="93"/>
      <c r="C3" s="3" t="str">
        <f>IF(Info!D4=""," ",Info!D4)</f>
        <v xml:space="preserve"> </v>
      </c>
      <c r="D3" s="41" t="s">
        <v>4</v>
      </c>
      <c r="E3" s="41"/>
      <c r="F3" s="41"/>
      <c r="G3" s="41"/>
      <c r="H3" s="41"/>
      <c r="I3" s="41"/>
      <c r="J3" s="1" t="s">
        <v>3</v>
      </c>
      <c r="K3" s="97" t="str">
        <f>IF(Info!D5=""," ",Info!D5)</f>
        <v xml:space="preserve"> </v>
      </c>
      <c r="L3" s="97"/>
    </row>
    <row r="4" spans="1:12" s="5" customFormat="1" ht="15" x14ac:dyDescent="0.4">
      <c r="A4" s="93" t="s">
        <v>2</v>
      </c>
      <c r="B4" s="93"/>
      <c r="C4" s="6">
        <v>6</v>
      </c>
      <c r="D4" s="41" t="s">
        <v>64</v>
      </c>
      <c r="E4" s="41"/>
      <c r="F4" s="41"/>
      <c r="G4" s="41"/>
      <c r="H4" s="41"/>
      <c r="I4" s="41"/>
      <c r="J4" s="2"/>
      <c r="K4" s="98" t="s">
        <v>52</v>
      </c>
      <c r="L4" s="98"/>
    </row>
    <row r="5" spans="1:12" s="5" customFormat="1" ht="23.65" ph="1" x14ac:dyDescent="0.4">
      <c r="A5" s="55"/>
      <c r="B5" s="55"/>
      <c r="C5" s="55"/>
      <c r="D5" s="41" t="s">
        <v>41</v>
      </c>
      <c r="E5" s="41"/>
      <c r="F5" s="41"/>
      <c r="G5" s="41"/>
      <c r="H5" s="41"/>
      <c r="I5" s="41"/>
      <c r="J5" s="55"/>
      <c r="K5" s="55"/>
      <c r="L5" s="55"/>
    </row>
    <row r="6" spans="1:12" s="5" customFormat="1" ht="13.5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15.75" customHeight="1" x14ac:dyDescent="0.4">
      <c r="A7" s="93" t="s">
        <v>5</v>
      </c>
      <c r="B7" s="93"/>
      <c r="C7" s="98" t="str">
        <f>IF(Info!D6=""," ",Info!D6)</f>
        <v xml:space="preserve"> </v>
      </c>
      <c r="D7" s="98"/>
      <c r="E7" s="98"/>
      <c r="F7" s="98"/>
      <c r="G7" s="46" t="s">
        <v>10</v>
      </c>
      <c r="H7" s="46"/>
      <c r="I7" s="98" t="str">
        <f>IF(Info!D8=""," ",Info!D8)</f>
        <v xml:space="preserve"> </v>
      </c>
      <c r="J7" s="98"/>
      <c r="K7" s="98"/>
      <c r="L7" s="98"/>
    </row>
    <row r="8" spans="1:12" s="5" customFormat="1" ht="13.9" x14ac:dyDescent="0.4">
      <c r="A8" s="93" t="s">
        <v>6</v>
      </c>
      <c r="B8" s="93"/>
      <c r="C8" s="98" t="str">
        <f>IF(Info!D7=""," ",Info!D7)</f>
        <v xml:space="preserve"> </v>
      </c>
      <c r="D8" s="98"/>
      <c r="E8" s="98"/>
      <c r="F8" s="98"/>
      <c r="G8" s="46" t="s">
        <v>11</v>
      </c>
      <c r="H8" s="46"/>
      <c r="I8" s="58" t="str">
        <f>IF(Info!D11=""," ",Info!D11)</f>
        <v xml:space="preserve"> </v>
      </c>
      <c r="J8" s="58"/>
      <c r="K8" s="58"/>
      <c r="L8" s="58"/>
    </row>
    <row r="9" spans="1:12" s="5" customFormat="1" ht="13.9" x14ac:dyDescent="0.4">
      <c r="A9" s="93" t="s">
        <v>7</v>
      </c>
      <c r="B9" s="93"/>
      <c r="C9" s="98" t="str">
        <f>IF(Info!D10=""," ",Info!D10)</f>
        <v xml:space="preserve"> </v>
      </c>
      <c r="D9" s="98"/>
      <c r="E9" s="98"/>
      <c r="F9" s="98"/>
      <c r="G9" s="46" t="s">
        <v>12</v>
      </c>
      <c r="H9" s="46"/>
      <c r="I9" s="58" t="str">
        <f>IF(Info!D12=""," ",Info!D12)</f>
        <v xml:space="preserve"> </v>
      </c>
      <c r="J9" s="58"/>
      <c r="K9" s="58"/>
      <c r="L9" s="58"/>
    </row>
    <row r="10" spans="1:12" s="5" customFormat="1" ht="13.9" x14ac:dyDescent="0.4">
      <c r="A10" s="93" t="s">
        <v>8</v>
      </c>
      <c r="B10" s="93"/>
      <c r="C10" s="98" t="str">
        <f>IF(Info!D15=""," ",Info!D15)</f>
        <v xml:space="preserve"> </v>
      </c>
      <c r="D10" s="98"/>
      <c r="E10" s="98"/>
      <c r="F10" s="98"/>
      <c r="G10" s="46" t="s">
        <v>13</v>
      </c>
      <c r="H10" s="46"/>
      <c r="I10" s="58" t="str">
        <f>IF(Info!D13=""," ",Info!D13)</f>
        <v xml:space="preserve"> </v>
      </c>
      <c r="J10" s="58"/>
      <c r="K10" s="58"/>
      <c r="L10" s="58"/>
    </row>
    <row r="11" spans="1:12" s="5" customFormat="1" ht="23.65" ph="1" x14ac:dyDescent="0.4">
      <c r="A11" s="93" t="s">
        <v>47</v>
      </c>
      <c r="B11" s="93"/>
      <c r="C11" s="96" t="str">
        <f>IF(Info!D19=""," ",Info!D19)</f>
        <v xml:space="preserve"> </v>
      </c>
      <c r="D11" s="96"/>
      <c r="E11" s="96"/>
      <c r="F11" s="96"/>
      <c r="G11" s="46" t="s">
        <v>14</v>
      </c>
      <c r="H11" s="46"/>
      <c r="I11" s="96" t="str">
        <f>IF(Info!D14=""," ",Info!D14)</f>
        <v xml:space="preserve"> </v>
      </c>
      <c r="J11" s="96"/>
      <c r="K11" s="96"/>
      <c r="L11" s="96"/>
    </row>
    <row r="12" spans="1:12" s="5" customFormat="1" ht="23.65" ph="1" x14ac:dyDescent="0.4">
      <c r="A12" s="93" t="s">
        <v>9</v>
      </c>
      <c r="B12" s="93"/>
      <c r="C12" s="8" t="str">
        <f>IF(Info!D18=""," ",Info!D18)</f>
        <v xml:space="preserve"> </v>
      </c>
      <c r="D12" s="91" t="s">
        <v>49</v>
      </c>
      <c r="E12" s="92"/>
      <c r="F12" s="92"/>
      <c r="G12" s="46" t="s">
        <v>15</v>
      </c>
      <c r="H12" s="46"/>
      <c r="I12" s="58" t="str">
        <f>IF(Info!D16=""," ",Info!D16)</f>
        <v xml:space="preserve"> </v>
      </c>
      <c r="J12" s="58"/>
      <c r="K12" s="58"/>
      <c r="L12" s="58"/>
    </row>
    <row r="13" spans="1:12" s="5" customFormat="1" ht="13.9" thickBot="1" x14ac:dyDescent="0.4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5.4" thickBot="1" x14ac:dyDescent="0.45">
      <c r="A14" s="94" t="s">
        <v>42</v>
      </c>
      <c r="B14" s="95"/>
      <c r="C14" s="95"/>
      <c r="D14" s="95"/>
      <c r="E14" s="95"/>
      <c r="F14" s="95"/>
      <c r="G14" s="95"/>
      <c r="H14" s="95"/>
      <c r="I14" s="86"/>
      <c r="J14" s="87"/>
      <c r="K14" s="87"/>
      <c r="L14" s="88"/>
    </row>
    <row r="15" spans="1:12" ht="14.25" thickBot="1" x14ac:dyDescent="0.45">
      <c r="A15" s="71" t="s">
        <v>16</v>
      </c>
      <c r="B15" s="89"/>
      <c r="C15" s="90" t="s">
        <v>43</v>
      </c>
      <c r="D15" s="72"/>
      <c r="E15" s="72"/>
      <c r="F15" s="72"/>
      <c r="G15" s="72"/>
      <c r="H15" s="72"/>
      <c r="I15" s="80"/>
      <c r="J15" s="81"/>
      <c r="K15" s="81"/>
      <c r="L15" s="82"/>
    </row>
    <row r="16" spans="1:12" ht="13.9" x14ac:dyDescent="0.4">
      <c r="A16" s="71" t="s">
        <v>17</v>
      </c>
      <c r="B16" s="89"/>
      <c r="C16" s="34" t="s">
        <v>60</v>
      </c>
      <c r="D16" s="34" t="s">
        <v>62</v>
      </c>
      <c r="E16" s="34" t="s">
        <v>56</v>
      </c>
      <c r="F16" s="34" t="s">
        <v>54</v>
      </c>
      <c r="G16" s="32" t="s">
        <v>58</v>
      </c>
      <c r="H16" s="35" t="s">
        <v>54</v>
      </c>
      <c r="I16" s="65" t="s">
        <v>20</v>
      </c>
      <c r="J16" s="66"/>
      <c r="K16" s="66"/>
      <c r="L16" s="67"/>
    </row>
    <row r="17" spans="1:12" ht="14.25" thickBot="1" x14ac:dyDescent="0.45">
      <c r="A17" s="26" t="s">
        <v>18</v>
      </c>
      <c r="B17" s="27" t="s">
        <v>19</v>
      </c>
      <c r="C17" s="4" t="s">
        <v>61</v>
      </c>
      <c r="D17" s="4" t="s">
        <v>63</v>
      </c>
      <c r="E17" s="4" t="s">
        <v>57</v>
      </c>
      <c r="F17" s="4" t="s">
        <v>55</v>
      </c>
      <c r="G17" s="10" t="s">
        <v>57</v>
      </c>
      <c r="H17" s="28" t="s">
        <v>55</v>
      </c>
      <c r="I17" s="65" t="s">
        <v>21</v>
      </c>
      <c r="J17" s="66"/>
      <c r="K17" s="66"/>
      <c r="L17" s="67"/>
    </row>
    <row r="18" spans="1:12" ht="13.9" x14ac:dyDescent="0.4">
      <c r="A18" s="22"/>
      <c r="B18" s="23"/>
      <c r="C18" s="24"/>
      <c r="D18" s="25"/>
      <c r="E18" s="25"/>
      <c r="F18" s="21" t="str">
        <f>IF(E18=""," ",IF(E18&lt;=Info!D18,"Pass","Fail"))</f>
        <v xml:space="preserve"> </v>
      </c>
      <c r="G18" s="20"/>
      <c r="H18" s="33" t="str">
        <f>IF(G18=""," ",IF(G18&lt;=Info!F18,"Pass","Fail"))</f>
        <v xml:space="preserve"> </v>
      </c>
      <c r="I18" s="83" t="s">
        <v>22</v>
      </c>
      <c r="J18" s="84"/>
      <c r="K18" s="84"/>
      <c r="L18" s="85"/>
    </row>
    <row r="19" spans="1:12" ht="13.9" x14ac:dyDescent="0.4">
      <c r="A19" s="14"/>
      <c r="B19" s="15"/>
      <c r="C19" s="18"/>
      <c r="D19" s="11"/>
      <c r="E19" s="11"/>
      <c r="F19" s="29" t="str">
        <f>IF(E19=""," ",IF(E19&lt;=Info!D19,"Pass","Fail"))</f>
        <v xml:space="preserve"> </v>
      </c>
      <c r="G19" s="30"/>
      <c r="H19" s="31" t="str">
        <f>IF(G19=""," ",IF(G19&lt;=Info!F19,"Pass","Fail"))</f>
        <v xml:space="preserve"> </v>
      </c>
      <c r="I19" s="83" t="s">
        <v>23</v>
      </c>
      <c r="J19" s="84"/>
      <c r="K19" s="84"/>
      <c r="L19" s="85"/>
    </row>
    <row r="20" spans="1:12" ht="13.9" x14ac:dyDescent="0.4">
      <c r="A20" s="14"/>
      <c r="B20" s="15"/>
      <c r="C20" s="18"/>
      <c r="D20" s="11"/>
      <c r="E20" s="11"/>
      <c r="F20" s="29" t="str">
        <f>IF(E20=""," ",IF(E20&lt;=Info!D20,"Pass","Fail"))</f>
        <v xml:space="preserve"> </v>
      </c>
      <c r="G20" s="30"/>
      <c r="H20" s="31" t="str">
        <f>IF(G20=""," ",IF(G20&lt;=Info!F20,"Pass","Fail"))</f>
        <v xml:space="preserve"> </v>
      </c>
      <c r="I20" s="65" t="s">
        <v>24</v>
      </c>
      <c r="J20" s="66"/>
      <c r="K20" s="66"/>
      <c r="L20" s="67"/>
    </row>
    <row r="21" spans="1:12" ht="14.25" thickBot="1" x14ac:dyDescent="0.45">
      <c r="A21" s="14"/>
      <c r="B21" s="15"/>
      <c r="C21" s="18"/>
      <c r="D21" s="11"/>
      <c r="E21" s="11"/>
      <c r="F21" s="29" t="str">
        <f>IF(E21=""," ",IF(E21&lt;=Info!D21,"Pass","Fail"))</f>
        <v xml:space="preserve"> </v>
      </c>
      <c r="G21" s="30"/>
      <c r="H21" s="31" t="str">
        <f>IF(G21=""," ",IF(G21&lt;=Info!F21,"Pass","Fail"))</f>
        <v xml:space="preserve"> </v>
      </c>
      <c r="I21" s="68"/>
      <c r="J21" s="69"/>
      <c r="K21" s="69"/>
      <c r="L21" s="70"/>
    </row>
    <row r="22" spans="1:12" ht="13.9" x14ac:dyDescent="0.4">
      <c r="A22" s="14"/>
      <c r="B22" s="15"/>
      <c r="C22" s="18"/>
      <c r="D22" s="11"/>
      <c r="E22" s="11"/>
      <c r="F22" s="29" t="str">
        <f>IF(E22=""," ",IF(E22&lt;=Info!D22,"Pass","Fail"))</f>
        <v xml:space="preserve"> </v>
      </c>
      <c r="G22" s="30"/>
      <c r="H22" s="31" t="str">
        <f>IF(G22=""," ",IF(G22&lt;=Info!F22,"Pass","Fail"))</f>
        <v xml:space="preserve"> </v>
      </c>
      <c r="I22" s="71"/>
      <c r="J22" s="72"/>
      <c r="K22" s="72"/>
      <c r="L22" s="73"/>
    </row>
    <row r="23" spans="1:12" ht="14.25" thickBot="1" x14ac:dyDescent="0.45">
      <c r="A23" s="14"/>
      <c r="B23" s="15"/>
      <c r="C23" s="18"/>
      <c r="D23" s="11"/>
      <c r="E23" s="11"/>
      <c r="F23" s="29" t="str">
        <f>IF(E23=""," ",IF(E23&lt;=Info!D23,"Pass","Fail"))</f>
        <v xml:space="preserve"> </v>
      </c>
      <c r="G23" s="30"/>
      <c r="H23" s="31" t="str">
        <f>IF(G23=""," ",IF(G23&lt;=Info!F23,"Pass","Fail"))</f>
        <v xml:space="preserve"> </v>
      </c>
      <c r="I23" s="65" t="s">
        <v>32</v>
      </c>
      <c r="J23" s="66"/>
      <c r="K23" s="66"/>
      <c r="L23" s="67"/>
    </row>
    <row r="24" spans="1:12" ht="13.9" customHeight="1" x14ac:dyDescent="0.4">
      <c r="A24" s="14"/>
      <c r="B24" s="15"/>
      <c r="C24" s="18"/>
      <c r="D24" s="11"/>
      <c r="E24" s="11"/>
      <c r="F24" s="29" t="str">
        <f>IF(E24=""," ",IF(E24&lt;=Info!D24,"Pass","Fail"))</f>
        <v xml:space="preserve"> </v>
      </c>
      <c r="G24" s="30"/>
      <c r="H24" s="31" t="str">
        <f>IF(G24=""," ",IF(G24&lt;=Info!F24,"Pass","Fail"))</f>
        <v xml:space="preserve"> </v>
      </c>
      <c r="I24" s="74" t="str">
        <f>IF(A18=""," ",IF(F56=0,"Do Meet","Do Not Meet"))</f>
        <v xml:space="preserve"> </v>
      </c>
      <c r="J24" s="75"/>
      <c r="K24" s="75"/>
      <c r="L24" s="76"/>
    </row>
    <row r="25" spans="1:12" ht="13.9" customHeight="1" thickBot="1" x14ac:dyDescent="0.45">
      <c r="A25" s="14"/>
      <c r="B25" s="15"/>
      <c r="C25" s="18"/>
      <c r="D25" s="11"/>
      <c r="E25" s="11"/>
      <c r="F25" s="29" t="str">
        <f>IF(E25=""," ",IF(E25&lt;=Info!D25,"Pass","Fail"))</f>
        <v xml:space="preserve"> </v>
      </c>
      <c r="G25" s="30"/>
      <c r="H25" s="31" t="str">
        <f>IF(G25=""," ",IF(G25&lt;=Info!F25,"Pass","Fail"))</f>
        <v xml:space="preserve"> </v>
      </c>
      <c r="I25" s="77"/>
      <c r="J25" s="78"/>
      <c r="K25" s="78"/>
      <c r="L25" s="79"/>
    </row>
    <row r="26" spans="1:12" ht="13.9" x14ac:dyDescent="0.4">
      <c r="A26" s="14"/>
      <c r="B26" s="15"/>
      <c r="C26" s="18"/>
      <c r="D26" s="11"/>
      <c r="E26" s="11"/>
      <c r="F26" s="29" t="str">
        <f>IF(E26=""," ",IF(E26&lt;=Info!D26,"Pass","Fail"))</f>
        <v xml:space="preserve"> </v>
      </c>
      <c r="G26" s="30"/>
      <c r="H26" s="31" t="str">
        <f>IF(G26=""," ",IF(G26&lt;=Info!F26,"Pass","Fail"))</f>
        <v xml:space="preserve"> </v>
      </c>
      <c r="I26" s="65" t="s">
        <v>25</v>
      </c>
      <c r="J26" s="66"/>
      <c r="K26" s="66"/>
      <c r="L26" s="67"/>
    </row>
    <row r="27" spans="1:12" ht="14.25" thickBot="1" x14ac:dyDescent="0.45">
      <c r="A27" s="14"/>
      <c r="B27" s="15"/>
      <c r="C27" s="18"/>
      <c r="D27" s="11"/>
      <c r="E27" s="11"/>
      <c r="F27" s="29" t="str">
        <f>IF(E27=""," ",IF(E27&lt;=Info!D27,"Pass","Fail"))</f>
        <v xml:space="preserve"> </v>
      </c>
      <c r="G27" s="30"/>
      <c r="H27" s="31" t="str">
        <f>IF(G27=""," ",IF(G27&lt;=Info!F27,"Pass","Fail"))</f>
        <v xml:space="preserve"> </v>
      </c>
      <c r="I27" s="65" t="s">
        <v>45</v>
      </c>
      <c r="J27" s="66"/>
      <c r="K27" s="66"/>
      <c r="L27" s="67"/>
    </row>
    <row r="28" spans="1:12" ht="13.9" x14ac:dyDescent="0.4">
      <c r="A28" s="14"/>
      <c r="B28" s="15"/>
      <c r="C28" s="18"/>
      <c r="D28" s="11"/>
      <c r="E28" s="11"/>
      <c r="F28" s="29" t="str">
        <f>IF(E28=""," ",IF(E28&lt;=Info!D28,"Pass","Fail"))</f>
        <v xml:space="preserve"> </v>
      </c>
      <c r="G28" s="30"/>
      <c r="H28" s="31" t="str">
        <f>IF(G28=""," ",IF(G28&lt;=Info!F28,"Pass","Fail"))</f>
        <v xml:space="preserve"> </v>
      </c>
      <c r="I28" s="80"/>
      <c r="J28" s="81"/>
      <c r="K28" s="81"/>
      <c r="L28" s="82"/>
    </row>
    <row r="29" spans="1:12" ht="13.9" x14ac:dyDescent="0.4">
      <c r="A29" s="14"/>
      <c r="B29" s="15"/>
      <c r="C29" s="18"/>
      <c r="D29" s="11"/>
      <c r="E29" s="11"/>
      <c r="F29" s="29" t="str">
        <f>IF(E29=""," ",IF(E29&lt;=Info!D29,"Pass","Fail"))</f>
        <v xml:space="preserve"> </v>
      </c>
      <c r="G29" s="30"/>
      <c r="H29" s="31" t="str">
        <f>IF(G29=""," ",IF(G29&lt;=Info!F29,"Pass","Fail"))</f>
        <v xml:space="preserve"> </v>
      </c>
      <c r="I29" s="65" t="s">
        <v>26</v>
      </c>
      <c r="J29" s="66"/>
      <c r="K29" s="66"/>
      <c r="L29" s="67"/>
    </row>
    <row r="30" spans="1:12" ht="14.25" thickBot="1" x14ac:dyDescent="0.45">
      <c r="A30" s="14"/>
      <c r="B30" s="15"/>
      <c r="C30" s="18"/>
      <c r="D30" s="11"/>
      <c r="E30" s="11"/>
      <c r="F30" s="29" t="str">
        <f>IF(E30=""," ",IF(E30&lt;=Info!D30,"Pass","Fail"))</f>
        <v xml:space="preserve"> </v>
      </c>
      <c r="G30" s="30"/>
      <c r="H30" s="31" t="str">
        <f>IF(G30=""," ",IF(G30&lt;=Info!F30,"Pass","Fail"))</f>
        <v xml:space="preserve"> </v>
      </c>
      <c r="I30" s="68"/>
      <c r="J30" s="69"/>
      <c r="K30" s="69"/>
      <c r="L30" s="70"/>
    </row>
    <row r="31" spans="1:12" ht="13.9" x14ac:dyDescent="0.4">
      <c r="A31" s="14"/>
      <c r="B31" s="15"/>
      <c r="C31" s="18"/>
      <c r="D31" s="11"/>
      <c r="E31" s="11"/>
      <c r="F31" s="29" t="str">
        <f>IF(E31=""," ",IF(E31&lt;=Info!D31,"Pass","Fail"))</f>
        <v xml:space="preserve"> </v>
      </c>
      <c r="G31" s="30"/>
      <c r="H31" s="31" t="str">
        <f>IF(G31=""," ",IF(G31&lt;=Info!F31,"Pass","Fail"))</f>
        <v xml:space="preserve"> </v>
      </c>
      <c r="I31" s="59"/>
      <c r="J31" s="60"/>
      <c r="K31" s="60"/>
      <c r="L31" s="61"/>
    </row>
    <row r="32" spans="1:12" ht="13.9" x14ac:dyDescent="0.4">
      <c r="A32" s="14"/>
      <c r="B32" s="15"/>
      <c r="C32" s="18"/>
      <c r="D32" s="11"/>
      <c r="E32" s="11"/>
      <c r="F32" s="29" t="str">
        <f>IF(E32=""," ",IF(E32&lt;=Info!D32,"Pass","Fail"))</f>
        <v xml:space="preserve"> </v>
      </c>
      <c r="G32" s="30"/>
      <c r="H32" s="31" t="str">
        <f>IF(G32=""," ",IF(G32&lt;=Info!F32,"Pass","Fail"))</f>
        <v xml:space="preserve"> </v>
      </c>
      <c r="I32" s="59"/>
      <c r="J32" s="60"/>
      <c r="K32" s="60"/>
      <c r="L32" s="61"/>
    </row>
    <row r="33" spans="1:12" ht="13.9" x14ac:dyDescent="0.4">
      <c r="A33" s="14"/>
      <c r="B33" s="15"/>
      <c r="C33" s="18"/>
      <c r="D33" s="11"/>
      <c r="E33" s="11"/>
      <c r="F33" s="29" t="str">
        <f>IF(E33=""," ",IF(E33&lt;=Info!D33,"Pass","Fail"))</f>
        <v xml:space="preserve"> </v>
      </c>
      <c r="G33" s="30"/>
      <c r="H33" s="31" t="str">
        <f>IF(G33=""," ",IF(G33&lt;=Info!F33,"Pass","Fail"))</f>
        <v xml:space="preserve"> </v>
      </c>
      <c r="I33" s="59"/>
      <c r="J33" s="60"/>
      <c r="K33" s="60"/>
      <c r="L33" s="61"/>
    </row>
    <row r="34" spans="1:12" ht="13.9" x14ac:dyDescent="0.4">
      <c r="A34" s="14"/>
      <c r="B34" s="15"/>
      <c r="C34" s="18"/>
      <c r="D34" s="11"/>
      <c r="E34" s="11"/>
      <c r="F34" s="29" t="str">
        <f>IF(E34=""," ",IF(E34&lt;=Info!D34,"Pass","Fail"))</f>
        <v xml:space="preserve"> </v>
      </c>
      <c r="G34" s="30"/>
      <c r="H34" s="31" t="str">
        <f>IF(G34=""," ",IF(G34&lt;=Info!F34,"Pass","Fail"))</f>
        <v xml:space="preserve"> </v>
      </c>
      <c r="I34" s="59"/>
      <c r="J34" s="60"/>
      <c r="K34" s="60"/>
      <c r="L34" s="61"/>
    </row>
    <row r="35" spans="1:12" ht="13.9" x14ac:dyDescent="0.4">
      <c r="A35" s="14"/>
      <c r="B35" s="15"/>
      <c r="C35" s="18"/>
      <c r="D35" s="11"/>
      <c r="E35" s="11"/>
      <c r="F35" s="29" t="str">
        <f>IF(E35=""," ",IF(E35&lt;=Info!D35,"Pass","Fail"))</f>
        <v xml:space="preserve"> </v>
      </c>
      <c r="G35" s="30"/>
      <c r="H35" s="31" t="str">
        <f>IF(G35=""," ",IF(G35&lt;=Info!F35,"Pass","Fail"))</f>
        <v xml:space="preserve"> </v>
      </c>
      <c r="I35" s="59"/>
      <c r="J35" s="60"/>
      <c r="K35" s="60"/>
      <c r="L35" s="61"/>
    </row>
    <row r="36" spans="1:12" ht="13.9" x14ac:dyDescent="0.4">
      <c r="A36" s="14"/>
      <c r="B36" s="15"/>
      <c r="C36" s="18"/>
      <c r="D36" s="11"/>
      <c r="E36" s="11"/>
      <c r="F36" s="29" t="str">
        <f>IF(E36=""," ",IF(E36&lt;=Info!D36,"Pass","Fail"))</f>
        <v xml:space="preserve"> </v>
      </c>
      <c r="G36" s="30"/>
      <c r="H36" s="31" t="str">
        <f>IF(G36=""," ",IF(G36&lt;=Info!F36,"Pass","Fail"))</f>
        <v xml:space="preserve"> </v>
      </c>
      <c r="I36" s="59"/>
      <c r="J36" s="60"/>
      <c r="K36" s="60"/>
      <c r="L36" s="61"/>
    </row>
    <row r="37" spans="1:12" ht="13.9" x14ac:dyDescent="0.4">
      <c r="A37" s="14"/>
      <c r="B37" s="15"/>
      <c r="C37" s="18"/>
      <c r="D37" s="11"/>
      <c r="E37" s="11"/>
      <c r="F37" s="29" t="str">
        <f>IF(E37=""," ",IF(E37&lt;=Info!D37,"Pass","Fail"))</f>
        <v xml:space="preserve"> </v>
      </c>
      <c r="G37" s="30"/>
      <c r="H37" s="31" t="str">
        <f>IF(G37=""," ",IF(G37&lt;=Info!F37,"Pass","Fail"))</f>
        <v xml:space="preserve"> </v>
      </c>
      <c r="I37" s="59"/>
      <c r="J37" s="60"/>
      <c r="K37" s="60"/>
      <c r="L37" s="61"/>
    </row>
    <row r="38" spans="1:12" ht="13.9" x14ac:dyDescent="0.4">
      <c r="A38" s="14"/>
      <c r="B38" s="15"/>
      <c r="C38" s="18"/>
      <c r="D38" s="11"/>
      <c r="E38" s="11"/>
      <c r="F38" s="29" t="str">
        <f>IF(E38=""," ",IF(E38&lt;=Info!D38,"Pass","Fail"))</f>
        <v xml:space="preserve"> </v>
      </c>
      <c r="G38" s="30"/>
      <c r="H38" s="31" t="str">
        <f>IF(G38=""," ",IF(G38&lt;=Info!F38,"Pass","Fail"))</f>
        <v xml:space="preserve"> </v>
      </c>
      <c r="I38" s="59"/>
      <c r="J38" s="60"/>
      <c r="K38" s="60"/>
      <c r="L38" s="61"/>
    </row>
    <row r="39" spans="1:12" ht="13.9" x14ac:dyDescent="0.4">
      <c r="A39" s="14"/>
      <c r="B39" s="15"/>
      <c r="C39" s="18"/>
      <c r="D39" s="11"/>
      <c r="E39" s="11"/>
      <c r="F39" s="29" t="str">
        <f>IF(E39=""," ",IF(E39&lt;=Info!D39,"Pass","Fail"))</f>
        <v xml:space="preserve"> </v>
      </c>
      <c r="G39" s="30"/>
      <c r="H39" s="31" t="str">
        <f>IF(G39=""," ",IF(G39&lt;=Info!F39,"Pass","Fail"))</f>
        <v xml:space="preserve"> </v>
      </c>
      <c r="I39" s="59"/>
      <c r="J39" s="60"/>
      <c r="K39" s="60"/>
      <c r="L39" s="61"/>
    </row>
    <row r="40" spans="1:12" ht="13.9" x14ac:dyDescent="0.4">
      <c r="A40" s="14"/>
      <c r="B40" s="15"/>
      <c r="C40" s="18"/>
      <c r="D40" s="11"/>
      <c r="E40" s="11"/>
      <c r="F40" s="29" t="str">
        <f>IF(E40=""," ",IF(E40&lt;=Info!D40,"Pass","Fail"))</f>
        <v xml:space="preserve"> </v>
      </c>
      <c r="G40" s="30"/>
      <c r="H40" s="31" t="str">
        <f>IF(G40=""," ",IF(G40&lt;=Info!F40,"Pass","Fail"))</f>
        <v xml:space="preserve"> </v>
      </c>
      <c r="I40" s="59"/>
      <c r="J40" s="60"/>
      <c r="K40" s="60"/>
      <c r="L40" s="61"/>
    </row>
    <row r="41" spans="1:12" ht="13.9" x14ac:dyDescent="0.4">
      <c r="A41" s="14"/>
      <c r="B41" s="15"/>
      <c r="C41" s="18"/>
      <c r="D41" s="11"/>
      <c r="E41" s="11"/>
      <c r="F41" s="29" t="str">
        <f>IF(E41=""," ",IF(E41&lt;=Info!D41,"Pass","Fail"))</f>
        <v xml:space="preserve"> </v>
      </c>
      <c r="G41" s="30"/>
      <c r="H41" s="31" t="str">
        <f>IF(G41=""," ",IF(G41&lt;=Info!F41,"Pass","Fail"))</f>
        <v xml:space="preserve"> </v>
      </c>
      <c r="I41" s="59"/>
      <c r="J41" s="60"/>
      <c r="K41" s="60"/>
      <c r="L41" s="61"/>
    </row>
    <row r="42" spans="1:12" ht="13.9" x14ac:dyDescent="0.4">
      <c r="A42" s="14"/>
      <c r="B42" s="15"/>
      <c r="C42" s="18"/>
      <c r="D42" s="11"/>
      <c r="E42" s="11"/>
      <c r="F42" s="29" t="str">
        <f>IF(E42=""," ",IF(E42&lt;=Info!D42,"Pass","Fail"))</f>
        <v xml:space="preserve"> </v>
      </c>
      <c r="G42" s="30"/>
      <c r="H42" s="31" t="str">
        <f>IF(G42=""," ",IF(G42&lt;=Info!F42,"Pass","Fail"))</f>
        <v xml:space="preserve"> </v>
      </c>
      <c r="I42" s="59"/>
      <c r="J42" s="60"/>
      <c r="K42" s="60"/>
      <c r="L42" s="61"/>
    </row>
    <row r="43" spans="1:12" ht="13.9" x14ac:dyDescent="0.4">
      <c r="A43" s="14"/>
      <c r="B43" s="15"/>
      <c r="C43" s="18"/>
      <c r="D43" s="11"/>
      <c r="E43" s="11"/>
      <c r="F43" s="29" t="str">
        <f>IF(E43=""," ",IF(E43&lt;=Info!D43,"Pass","Fail"))</f>
        <v xml:space="preserve"> </v>
      </c>
      <c r="G43" s="30"/>
      <c r="H43" s="31" t="str">
        <f>IF(G43=""," ",IF(G43&lt;=Info!F43,"Pass","Fail"))</f>
        <v xml:space="preserve"> </v>
      </c>
      <c r="I43" s="59"/>
      <c r="J43" s="60"/>
      <c r="K43" s="60"/>
      <c r="L43" s="61"/>
    </row>
    <row r="44" spans="1:12" ht="13.9" x14ac:dyDescent="0.4">
      <c r="A44" s="14"/>
      <c r="B44" s="15"/>
      <c r="C44" s="18"/>
      <c r="D44" s="11"/>
      <c r="E44" s="11"/>
      <c r="F44" s="29" t="str">
        <f>IF(E44=""," ",IF(E44&lt;=Info!D44,"Pass","Fail"))</f>
        <v xml:space="preserve"> </v>
      </c>
      <c r="G44" s="30"/>
      <c r="H44" s="31" t="str">
        <f>IF(G44=""," ",IF(G44&lt;=Info!F44,"Pass","Fail"))</f>
        <v xml:space="preserve"> </v>
      </c>
      <c r="I44" s="59"/>
      <c r="J44" s="60"/>
      <c r="K44" s="60"/>
      <c r="L44" s="61"/>
    </row>
    <row r="45" spans="1:12" ht="13.9" x14ac:dyDescent="0.4">
      <c r="A45" s="14"/>
      <c r="B45" s="15"/>
      <c r="C45" s="18"/>
      <c r="D45" s="11"/>
      <c r="E45" s="11"/>
      <c r="F45" s="29" t="str">
        <f>IF(E45=""," ",IF(E45&lt;=Info!D45,"Pass","Fail"))</f>
        <v xml:space="preserve"> </v>
      </c>
      <c r="G45" s="30"/>
      <c r="H45" s="31" t="str">
        <f>IF(G45=""," ",IF(G45&lt;=Info!F45,"Pass","Fail"))</f>
        <v xml:space="preserve"> </v>
      </c>
      <c r="I45" s="59"/>
      <c r="J45" s="60"/>
      <c r="K45" s="60"/>
      <c r="L45" s="61"/>
    </row>
    <row r="46" spans="1:12" ht="13.9" x14ac:dyDescent="0.4">
      <c r="A46" s="14"/>
      <c r="B46" s="15"/>
      <c r="C46" s="18"/>
      <c r="D46" s="11"/>
      <c r="E46" s="11"/>
      <c r="F46" s="29" t="str">
        <f>IF(E46=""," ",IF(E46&lt;=Info!D46,"Pass","Fail"))</f>
        <v xml:space="preserve"> </v>
      </c>
      <c r="G46" s="30"/>
      <c r="H46" s="31" t="str">
        <f>IF(G46=""," ",IF(G46&lt;=Info!F46,"Pass","Fail"))</f>
        <v xml:space="preserve"> </v>
      </c>
      <c r="I46" s="43"/>
      <c r="J46" s="44"/>
      <c r="K46" s="44"/>
      <c r="L46" s="45"/>
    </row>
    <row r="47" spans="1:12" ht="13.9" x14ac:dyDescent="0.4">
      <c r="A47" s="14"/>
      <c r="B47" s="15"/>
      <c r="C47" s="18"/>
      <c r="D47" s="11"/>
      <c r="E47" s="11"/>
      <c r="F47" s="29" t="str">
        <f>IF(E47=""," ",IF(E47&lt;=Info!D47,"Pass","Fail"))</f>
        <v xml:space="preserve"> </v>
      </c>
      <c r="G47" s="30"/>
      <c r="H47" s="31" t="str">
        <f>IF(G47=""," ",IF(G47&lt;=Info!F47,"Pass","Fail"))</f>
        <v xml:space="preserve"> </v>
      </c>
      <c r="I47" s="43"/>
      <c r="J47" s="44"/>
      <c r="K47" s="44"/>
      <c r="L47" s="45"/>
    </row>
    <row r="48" spans="1:12" ht="13.9" x14ac:dyDescent="0.4">
      <c r="A48" s="14"/>
      <c r="B48" s="15"/>
      <c r="C48" s="18"/>
      <c r="D48" s="11"/>
      <c r="E48" s="11"/>
      <c r="F48" s="29" t="str">
        <f>IF(E48=""," ",IF(E48&lt;=Info!D48,"Pass","Fail"))</f>
        <v xml:space="preserve"> </v>
      </c>
      <c r="G48" s="30"/>
      <c r="H48" s="31" t="str">
        <f>IF(G48=""," ",IF(G48&lt;=Info!F48,"Pass","Fail"))</f>
        <v xml:space="preserve"> </v>
      </c>
      <c r="I48" s="43"/>
      <c r="J48" s="44"/>
      <c r="K48" s="44"/>
      <c r="L48" s="45"/>
    </row>
    <row r="49" spans="1:12" ht="13.9" x14ac:dyDescent="0.4">
      <c r="A49" s="14"/>
      <c r="B49" s="15"/>
      <c r="C49" s="18"/>
      <c r="D49" s="11"/>
      <c r="E49" s="11"/>
      <c r="F49" s="29" t="str">
        <f>IF(E49=""," ",IF(E49&lt;=Info!D49,"Pass","Fail"))</f>
        <v xml:space="preserve"> </v>
      </c>
      <c r="G49" s="30"/>
      <c r="H49" s="31" t="str">
        <f>IF(G49=""," ",IF(G49&lt;=Info!F49,"Pass","Fail"))</f>
        <v xml:space="preserve"> </v>
      </c>
      <c r="I49" s="43"/>
      <c r="J49" s="44"/>
      <c r="K49" s="44"/>
      <c r="L49" s="45"/>
    </row>
    <row r="50" spans="1:12" ht="13.9" x14ac:dyDescent="0.4">
      <c r="A50" s="14"/>
      <c r="B50" s="15"/>
      <c r="C50" s="18"/>
      <c r="D50" s="11"/>
      <c r="E50" s="11"/>
      <c r="F50" s="29" t="str">
        <f>IF(E50=""," ",IF(E50&lt;=Info!D50,"Pass","Fail"))</f>
        <v xml:space="preserve"> </v>
      </c>
      <c r="G50" s="30"/>
      <c r="H50" s="31" t="str">
        <f>IF(G50=""," ",IF(G50&lt;=Info!F50,"Pass","Fail"))</f>
        <v xml:space="preserve"> </v>
      </c>
      <c r="I50" s="43"/>
      <c r="J50" s="44"/>
      <c r="K50" s="44"/>
      <c r="L50" s="45"/>
    </row>
    <row r="51" spans="1:12" ht="13.9" x14ac:dyDescent="0.4">
      <c r="A51" s="14"/>
      <c r="B51" s="15"/>
      <c r="C51" s="18"/>
      <c r="D51" s="11"/>
      <c r="E51" s="11"/>
      <c r="F51" s="29" t="str">
        <f>IF(E51=""," ",IF(E51&lt;=Info!D51,"Pass","Fail"))</f>
        <v xml:space="preserve"> </v>
      </c>
      <c r="G51" s="30"/>
      <c r="H51" s="31" t="str">
        <f>IF(G51=""," ",IF(G51&lt;=Info!F51,"Pass","Fail"))</f>
        <v xml:space="preserve"> </v>
      </c>
      <c r="I51" s="43"/>
      <c r="J51" s="44"/>
      <c r="K51" s="44"/>
      <c r="L51" s="45"/>
    </row>
    <row r="52" spans="1:12" ht="13.9" x14ac:dyDescent="0.4">
      <c r="A52" s="14"/>
      <c r="B52" s="15"/>
      <c r="C52" s="18"/>
      <c r="D52" s="11"/>
      <c r="E52" s="11"/>
      <c r="F52" s="29" t="str">
        <f>IF(E52=""," ",IF(E52&lt;=Info!D52,"Pass","Fail"))</f>
        <v xml:space="preserve"> </v>
      </c>
      <c r="G52" s="30"/>
      <c r="H52" s="31" t="str">
        <f>IF(G52=""," ",IF(G52&lt;=Info!F52,"Pass","Fail"))</f>
        <v xml:space="preserve"> </v>
      </c>
      <c r="I52" s="43"/>
      <c r="J52" s="44"/>
      <c r="K52" s="44"/>
      <c r="L52" s="45"/>
    </row>
    <row r="53" spans="1:12" ht="13.9" x14ac:dyDescent="0.4">
      <c r="A53" s="14"/>
      <c r="B53" s="15"/>
      <c r="C53" s="18"/>
      <c r="D53" s="11"/>
      <c r="E53" s="11"/>
      <c r="F53" s="29" t="str">
        <f>IF(E53=""," ",IF(E53&lt;=Info!D53,"Pass","Fail"))</f>
        <v xml:space="preserve"> </v>
      </c>
      <c r="G53" s="30"/>
      <c r="H53" s="31" t="str">
        <f>IF(G53=""," ",IF(G53&lt;=Info!F53,"Pass","Fail"))</f>
        <v xml:space="preserve"> </v>
      </c>
      <c r="I53" s="59"/>
      <c r="J53" s="60"/>
      <c r="K53" s="60"/>
      <c r="L53" s="61"/>
    </row>
    <row r="54" spans="1:12" ht="14.25" thickBot="1" x14ac:dyDescent="0.45">
      <c r="A54" s="16"/>
      <c r="B54" s="17"/>
      <c r="C54" s="19"/>
      <c r="D54" s="12"/>
      <c r="E54" s="12"/>
      <c r="F54" s="29" t="str">
        <f>IF(E54=""," ",IF(E54&lt;=Info!D54,"Pass","Fail"))</f>
        <v xml:space="preserve"> </v>
      </c>
      <c r="G54" s="30"/>
      <c r="H54" s="31" t="str">
        <f>IF(G54=""," ",IF(G54&lt;=Info!F54,"Pass","Fail"))</f>
        <v xml:space="preserve"> </v>
      </c>
      <c r="I54" s="62"/>
      <c r="J54" s="63"/>
      <c r="K54" s="63"/>
      <c r="L54" s="64"/>
    </row>
    <row r="55" spans="1:12" ht="14.25" thickBot="1" x14ac:dyDescent="0.45">
      <c r="A55" s="48" t="s">
        <v>44</v>
      </c>
      <c r="B55" s="49"/>
      <c r="C55" s="49"/>
      <c r="D55" s="49"/>
      <c r="E55" s="49"/>
      <c r="F55" s="50"/>
      <c r="G55" s="50"/>
      <c r="H55" s="50"/>
      <c r="I55" s="49"/>
      <c r="J55" s="49"/>
      <c r="K55" s="49"/>
      <c r="L55" s="51"/>
    </row>
    <row r="56" spans="1:12" ht="14.25" thickBot="1" x14ac:dyDescent="0.45">
      <c r="A56" s="52" t="s">
        <v>53</v>
      </c>
      <c r="B56" s="53"/>
      <c r="C56" s="53"/>
      <c r="D56" s="53"/>
      <c r="E56" s="54"/>
      <c r="F56" s="13">
        <f>COUNTIF(F18:F54:H18:H54,"Fail")</f>
        <v>0</v>
      </c>
      <c r="G56" s="9"/>
      <c r="H56" s="9"/>
      <c r="I56" s="9"/>
      <c r="J56" s="9"/>
      <c r="K56" s="9"/>
      <c r="L56" s="9"/>
    </row>
    <row r="57" spans="1:12" ht="13.9" x14ac:dyDescent="0.4">
      <c r="A57" s="46" t="s">
        <v>27</v>
      </c>
      <c r="B57" s="46"/>
      <c r="C57" s="46"/>
      <c r="D57" s="56" t="s">
        <v>51</v>
      </c>
      <c r="E57" s="56"/>
      <c r="F57" s="56"/>
      <c r="G57" s="55"/>
      <c r="H57" s="55"/>
      <c r="I57" s="55"/>
      <c r="J57" s="55"/>
      <c r="K57" s="55"/>
      <c r="L57" s="55"/>
    </row>
    <row r="58" spans="1:12" ht="13.9" x14ac:dyDescent="0.4">
      <c r="A58" s="46" t="s">
        <v>50</v>
      </c>
      <c r="B58" s="46"/>
      <c r="C58" s="46"/>
      <c r="D58" s="57"/>
      <c r="E58" s="57"/>
      <c r="F58" s="57"/>
      <c r="G58" s="46" t="s">
        <v>30</v>
      </c>
      <c r="H58" s="46"/>
      <c r="I58" s="46"/>
      <c r="J58" s="47"/>
      <c r="K58" s="47"/>
      <c r="L58" s="47"/>
    </row>
    <row r="59" spans="1:12" ht="13.9" x14ac:dyDescent="0.4">
      <c r="A59" s="46" t="s">
        <v>28</v>
      </c>
      <c r="B59" s="46"/>
      <c r="C59" s="46"/>
      <c r="D59" s="47"/>
      <c r="E59" s="47"/>
      <c r="F59" s="47"/>
      <c r="G59" s="46"/>
      <c r="H59" s="46"/>
      <c r="I59" s="46"/>
      <c r="J59" s="46"/>
      <c r="K59" s="46"/>
      <c r="L59" s="46"/>
    </row>
    <row r="60" spans="1:12" ht="13.9" x14ac:dyDescent="0.4">
      <c r="A60" s="46" t="s">
        <v>29</v>
      </c>
      <c r="B60" s="46"/>
      <c r="C60" s="46"/>
      <c r="D60" s="58" t="str">
        <f>IF(Info!D9=""," ",Info!D9)</f>
        <v xml:space="preserve"> </v>
      </c>
      <c r="E60" s="58"/>
      <c r="F60" s="58"/>
      <c r="G60" s="46" t="s">
        <v>31</v>
      </c>
      <c r="H60" s="46"/>
      <c r="I60" s="46"/>
      <c r="J60" s="47"/>
      <c r="K60" s="47"/>
      <c r="L60" s="47"/>
    </row>
    <row r="61" spans="1:12" ht="13.9" x14ac:dyDescent="0.4">
      <c r="A61" s="9"/>
      <c r="B61" s="9"/>
      <c r="C61" s="9"/>
      <c r="D61" s="9"/>
      <c r="E61" s="9"/>
      <c r="F61" s="9"/>
      <c r="G61" s="9"/>
      <c r="H61" s="9"/>
      <c r="I61" s="99" t="s">
        <v>66</v>
      </c>
      <c r="J61" s="99"/>
      <c r="K61" s="99"/>
      <c r="L61" s="99"/>
    </row>
  </sheetData>
  <sheetProtection password="96B1" sheet="1" objects="1" scenarios="1"/>
  <mergeCells count="100">
    <mergeCell ref="A59:C59"/>
    <mergeCell ref="A60:C60"/>
    <mergeCell ref="D59:F59"/>
    <mergeCell ref="D60:F60"/>
    <mergeCell ref="I61:L61"/>
    <mergeCell ref="J58:L58"/>
    <mergeCell ref="G60:I60"/>
    <mergeCell ref="J60:L60"/>
    <mergeCell ref="G59:L59"/>
    <mergeCell ref="I46:L46"/>
    <mergeCell ref="I47:L47"/>
    <mergeCell ref="I53:L53"/>
    <mergeCell ref="I52:L52"/>
    <mergeCell ref="I54:L54"/>
    <mergeCell ref="I51:L51"/>
    <mergeCell ref="I50:L50"/>
    <mergeCell ref="I48:L48"/>
    <mergeCell ref="I49:L49"/>
    <mergeCell ref="A58:C58"/>
    <mergeCell ref="A55:L55"/>
    <mergeCell ref="A56:E56"/>
    <mergeCell ref="A57:C57"/>
    <mergeCell ref="D57:F57"/>
    <mergeCell ref="G57:L57"/>
    <mergeCell ref="D58:F58"/>
    <mergeCell ref="G58:I58"/>
    <mergeCell ref="I36:L36"/>
    <mergeCell ref="I45:L45"/>
    <mergeCell ref="I37:L37"/>
    <mergeCell ref="I38:L38"/>
    <mergeCell ref="I39:L39"/>
    <mergeCell ref="I40:L40"/>
    <mergeCell ref="I41:L41"/>
    <mergeCell ref="I42:L42"/>
    <mergeCell ref="I43:L43"/>
    <mergeCell ref="I44:L44"/>
    <mergeCell ref="I24:L25"/>
    <mergeCell ref="I26:L26"/>
    <mergeCell ref="I28:L28"/>
    <mergeCell ref="I29:L29"/>
    <mergeCell ref="I30:L30"/>
    <mergeCell ref="I35:L35"/>
    <mergeCell ref="I31:L31"/>
    <mergeCell ref="I32:L32"/>
    <mergeCell ref="I33:L33"/>
    <mergeCell ref="I34:L34"/>
    <mergeCell ref="I18:L18"/>
    <mergeCell ref="I19:L19"/>
    <mergeCell ref="I20:L20"/>
    <mergeCell ref="I21:L21"/>
    <mergeCell ref="I22:L22"/>
    <mergeCell ref="I23:L23"/>
    <mergeCell ref="A15:B15"/>
    <mergeCell ref="C15:H15"/>
    <mergeCell ref="A16:B16"/>
    <mergeCell ref="I16:L16"/>
    <mergeCell ref="I15:L15"/>
    <mergeCell ref="I17:L17"/>
    <mergeCell ref="A14:H14"/>
    <mergeCell ref="I14:L14"/>
    <mergeCell ref="I12:L12"/>
    <mergeCell ref="A11:B11"/>
    <mergeCell ref="D12:F12"/>
    <mergeCell ref="G12:H12"/>
    <mergeCell ref="A13:L13"/>
    <mergeCell ref="A8:B8"/>
    <mergeCell ref="A9:B9"/>
    <mergeCell ref="A10:B10"/>
    <mergeCell ref="G8:H8"/>
    <mergeCell ref="G9:H9"/>
    <mergeCell ref="G10:H10"/>
    <mergeCell ref="C8:F8"/>
    <mergeCell ref="C9:F9"/>
    <mergeCell ref="C10:F10"/>
    <mergeCell ref="C11:F11"/>
    <mergeCell ref="I8:L8"/>
    <mergeCell ref="I9:L9"/>
    <mergeCell ref="I10:L10"/>
    <mergeCell ref="G11:H11"/>
    <mergeCell ref="I11:L11"/>
    <mergeCell ref="D3:I3"/>
    <mergeCell ref="D4:I4"/>
    <mergeCell ref="A2:C2"/>
    <mergeCell ref="J2:L2"/>
    <mergeCell ref="A7:B7"/>
    <mergeCell ref="I27:L27"/>
    <mergeCell ref="C7:F7"/>
    <mergeCell ref="G7:H7"/>
    <mergeCell ref="I7:L7"/>
    <mergeCell ref="A12:B12"/>
    <mergeCell ref="D5:I5"/>
    <mergeCell ref="A5:C5"/>
    <mergeCell ref="A6:L6"/>
    <mergeCell ref="J5:L5"/>
    <mergeCell ref="A1:L1"/>
    <mergeCell ref="A3:B3"/>
    <mergeCell ref="A4:B4"/>
    <mergeCell ref="K3:L3"/>
    <mergeCell ref="K4:L4"/>
    <mergeCell ref="D2:I2"/>
  </mergeCells>
  <phoneticPr fontId="7" type="noConversion"/>
  <printOptions horizontalCentered="1" verticalCentered="1"/>
  <pageMargins left="0" right="0" top="0" bottom="0" header="0" footer="0"/>
  <pageSetup scale="84" orientation="portrait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5A8C-303F-4CAE-89EC-36EAB95BE020}">
  <sheetPr>
    <pageSetUpPr fitToPage="1"/>
  </sheetPr>
  <dimension ref="A1:L61"/>
  <sheetViews>
    <sheetView workbookViewId="0">
      <selection activeCell="A18" sqref="A18"/>
    </sheetView>
  </sheetViews>
  <sheetFormatPr defaultRowHeight="12.75" x14ac:dyDescent="0.35"/>
  <cols>
    <col min="1" max="2" width="10.73046875" customWidth="1"/>
    <col min="3" max="3" width="10.86328125" customWidth="1"/>
    <col min="4" max="11" width="9.73046875" customWidth="1"/>
    <col min="12" max="12" width="11.73046875" customWidth="1"/>
  </cols>
  <sheetData>
    <row r="1" spans="1:12" ht="17.649999999999999" x14ac:dyDescent="0.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5" customFormat="1" ht="15" x14ac:dyDescent="0.4">
      <c r="A2" s="55"/>
      <c r="B2" s="55"/>
      <c r="C2" s="55"/>
      <c r="D2" s="41" t="s">
        <v>33</v>
      </c>
      <c r="E2" s="41"/>
      <c r="F2" s="41"/>
      <c r="G2" s="41"/>
      <c r="H2" s="41"/>
      <c r="I2" s="41"/>
      <c r="J2" s="55"/>
      <c r="K2" s="55"/>
      <c r="L2" s="55"/>
    </row>
    <row r="3" spans="1:12" s="5" customFormat="1" ht="15" x14ac:dyDescent="0.4">
      <c r="A3" s="93" t="s">
        <v>1</v>
      </c>
      <c r="B3" s="93"/>
      <c r="C3" s="3" t="str">
        <f>IF(Info!D4=""," ",Info!D4)</f>
        <v xml:space="preserve"> </v>
      </c>
      <c r="D3" s="41" t="s">
        <v>4</v>
      </c>
      <c r="E3" s="41"/>
      <c r="F3" s="41"/>
      <c r="G3" s="41"/>
      <c r="H3" s="41"/>
      <c r="I3" s="41"/>
      <c r="J3" s="1" t="s">
        <v>3</v>
      </c>
      <c r="K3" s="97" t="str">
        <f>IF(Info!D5=""," ",Info!D5)</f>
        <v xml:space="preserve"> </v>
      </c>
      <c r="L3" s="97"/>
    </row>
    <row r="4" spans="1:12" s="5" customFormat="1" ht="23.65" ph="1" x14ac:dyDescent="0.4">
      <c r="A4" s="93" t="s">
        <v>2</v>
      </c>
      <c r="B4" s="93"/>
      <c r="C4" s="6">
        <v>7</v>
      </c>
      <c r="D4" s="41" t="s">
        <v>64</v>
      </c>
      <c r="E4" s="41"/>
      <c r="F4" s="41"/>
      <c r="G4" s="41"/>
      <c r="H4" s="41"/>
      <c r="I4" s="41"/>
      <c r="J4" s="2"/>
      <c r="K4" s="98" t="s">
        <v>52</v>
      </c>
      <c r="L4" s="98"/>
    </row>
    <row r="5" spans="1:12" s="5" customFormat="1" ht="15" x14ac:dyDescent="0.4">
      <c r="A5" s="55"/>
      <c r="B5" s="55"/>
      <c r="C5" s="55"/>
      <c r="D5" s="41" t="s">
        <v>41</v>
      </c>
      <c r="E5" s="41"/>
      <c r="F5" s="41"/>
      <c r="G5" s="41"/>
      <c r="H5" s="41"/>
      <c r="I5" s="41"/>
      <c r="J5" s="55"/>
      <c r="K5" s="55"/>
      <c r="L5" s="55"/>
    </row>
    <row r="6" spans="1:12" s="5" customFormat="1" ht="13.5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15.75" customHeight="1" ph="1" x14ac:dyDescent="0.4">
      <c r="A7" s="93" t="s">
        <v>5</v>
      </c>
      <c r="B7" s="93"/>
      <c r="C7" s="98" t="str">
        <f>IF(Info!D6=""," ",Info!D6)</f>
        <v xml:space="preserve"> </v>
      </c>
      <c r="D7" s="98"/>
      <c r="E7" s="98"/>
      <c r="F7" s="98"/>
      <c r="G7" s="46" t="s">
        <v>10</v>
      </c>
      <c r="H7" s="46"/>
      <c r="I7" s="98" t="str">
        <f>IF(Info!D8=""," ",Info!D8)</f>
        <v xml:space="preserve"> </v>
      </c>
      <c r="J7" s="98"/>
      <c r="K7" s="98"/>
      <c r="L7" s="98"/>
    </row>
    <row r="8" spans="1:12" s="5" customFormat="1" ht="13.9" x14ac:dyDescent="0.4">
      <c r="A8" s="93" t="s">
        <v>6</v>
      </c>
      <c r="B8" s="93"/>
      <c r="C8" s="98" t="str">
        <f>IF(Info!D7=""," ",Info!D7)</f>
        <v xml:space="preserve"> </v>
      </c>
      <c r="D8" s="98"/>
      <c r="E8" s="98"/>
      <c r="F8" s="98"/>
      <c r="G8" s="46" t="s">
        <v>11</v>
      </c>
      <c r="H8" s="46"/>
      <c r="I8" s="58" t="str">
        <f>IF(Info!D11=""," ",Info!D11)</f>
        <v xml:space="preserve"> </v>
      </c>
      <c r="J8" s="58"/>
      <c r="K8" s="58"/>
      <c r="L8" s="58"/>
    </row>
    <row r="9" spans="1:12" s="5" customFormat="1" ht="23.65" ph="1" x14ac:dyDescent="0.4">
      <c r="A9" s="93" t="s">
        <v>7</v>
      </c>
      <c r="B9" s="93"/>
      <c r="C9" s="98" t="str">
        <f>IF(Info!D10=""," ",Info!D10)</f>
        <v xml:space="preserve"> </v>
      </c>
      <c r="D9" s="98"/>
      <c r="E9" s="98"/>
      <c r="F9" s="98"/>
      <c r="G9" s="46" t="s">
        <v>12</v>
      </c>
      <c r="H9" s="46"/>
      <c r="I9" s="58" t="str">
        <f>IF(Info!D12=""," ",Info!D12)</f>
        <v xml:space="preserve"> </v>
      </c>
      <c r="J9" s="58"/>
      <c r="K9" s="58"/>
      <c r="L9" s="58"/>
    </row>
    <row r="10" spans="1:12" s="5" customFormat="1" ht="23.65" ph="1" x14ac:dyDescent="0.4">
      <c r="A10" s="93" t="s">
        <v>8</v>
      </c>
      <c r="B10" s="93"/>
      <c r="C10" s="98" t="str">
        <f>IF(Info!D15=""," ",Info!D15)</f>
        <v xml:space="preserve"> </v>
      </c>
      <c r="D10" s="98"/>
      <c r="E10" s="98"/>
      <c r="F10" s="98"/>
      <c r="G10" s="46" t="s">
        <v>13</v>
      </c>
      <c r="H10" s="46"/>
      <c r="I10" s="58" t="str">
        <f>IF(Info!D13=""," ",Info!D13)</f>
        <v xml:space="preserve"> </v>
      </c>
      <c r="J10" s="58"/>
      <c r="K10" s="58"/>
      <c r="L10" s="58"/>
    </row>
    <row r="11" spans="1:12" s="5" customFormat="1" ht="13.9" x14ac:dyDescent="0.4">
      <c r="A11" s="93" t="s">
        <v>47</v>
      </c>
      <c r="B11" s="93"/>
      <c r="C11" s="96" t="str">
        <f>IF(Info!D19=""," ",Info!D19)</f>
        <v xml:space="preserve"> </v>
      </c>
      <c r="D11" s="96"/>
      <c r="E11" s="96"/>
      <c r="F11" s="96"/>
      <c r="G11" s="46" t="s">
        <v>14</v>
      </c>
      <c r="H11" s="46"/>
      <c r="I11" s="96" t="str">
        <f>IF(Info!D14=""," ",Info!D14)</f>
        <v xml:space="preserve"> </v>
      </c>
      <c r="J11" s="96"/>
      <c r="K11" s="96"/>
      <c r="L11" s="96"/>
    </row>
    <row r="12" spans="1:12" s="5" customFormat="1" ht="23.65" ph="1" x14ac:dyDescent="0.4">
      <c r="A12" s="93" t="s">
        <v>9</v>
      </c>
      <c r="B12" s="93"/>
      <c r="C12" s="8" t="str">
        <f>IF(Info!D18=""," ",Info!D18)</f>
        <v xml:space="preserve"> </v>
      </c>
      <c r="D12" s="91" t="s">
        <v>49</v>
      </c>
      <c r="E12" s="92"/>
      <c r="F12" s="92"/>
      <c r="G12" s="46" t="s">
        <v>15</v>
      </c>
      <c r="H12" s="46"/>
      <c r="I12" s="58" t="str">
        <f>IF(Info!D16=""," ",Info!D16)</f>
        <v xml:space="preserve"> </v>
      </c>
      <c r="J12" s="58"/>
      <c r="K12" s="58"/>
      <c r="L12" s="58"/>
    </row>
    <row r="13" spans="1:12" s="5" customFormat="1" ht="13.9" thickBot="1" x14ac:dyDescent="0.4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5.4" thickBot="1" x14ac:dyDescent="0.45">
      <c r="A14" s="94" t="s">
        <v>42</v>
      </c>
      <c r="B14" s="95"/>
      <c r="C14" s="95"/>
      <c r="D14" s="95"/>
      <c r="E14" s="95"/>
      <c r="F14" s="95"/>
      <c r="G14" s="95"/>
      <c r="H14" s="95"/>
      <c r="I14" s="86"/>
      <c r="J14" s="87"/>
      <c r="K14" s="87"/>
      <c r="L14" s="88"/>
    </row>
    <row r="15" spans="1:12" ht="14.25" thickBot="1" x14ac:dyDescent="0.45">
      <c r="A15" s="71" t="s">
        <v>16</v>
      </c>
      <c r="B15" s="89"/>
      <c r="C15" s="90" t="s">
        <v>43</v>
      </c>
      <c r="D15" s="72"/>
      <c r="E15" s="72"/>
      <c r="F15" s="72"/>
      <c r="G15" s="72"/>
      <c r="H15" s="72"/>
      <c r="I15" s="80"/>
      <c r="J15" s="81"/>
      <c r="K15" s="81"/>
      <c r="L15" s="82"/>
    </row>
    <row r="16" spans="1:12" ht="13.9" x14ac:dyDescent="0.4">
      <c r="A16" s="71" t="s">
        <v>17</v>
      </c>
      <c r="B16" s="89"/>
      <c r="C16" s="34" t="s">
        <v>60</v>
      </c>
      <c r="D16" s="34" t="s">
        <v>62</v>
      </c>
      <c r="E16" s="34" t="s">
        <v>56</v>
      </c>
      <c r="F16" s="34" t="s">
        <v>54</v>
      </c>
      <c r="G16" s="32" t="s">
        <v>58</v>
      </c>
      <c r="H16" s="35" t="s">
        <v>54</v>
      </c>
      <c r="I16" s="65" t="s">
        <v>20</v>
      </c>
      <c r="J16" s="66"/>
      <c r="K16" s="66"/>
      <c r="L16" s="67"/>
    </row>
    <row r="17" spans="1:12" ht="14.25" thickBot="1" x14ac:dyDescent="0.45">
      <c r="A17" s="26" t="s">
        <v>18</v>
      </c>
      <c r="B17" s="27" t="s">
        <v>19</v>
      </c>
      <c r="C17" s="4" t="s">
        <v>61</v>
      </c>
      <c r="D17" s="4" t="s">
        <v>63</v>
      </c>
      <c r="E17" s="4" t="s">
        <v>57</v>
      </c>
      <c r="F17" s="4" t="s">
        <v>55</v>
      </c>
      <c r="G17" s="10" t="s">
        <v>57</v>
      </c>
      <c r="H17" s="28" t="s">
        <v>55</v>
      </c>
      <c r="I17" s="65" t="s">
        <v>21</v>
      </c>
      <c r="J17" s="66"/>
      <c r="K17" s="66"/>
      <c r="L17" s="67"/>
    </row>
    <row r="18" spans="1:12" ht="13.9" x14ac:dyDescent="0.4">
      <c r="A18" s="22"/>
      <c r="B18" s="23"/>
      <c r="C18" s="24"/>
      <c r="D18" s="25"/>
      <c r="E18" s="25"/>
      <c r="F18" s="21" t="str">
        <f>IF(E18=""," ",IF(E18&lt;=Info!D18,"Pass","Fail"))</f>
        <v xml:space="preserve"> </v>
      </c>
      <c r="G18" s="20"/>
      <c r="H18" s="33" t="str">
        <f>IF(G18=""," ",IF(G18&lt;=Info!F18,"Pass","Fail"))</f>
        <v xml:space="preserve"> </v>
      </c>
      <c r="I18" s="83" t="s">
        <v>22</v>
      </c>
      <c r="J18" s="84"/>
      <c r="K18" s="84"/>
      <c r="L18" s="85"/>
    </row>
    <row r="19" spans="1:12" ht="13.9" x14ac:dyDescent="0.4">
      <c r="A19" s="14"/>
      <c r="B19" s="15"/>
      <c r="C19" s="18"/>
      <c r="D19" s="11"/>
      <c r="E19" s="11"/>
      <c r="F19" s="29" t="str">
        <f>IF(E19=""," ",IF(E19&lt;=Info!D19,"Pass","Fail"))</f>
        <v xml:space="preserve"> </v>
      </c>
      <c r="G19" s="30"/>
      <c r="H19" s="31" t="str">
        <f>IF(G19=""," ",IF(G19&lt;=Info!F19,"Pass","Fail"))</f>
        <v xml:space="preserve"> </v>
      </c>
      <c r="I19" s="83" t="s">
        <v>23</v>
      </c>
      <c r="J19" s="84"/>
      <c r="K19" s="84"/>
      <c r="L19" s="85"/>
    </row>
    <row r="20" spans="1:12" ht="13.9" x14ac:dyDescent="0.4">
      <c r="A20" s="14"/>
      <c r="B20" s="15"/>
      <c r="C20" s="18"/>
      <c r="D20" s="11"/>
      <c r="E20" s="11"/>
      <c r="F20" s="29" t="str">
        <f>IF(E20=""," ",IF(E20&lt;=Info!D20,"Pass","Fail"))</f>
        <v xml:space="preserve"> </v>
      </c>
      <c r="G20" s="30"/>
      <c r="H20" s="31" t="str">
        <f>IF(G20=""," ",IF(G20&lt;=Info!F20,"Pass","Fail"))</f>
        <v xml:space="preserve"> </v>
      </c>
      <c r="I20" s="65" t="s">
        <v>24</v>
      </c>
      <c r="J20" s="66"/>
      <c r="K20" s="66"/>
      <c r="L20" s="67"/>
    </row>
    <row r="21" spans="1:12" ht="14.25" thickBot="1" x14ac:dyDescent="0.45">
      <c r="A21" s="14"/>
      <c r="B21" s="15"/>
      <c r="C21" s="18"/>
      <c r="D21" s="11"/>
      <c r="E21" s="11"/>
      <c r="F21" s="29" t="str">
        <f>IF(E21=""," ",IF(E21&lt;=Info!D21,"Pass","Fail"))</f>
        <v xml:space="preserve"> </v>
      </c>
      <c r="G21" s="30"/>
      <c r="H21" s="31" t="str">
        <f>IF(G21=""," ",IF(G21&lt;=Info!F21,"Pass","Fail"))</f>
        <v xml:space="preserve"> </v>
      </c>
      <c r="I21" s="68"/>
      <c r="J21" s="69"/>
      <c r="K21" s="69"/>
      <c r="L21" s="70"/>
    </row>
    <row r="22" spans="1:12" ht="13.9" x14ac:dyDescent="0.4">
      <c r="A22" s="14"/>
      <c r="B22" s="15"/>
      <c r="C22" s="18"/>
      <c r="D22" s="11"/>
      <c r="E22" s="11"/>
      <c r="F22" s="29" t="str">
        <f>IF(E22=""," ",IF(E22&lt;=Info!D22,"Pass","Fail"))</f>
        <v xml:space="preserve"> </v>
      </c>
      <c r="G22" s="30"/>
      <c r="H22" s="31" t="str">
        <f>IF(G22=""," ",IF(G22&lt;=Info!F22,"Pass","Fail"))</f>
        <v xml:space="preserve"> </v>
      </c>
      <c r="I22" s="71"/>
      <c r="J22" s="72"/>
      <c r="K22" s="72"/>
      <c r="L22" s="73"/>
    </row>
    <row r="23" spans="1:12" ht="14.25" thickBot="1" x14ac:dyDescent="0.45">
      <c r="A23" s="14"/>
      <c r="B23" s="15"/>
      <c r="C23" s="18"/>
      <c r="D23" s="11"/>
      <c r="E23" s="11"/>
      <c r="F23" s="29" t="str">
        <f>IF(E23=""," ",IF(E23&lt;=Info!D23,"Pass","Fail"))</f>
        <v xml:space="preserve"> </v>
      </c>
      <c r="G23" s="30"/>
      <c r="H23" s="31" t="str">
        <f>IF(G23=""," ",IF(G23&lt;=Info!F23,"Pass","Fail"))</f>
        <v xml:space="preserve"> </v>
      </c>
      <c r="I23" s="65" t="s">
        <v>32</v>
      </c>
      <c r="J23" s="66"/>
      <c r="K23" s="66"/>
      <c r="L23" s="67"/>
    </row>
    <row r="24" spans="1:12" ht="13.9" customHeight="1" x14ac:dyDescent="0.4">
      <c r="A24" s="14"/>
      <c r="B24" s="15"/>
      <c r="C24" s="18"/>
      <c r="D24" s="11"/>
      <c r="E24" s="11"/>
      <c r="F24" s="29" t="str">
        <f>IF(E24=""," ",IF(E24&lt;=Info!D24,"Pass","Fail"))</f>
        <v xml:space="preserve"> </v>
      </c>
      <c r="G24" s="30"/>
      <c r="H24" s="31" t="str">
        <f>IF(G24=""," ",IF(G24&lt;=Info!F24,"Pass","Fail"))</f>
        <v xml:space="preserve"> </v>
      </c>
      <c r="I24" s="74" t="str">
        <f>IF(A18=""," ",IF(F56=0,"Do Meet","Do Not Meet"))</f>
        <v xml:space="preserve"> </v>
      </c>
      <c r="J24" s="75"/>
      <c r="K24" s="75"/>
      <c r="L24" s="76"/>
    </row>
    <row r="25" spans="1:12" ht="13.9" customHeight="1" thickBot="1" x14ac:dyDescent="0.45">
      <c r="A25" s="14"/>
      <c r="B25" s="15"/>
      <c r="C25" s="18"/>
      <c r="D25" s="11"/>
      <c r="E25" s="11"/>
      <c r="F25" s="29" t="str">
        <f>IF(E25=""," ",IF(E25&lt;=Info!D25,"Pass","Fail"))</f>
        <v xml:space="preserve"> </v>
      </c>
      <c r="G25" s="30"/>
      <c r="H25" s="31" t="str">
        <f>IF(G25=""," ",IF(G25&lt;=Info!F25,"Pass","Fail"))</f>
        <v xml:space="preserve"> </v>
      </c>
      <c r="I25" s="77"/>
      <c r="J25" s="78"/>
      <c r="K25" s="78"/>
      <c r="L25" s="79"/>
    </row>
    <row r="26" spans="1:12" ht="13.9" x14ac:dyDescent="0.4">
      <c r="A26" s="14"/>
      <c r="B26" s="15"/>
      <c r="C26" s="18"/>
      <c r="D26" s="11"/>
      <c r="E26" s="11"/>
      <c r="F26" s="29" t="str">
        <f>IF(E26=""," ",IF(E26&lt;=Info!D26,"Pass","Fail"))</f>
        <v xml:space="preserve"> </v>
      </c>
      <c r="G26" s="30"/>
      <c r="H26" s="31" t="str">
        <f>IF(G26=""," ",IF(G26&lt;=Info!F26,"Pass","Fail"))</f>
        <v xml:space="preserve"> </v>
      </c>
      <c r="I26" s="65" t="s">
        <v>25</v>
      </c>
      <c r="J26" s="66"/>
      <c r="K26" s="66"/>
      <c r="L26" s="67"/>
    </row>
    <row r="27" spans="1:12" ht="14.25" thickBot="1" x14ac:dyDescent="0.45">
      <c r="A27" s="14"/>
      <c r="B27" s="15"/>
      <c r="C27" s="18"/>
      <c r="D27" s="11"/>
      <c r="E27" s="11"/>
      <c r="F27" s="29" t="str">
        <f>IF(E27=""," ",IF(E27&lt;=Info!D27,"Pass","Fail"))</f>
        <v xml:space="preserve"> </v>
      </c>
      <c r="G27" s="30"/>
      <c r="H27" s="31" t="str">
        <f>IF(G27=""," ",IF(G27&lt;=Info!F27,"Pass","Fail"))</f>
        <v xml:space="preserve"> </v>
      </c>
      <c r="I27" s="65" t="s">
        <v>45</v>
      </c>
      <c r="J27" s="66"/>
      <c r="K27" s="66"/>
      <c r="L27" s="67"/>
    </row>
    <row r="28" spans="1:12" ht="13.9" x14ac:dyDescent="0.4">
      <c r="A28" s="14"/>
      <c r="B28" s="15"/>
      <c r="C28" s="18"/>
      <c r="D28" s="11"/>
      <c r="E28" s="11"/>
      <c r="F28" s="29" t="str">
        <f>IF(E28=""," ",IF(E28&lt;=Info!D28,"Pass","Fail"))</f>
        <v xml:space="preserve"> </v>
      </c>
      <c r="G28" s="30"/>
      <c r="H28" s="31" t="str">
        <f>IF(G28=""," ",IF(G28&lt;=Info!F28,"Pass","Fail"))</f>
        <v xml:space="preserve"> </v>
      </c>
      <c r="I28" s="80"/>
      <c r="J28" s="81"/>
      <c r="K28" s="81"/>
      <c r="L28" s="82"/>
    </row>
    <row r="29" spans="1:12" ht="13.9" x14ac:dyDescent="0.4">
      <c r="A29" s="14"/>
      <c r="B29" s="15"/>
      <c r="C29" s="18"/>
      <c r="D29" s="11"/>
      <c r="E29" s="11"/>
      <c r="F29" s="29" t="str">
        <f>IF(E29=""," ",IF(E29&lt;=Info!D29,"Pass","Fail"))</f>
        <v xml:space="preserve"> </v>
      </c>
      <c r="G29" s="30"/>
      <c r="H29" s="31" t="str">
        <f>IF(G29=""," ",IF(G29&lt;=Info!F29,"Pass","Fail"))</f>
        <v xml:space="preserve"> </v>
      </c>
      <c r="I29" s="65" t="s">
        <v>26</v>
      </c>
      <c r="J29" s="66"/>
      <c r="K29" s="66"/>
      <c r="L29" s="67"/>
    </row>
    <row r="30" spans="1:12" ht="14.25" thickBot="1" x14ac:dyDescent="0.45">
      <c r="A30" s="14"/>
      <c r="B30" s="15"/>
      <c r="C30" s="18"/>
      <c r="D30" s="11"/>
      <c r="E30" s="11"/>
      <c r="F30" s="29" t="str">
        <f>IF(E30=""," ",IF(E30&lt;=Info!D30,"Pass","Fail"))</f>
        <v xml:space="preserve"> </v>
      </c>
      <c r="G30" s="30"/>
      <c r="H30" s="31" t="str">
        <f>IF(G30=""," ",IF(G30&lt;=Info!F30,"Pass","Fail"))</f>
        <v xml:space="preserve"> </v>
      </c>
      <c r="I30" s="68"/>
      <c r="J30" s="69"/>
      <c r="K30" s="69"/>
      <c r="L30" s="70"/>
    </row>
    <row r="31" spans="1:12" ht="13.9" x14ac:dyDescent="0.4">
      <c r="A31" s="14"/>
      <c r="B31" s="15"/>
      <c r="C31" s="18"/>
      <c r="D31" s="11"/>
      <c r="E31" s="11"/>
      <c r="F31" s="29" t="str">
        <f>IF(E31=""," ",IF(E31&lt;=Info!D31,"Pass","Fail"))</f>
        <v xml:space="preserve"> </v>
      </c>
      <c r="G31" s="30"/>
      <c r="H31" s="31" t="str">
        <f>IF(G31=""," ",IF(G31&lt;=Info!F31,"Pass","Fail"))</f>
        <v xml:space="preserve"> </v>
      </c>
      <c r="I31" s="59"/>
      <c r="J31" s="60"/>
      <c r="K31" s="60"/>
      <c r="L31" s="61"/>
    </row>
    <row r="32" spans="1:12" ht="13.9" x14ac:dyDescent="0.4">
      <c r="A32" s="14"/>
      <c r="B32" s="15"/>
      <c r="C32" s="18"/>
      <c r="D32" s="11"/>
      <c r="E32" s="11"/>
      <c r="F32" s="29" t="str">
        <f>IF(E32=""," ",IF(E32&lt;=Info!D32,"Pass","Fail"))</f>
        <v xml:space="preserve"> </v>
      </c>
      <c r="G32" s="30"/>
      <c r="H32" s="31" t="str">
        <f>IF(G32=""," ",IF(G32&lt;=Info!F32,"Pass","Fail"))</f>
        <v xml:space="preserve"> </v>
      </c>
      <c r="I32" s="59"/>
      <c r="J32" s="60"/>
      <c r="K32" s="60"/>
      <c r="L32" s="61"/>
    </row>
    <row r="33" spans="1:12" ht="13.9" x14ac:dyDescent="0.4">
      <c r="A33" s="14"/>
      <c r="B33" s="15"/>
      <c r="C33" s="18"/>
      <c r="D33" s="11"/>
      <c r="E33" s="11"/>
      <c r="F33" s="29" t="str">
        <f>IF(E33=""," ",IF(E33&lt;=Info!D33,"Pass","Fail"))</f>
        <v xml:space="preserve"> </v>
      </c>
      <c r="G33" s="30"/>
      <c r="H33" s="31" t="str">
        <f>IF(G33=""," ",IF(G33&lt;=Info!F33,"Pass","Fail"))</f>
        <v xml:space="preserve"> </v>
      </c>
      <c r="I33" s="59"/>
      <c r="J33" s="60"/>
      <c r="K33" s="60"/>
      <c r="L33" s="61"/>
    </row>
    <row r="34" spans="1:12" ht="13.9" x14ac:dyDescent="0.4">
      <c r="A34" s="14"/>
      <c r="B34" s="15"/>
      <c r="C34" s="18"/>
      <c r="D34" s="11"/>
      <c r="E34" s="11"/>
      <c r="F34" s="29" t="str">
        <f>IF(E34=""," ",IF(E34&lt;=Info!D34,"Pass","Fail"))</f>
        <v xml:space="preserve"> </v>
      </c>
      <c r="G34" s="30"/>
      <c r="H34" s="31" t="str">
        <f>IF(G34=""," ",IF(G34&lt;=Info!F34,"Pass","Fail"))</f>
        <v xml:space="preserve"> </v>
      </c>
      <c r="I34" s="59"/>
      <c r="J34" s="60"/>
      <c r="K34" s="60"/>
      <c r="L34" s="61"/>
    </row>
    <row r="35" spans="1:12" ht="13.9" x14ac:dyDescent="0.4">
      <c r="A35" s="14"/>
      <c r="B35" s="15"/>
      <c r="C35" s="18"/>
      <c r="D35" s="11"/>
      <c r="E35" s="11"/>
      <c r="F35" s="29" t="str">
        <f>IF(E35=""," ",IF(E35&lt;=Info!D35,"Pass","Fail"))</f>
        <v xml:space="preserve"> </v>
      </c>
      <c r="G35" s="30"/>
      <c r="H35" s="31" t="str">
        <f>IF(G35=""," ",IF(G35&lt;=Info!F35,"Pass","Fail"))</f>
        <v xml:space="preserve"> </v>
      </c>
      <c r="I35" s="59"/>
      <c r="J35" s="60"/>
      <c r="K35" s="60"/>
      <c r="L35" s="61"/>
    </row>
    <row r="36" spans="1:12" ht="13.9" x14ac:dyDescent="0.4">
      <c r="A36" s="14"/>
      <c r="B36" s="15"/>
      <c r="C36" s="18"/>
      <c r="D36" s="11"/>
      <c r="E36" s="11"/>
      <c r="F36" s="29" t="str">
        <f>IF(E36=""," ",IF(E36&lt;=Info!D36,"Pass","Fail"))</f>
        <v xml:space="preserve"> </v>
      </c>
      <c r="G36" s="30"/>
      <c r="H36" s="31" t="str">
        <f>IF(G36=""," ",IF(G36&lt;=Info!F36,"Pass","Fail"))</f>
        <v xml:space="preserve"> </v>
      </c>
      <c r="I36" s="59"/>
      <c r="J36" s="60"/>
      <c r="K36" s="60"/>
      <c r="L36" s="61"/>
    </row>
    <row r="37" spans="1:12" ht="13.9" x14ac:dyDescent="0.4">
      <c r="A37" s="14"/>
      <c r="B37" s="15"/>
      <c r="C37" s="18"/>
      <c r="D37" s="11"/>
      <c r="E37" s="11"/>
      <c r="F37" s="29" t="str">
        <f>IF(E37=""," ",IF(E37&lt;=Info!D37,"Pass","Fail"))</f>
        <v xml:space="preserve"> </v>
      </c>
      <c r="G37" s="30"/>
      <c r="H37" s="31" t="str">
        <f>IF(G37=""," ",IF(G37&lt;=Info!F37,"Pass","Fail"))</f>
        <v xml:space="preserve"> </v>
      </c>
      <c r="I37" s="59"/>
      <c r="J37" s="60"/>
      <c r="K37" s="60"/>
      <c r="L37" s="61"/>
    </row>
    <row r="38" spans="1:12" ht="13.9" x14ac:dyDescent="0.4">
      <c r="A38" s="14"/>
      <c r="B38" s="15"/>
      <c r="C38" s="18"/>
      <c r="D38" s="11"/>
      <c r="E38" s="11"/>
      <c r="F38" s="29" t="str">
        <f>IF(E38=""," ",IF(E38&lt;=Info!D38,"Pass","Fail"))</f>
        <v xml:space="preserve"> </v>
      </c>
      <c r="G38" s="30"/>
      <c r="H38" s="31" t="str">
        <f>IF(G38=""," ",IF(G38&lt;=Info!F38,"Pass","Fail"))</f>
        <v xml:space="preserve"> </v>
      </c>
      <c r="I38" s="59"/>
      <c r="J38" s="60"/>
      <c r="K38" s="60"/>
      <c r="L38" s="61"/>
    </row>
    <row r="39" spans="1:12" ht="13.9" x14ac:dyDescent="0.4">
      <c r="A39" s="14"/>
      <c r="B39" s="15"/>
      <c r="C39" s="18"/>
      <c r="D39" s="11"/>
      <c r="E39" s="11"/>
      <c r="F39" s="29" t="str">
        <f>IF(E39=""," ",IF(E39&lt;=Info!D39,"Pass","Fail"))</f>
        <v xml:space="preserve"> </v>
      </c>
      <c r="G39" s="30"/>
      <c r="H39" s="31" t="str">
        <f>IF(G39=""," ",IF(G39&lt;=Info!F39,"Pass","Fail"))</f>
        <v xml:space="preserve"> </v>
      </c>
      <c r="I39" s="59"/>
      <c r="J39" s="60"/>
      <c r="K39" s="60"/>
      <c r="L39" s="61"/>
    </row>
    <row r="40" spans="1:12" ht="13.9" x14ac:dyDescent="0.4">
      <c r="A40" s="14"/>
      <c r="B40" s="15"/>
      <c r="C40" s="18"/>
      <c r="D40" s="11"/>
      <c r="E40" s="11"/>
      <c r="F40" s="29" t="str">
        <f>IF(E40=""," ",IF(E40&lt;=Info!D40,"Pass","Fail"))</f>
        <v xml:space="preserve"> </v>
      </c>
      <c r="G40" s="30"/>
      <c r="H40" s="31" t="str">
        <f>IF(G40=""," ",IF(G40&lt;=Info!F40,"Pass","Fail"))</f>
        <v xml:space="preserve"> </v>
      </c>
      <c r="I40" s="59"/>
      <c r="J40" s="60"/>
      <c r="K40" s="60"/>
      <c r="L40" s="61"/>
    </row>
    <row r="41" spans="1:12" ht="13.9" x14ac:dyDescent="0.4">
      <c r="A41" s="14"/>
      <c r="B41" s="15"/>
      <c r="C41" s="18"/>
      <c r="D41" s="11"/>
      <c r="E41" s="11"/>
      <c r="F41" s="29" t="str">
        <f>IF(E41=""," ",IF(E41&lt;=Info!D41,"Pass","Fail"))</f>
        <v xml:space="preserve"> </v>
      </c>
      <c r="G41" s="30"/>
      <c r="H41" s="31" t="str">
        <f>IF(G41=""," ",IF(G41&lt;=Info!F41,"Pass","Fail"))</f>
        <v xml:space="preserve"> </v>
      </c>
      <c r="I41" s="59"/>
      <c r="J41" s="60"/>
      <c r="K41" s="60"/>
      <c r="L41" s="61"/>
    </row>
    <row r="42" spans="1:12" ht="13.9" x14ac:dyDescent="0.4">
      <c r="A42" s="14"/>
      <c r="B42" s="15"/>
      <c r="C42" s="18"/>
      <c r="D42" s="11"/>
      <c r="E42" s="11"/>
      <c r="F42" s="29" t="str">
        <f>IF(E42=""," ",IF(E42&lt;=Info!D42,"Pass","Fail"))</f>
        <v xml:space="preserve"> </v>
      </c>
      <c r="G42" s="30"/>
      <c r="H42" s="31" t="str">
        <f>IF(G42=""," ",IF(G42&lt;=Info!F42,"Pass","Fail"))</f>
        <v xml:space="preserve"> </v>
      </c>
      <c r="I42" s="59"/>
      <c r="J42" s="60"/>
      <c r="K42" s="60"/>
      <c r="L42" s="61"/>
    </row>
    <row r="43" spans="1:12" ht="13.9" x14ac:dyDescent="0.4">
      <c r="A43" s="14"/>
      <c r="B43" s="15"/>
      <c r="C43" s="18"/>
      <c r="D43" s="11"/>
      <c r="E43" s="11"/>
      <c r="F43" s="29" t="str">
        <f>IF(E43=""," ",IF(E43&lt;=Info!D43,"Pass","Fail"))</f>
        <v xml:space="preserve"> </v>
      </c>
      <c r="G43" s="30"/>
      <c r="H43" s="31" t="str">
        <f>IF(G43=""," ",IF(G43&lt;=Info!F43,"Pass","Fail"))</f>
        <v xml:space="preserve"> </v>
      </c>
      <c r="I43" s="59"/>
      <c r="J43" s="60"/>
      <c r="K43" s="60"/>
      <c r="L43" s="61"/>
    </row>
    <row r="44" spans="1:12" ht="13.9" x14ac:dyDescent="0.4">
      <c r="A44" s="14"/>
      <c r="B44" s="15"/>
      <c r="C44" s="18"/>
      <c r="D44" s="11"/>
      <c r="E44" s="11"/>
      <c r="F44" s="29" t="str">
        <f>IF(E44=""," ",IF(E44&lt;=Info!D44,"Pass","Fail"))</f>
        <v xml:space="preserve"> </v>
      </c>
      <c r="G44" s="30"/>
      <c r="H44" s="31" t="str">
        <f>IF(G44=""," ",IF(G44&lt;=Info!F44,"Pass","Fail"))</f>
        <v xml:space="preserve"> </v>
      </c>
      <c r="I44" s="59"/>
      <c r="J44" s="60"/>
      <c r="K44" s="60"/>
      <c r="L44" s="61"/>
    </row>
    <row r="45" spans="1:12" ht="13.9" x14ac:dyDescent="0.4">
      <c r="A45" s="14"/>
      <c r="B45" s="15"/>
      <c r="C45" s="18"/>
      <c r="D45" s="11"/>
      <c r="E45" s="11"/>
      <c r="F45" s="29" t="str">
        <f>IF(E45=""," ",IF(E45&lt;=Info!D45,"Pass","Fail"))</f>
        <v xml:space="preserve"> </v>
      </c>
      <c r="G45" s="30"/>
      <c r="H45" s="31" t="str">
        <f>IF(G45=""," ",IF(G45&lt;=Info!F45,"Pass","Fail"))</f>
        <v xml:space="preserve"> </v>
      </c>
      <c r="I45" s="59"/>
      <c r="J45" s="60"/>
      <c r="K45" s="60"/>
      <c r="L45" s="61"/>
    </row>
    <row r="46" spans="1:12" ht="13.9" x14ac:dyDescent="0.4">
      <c r="A46" s="14"/>
      <c r="B46" s="15"/>
      <c r="C46" s="18"/>
      <c r="D46" s="11"/>
      <c r="E46" s="11"/>
      <c r="F46" s="29" t="str">
        <f>IF(E46=""," ",IF(E46&lt;=Info!D46,"Pass","Fail"))</f>
        <v xml:space="preserve"> </v>
      </c>
      <c r="G46" s="30"/>
      <c r="H46" s="31" t="str">
        <f>IF(G46=""," ",IF(G46&lt;=Info!F46,"Pass","Fail"))</f>
        <v xml:space="preserve"> </v>
      </c>
      <c r="I46" s="43"/>
      <c r="J46" s="44"/>
      <c r="K46" s="44"/>
      <c r="L46" s="45"/>
    </row>
    <row r="47" spans="1:12" ht="13.9" x14ac:dyDescent="0.4">
      <c r="A47" s="14"/>
      <c r="B47" s="15"/>
      <c r="C47" s="18"/>
      <c r="D47" s="11"/>
      <c r="E47" s="11"/>
      <c r="F47" s="29" t="str">
        <f>IF(E47=""," ",IF(E47&lt;=Info!D47,"Pass","Fail"))</f>
        <v xml:space="preserve"> </v>
      </c>
      <c r="G47" s="30"/>
      <c r="H47" s="31" t="str">
        <f>IF(G47=""," ",IF(G47&lt;=Info!F47,"Pass","Fail"))</f>
        <v xml:space="preserve"> </v>
      </c>
      <c r="I47" s="43"/>
      <c r="J47" s="44"/>
      <c r="K47" s="44"/>
      <c r="L47" s="45"/>
    </row>
    <row r="48" spans="1:12" ht="13.9" x14ac:dyDescent="0.4">
      <c r="A48" s="14"/>
      <c r="B48" s="15"/>
      <c r="C48" s="18"/>
      <c r="D48" s="11"/>
      <c r="E48" s="11"/>
      <c r="F48" s="29" t="str">
        <f>IF(E48=""," ",IF(E48&lt;=Info!D48,"Pass","Fail"))</f>
        <v xml:space="preserve"> </v>
      </c>
      <c r="G48" s="30"/>
      <c r="H48" s="31" t="str">
        <f>IF(G48=""," ",IF(G48&lt;=Info!F48,"Pass","Fail"))</f>
        <v xml:space="preserve"> </v>
      </c>
      <c r="I48" s="43"/>
      <c r="J48" s="44"/>
      <c r="K48" s="44"/>
      <c r="L48" s="45"/>
    </row>
    <row r="49" spans="1:12" ht="13.9" x14ac:dyDescent="0.4">
      <c r="A49" s="14"/>
      <c r="B49" s="15"/>
      <c r="C49" s="18"/>
      <c r="D49" s="11"/>
      <c r="E49" s="11"/>
      <c r="F49" s="29" t="str">
        <f>IF(E49=""," ",IF(E49&lt;=Info!D49,"Pass","Fail"))</f>
        <v xml:space="preserve"> </v>
      </c>
      <c r="G49" s="30"/>
      <c r="H49" s="31" t="str">
        <f>IF(G49=""," ",IF(G49&lt;=Info!F49,"Pass","Fail"))</f>
        <v xml:space="preserve"> </v>
      </c>
      <c r="I49" s="43"/>
      <c r="J49" s="44"/>
      <c r="K49" s="44"/>
      <c r="L49" s="45"/>
    </row>
    <row r="50" spans="1:12" ht="13.9" x14ac:dyDescent="0.4">
      <c r="A50" s="14"/>
      <c r="B50" s="15"/>
      <c r="C50" s="18"/>
      <c r="D50" s="11"/>
      <c r="E50" s="11"/>
      <c r="F50" s="29" t="str">
        <f>IF(E50=""," ",IF(E50&lt;=Info!D50,"Pass","Fail"))</f>
        <v xml:space="preserve"> </v>
      </c>
      <c r="G50" s="30"/>
      <c r="H50" s="31" t="str">
        <f>IF(G50=""," ",IF(G50&lt;=Info!F50,"Pass","Fail"))</f>
        <v xml:space="preserve"> </v>
      </c>
      <c r="I50" s="43"/>
      <c r="J50" s="44"/>
      <c r="K50" s="44"/>
      <c r="L50" s="45"/>
    </row>
    <row r="51" spans="1:12" ht="13.9" x14ac:dyDescent="0.4">
      <c r="A51" s="14"/>
      <c r="B51" s="15"/>
      <c r="C51" s="18"/>
      <c r="D51" s="11"/>
      <c r="E51" s="11"/>
      <c r="F51" s="29" t="str">
        <f>IF(E51=""," ",IF(E51&lt;=Info!D51,"Pass","Fail"))</f>
        <v xml:space="preserve"> </v>
      </c>
      <c r="G51" s="30"/>
      <c r="H51" s="31" t="str">
        <f>IF(G51=""," ",IF(G51&lt;=Info!F51,"Pass","Fail"))</f>
        <v xml:space="preserve"> </v>
      </c>
      <c r="I51" s="43"/>
      <c r="J51" s="44"/>
      <c r="K51" s="44"/>
      <c r="L51" s="45"/>
    </row>
    <row r="52" spans="1:12" ht="13.9" x14ac:dyDescent="0.4">
      <c r="A52" s="14"/>
      <c r="B52" s="15"/>
      <c r="C52" s="18"/>
      <c r="D52" s="11"/>
      <c r="E52" s="11"/>
      <c r="F52" s="29" t="str">
        <f>IF(E52=""," ",IF(E52&lt;=Info!D52,"Pass","Fail"))</f>
        <v xml:space="preserve"> </v>
      </c>
      <c r="G52" s="30"/>
      <c r="H52" s="31" t="str">
        <f>IF(G52=""," ",IF(G52&lt;=Info!F52,"Pass","Fail"))</f>
        <v xml:space="preserve"> </v>
      </c>
      <c r="I52" s="43"/>
      <c r="J52" s="44"/>
      <c r="K52" s="44"/>
      <c r="L52" s="45"/>
    </row>
    <row r="53" spans="1:12" ht="13.9" x14ac:dyDescent="0.4">
      <c r="A53" s="14"/>
      <c r="B53" s="15"/>
      <c r="C53" s="18"/>
      <c r="D53" s="11"/>
      <c r="E53" s="11"/>
      <c r="F53" s="29" t="str">
        <f>IF(E53=""," ",IF(E53&lt;=Info!D53,"Pass","Fail"))</f>
        <v xml:space="preserve"> </v>
      </c>
      <c r="G53" s="30"/>
      <c r="H53" s="31" t="str">
        <f>IF(G53=""," ",IF(G53&lt;=Info!F53,"Pass","Fail"))</f>
        <v xml:space="preserve"> </v>
      </c>
      <c r="I53" s="59"/>
      <c r="J53" s="60"/>
      <c r="K53" s="60"/>
      <c r="L53" s="61"/>
    </row>
    <row r="54" spans="1:12" ht="14.25" thickBot="1" x14ac:dyDescent="0.45">
      <c r="A54" s="16"/>
      <c r="B54" s="17"/>
      <c r="C54" s="19"/>
      <c r="D54" s="12"/>
      <c r="E54" s="12"/>
      <c r="F54" s="29" t="str">
        <f>IF(E54=""," ",IF(E54&lt;=Info!D54,"Pass","Fail"))</f>
        <v xml:space="preserve"> </v>
      </c>
      <c r="G54" s="30"/>
      <c r="H54" s="31" t="str">
        <f>IF(G54=""," ",IF(G54&lt;=Info!F54,"Pass","Fail"))</f>
        <v xml:space="preserve"> </v>
      </c>
      <c r="I54" s="62"/>
      <c r="J54" s="63"/>
      <c r="K54" s="63"/>
      <c r="L54" s="64"/>
    </row>
    <row r="55" spans="1:12" ht="14.25" thickBot="1" x14ac:dyDescent="0.45">
      <c r="A55" s="48" t="s">
        <v>44</v>
      </c>
      <c r="B55" s="49"/>
      <c r="C55" s="49"/>
      <c r="D55" s="49"/>
      <c r="E55" s="49"/>
      <c r="F55" s="50"/>
      <c r="G55" s="50"/>
      <c r="H55" s="50"/>
      <c r="I55" s="49"/>
      <c r="J55" s="49"/>
      <c r="K55" s="49"/>
      <c r="L55" s="51"/>
    </row>
    <row r="56" spans="1:12" ht="14.25" thickBot="1" x14ac:dyDescent="0.45">
      <c r="A56" s="52" t="s">
        <v>53</v>
      </c>
      <c r="B56" s="53"/>
      <c r="C56" s="53"/>
      <c r="D56" s="53"/>
      <c r="E56" s="54"/>
      <c r="F56" s="13">
        <f>COUNTIF(F18:F54:H18:H54,"Fail")</f>
        <v>0</v>
      </c>
      <c r="G56" s="9"/>
      <c r="H56" s="9"/>
      <c r="I56" s="9"/>
      <c r="J56" s="9"/>
      <c r="K56" s="9"/>
      <c r="L56" s="9"/>
    </row>
    <row r="57" spans="1:12" ht="13.9" x14ac:dyDescent="0.4">
      <c r="A57" s="46" t="s">
        <v>27</v>
      </c>
      <c r="B57" s="46"/>
      <c r="C57" s="46"/>
      <c r="D57" s="56" t="s">
        <v>51</v>
      </c>
      <c r="E57" s="56"/>
      <c r="F57" s="56"/>
      <c r="G57" s="55"/>
      <c r="H57" s="55"/>
      <c r="I57" s="55"/>
      <c r="J57" s="55"/>
      <c r="K57" s="55"/>
      <c r="L57" s="55"/>
    </row>
    <row r="58" spans="1:12" ht="13.9" x14ac:dyDescent="0.4">
      <c r="A58" s="46" t="s">
        <v>50</v>
      </c>
      <c r="B58" s="46"/>
      <c r="C58" s="46"/>
      <c r="D58" s="57"/>
      <c r="E58" s="57"/>
      <c r="F58" s="57"/>
      <c r="G58" s="46" t="s">
        <v>30</v>
      </c>
      <c r="H58" s="46"/>
      <c r="I58" s="46"/>
      <c r="J58" s="47"/>
      <c r="K58" s="47"/>
      <c r="L58" s="47"/>
    </row>
    <row r="59" spans="1:12" ht="13.9" x14ac:dyDescent="0.4">
      <c r="A59" s="46" t="s">
        <v>28</v>
      </c>
      <c r="B59" s="46"/>
      <c r="C59" s="46"/>
      <c r="D59" s="47"/>
      <c r="E59" s="47"/>
      <c r="F59" s="47"/>
      <c r="G59" s="46"/>
      <c r="H59" s="46"/>
      <c r="I59" s="46"/>
      <c r="J59" s="46"/>
      <c r="K59" s="46"/>
      <c r="L59" s="46"/>
    </row>
    <row r="60" spans="1:12" ht="13.9" x14ac:dyDescent="0.4">
      <c r="A60" s="46" t="s">
        <v>29</v>
      </c>
      <c r="B60" s="46"/>
      <c r="C60" s="46"/>
      <c r="D60" s="58" t="str">
        <f>IF(Info!D9=""," ",Info!D9)</f>
        <v xml:space="preserve"> </v>
      </c>
      <c r="E60" s="58"/>
      <c r="F60" s="58"/>
      <c r="G60" s="46" t="s">
        <v>31</v>
      </c>
      <c r="H60" s="46"/>
      <c r="I60" s="46"/>
      <c r="J60" s="47"/>
      <c r="K60" s="47"/>
      <c r="L60" s="47"/>
    </row>
    <row r="61" spans="1:12" ht="13.9" x14ac:dyDescent="0.4">
      <c r="A61" s="9"/>
      <c r="B61" s="9"/>
      <c r="C61" s="9"/>
      <c r="D61" s="9"/>
      <c r="E61" s="9"/>
      <c r="F61" s="9"/>
      <c r="G61" s="9"/>
      <c r="H61" s="9"/>
      <c r="I61" s="99" t="s">
        <v>66</v>
      </c>
      <c r="J61" s="99"/>
      <c r="K61" s="99"/>
      <c r="L61" s="99"/>
    </row>
  </sheetData>
  <sheetProtection password="96B1" sheet="1" objects="1" scenarios="1"/>
  <mergeCells count="100">
    <mergeCell ref="I61:L61"/>
    <mergeCell ref="D5:I5"/>
    <mergeCell ref="A5:C5"/>
    <mergeCell ref="A6:L6"/>
    <mergeCell ref="J5:L5"/>
    <mergeCell ref="A7:B7"/>
    <mergeCell ref="I27:L27"/>
    <mergeCell ref="C7:F7"/>
    <mergeCell ref="G7:H7"/>
    <mergeCell ref="I7:L7"/>
    <mergeCell ref="A1:L1"/>
    <mergeCell ref="A3:B3"/>
    <mergeCell ref="A4:B4"/>
    <mergeCell ref="K3:L3"/>
    <mergeCell ref="K4:L4"/>
    <mergeCell ref="D2:I2"/>
    <mergeCell ref="D3:I3"/>
    <mergeCell ref="D4:I4"/>
    <mergeCell ref="A2:C2"/>
    <mergeCell ref="J2:L2"/>
    <mergeCell ref="A11:B11"/>
    <mergeCell ref="C11:F11"/>
    <mergeCell ref="I8:L8"/>
    <mergeCell ref="I9:L9"/>
    <mergeCell ref="I10:L10"/>
    <mergeCell ref="G11:H11"/>
    <mergeCell ref="I11:L11"/>
    <mergeCell ref="A8:B8"/>
    <mergeCell ref="A9:B9"/>
    <mergeCell ref="A10:B10"/>
    <mergeCell ref="C10:F10"/>
    <mergeCell ref="G10:H10"/>
    <mergeCell ref="I14:L14"/>
    <mergeCell ref="I12:L12"/>
    <mergeCell ref="G8:H8"/>
    <mergeCell ref="G9:H9"/>
    <mergeCell ref="C8:F8"/>
    <mergeCell ref="C9:F9"/>
    <mergeCell ref="A16:B16"/>
    <mergeCell ref="A15:B15"/>
    <mergeCell ref="C15:H15"/>
    <mergeCell ref="D12:F12"/>
    <mergeCell ref="G12:H12"/>
    <mergeCell ref="A12:B12"/>
    <mergeCell ref="A14:H14"/>
    <mergeCell ref="A13:L13"/>
    <mergeCell ref="I19:L19"/>
    <mergeCell ref="I20:L20"/>
    <mergeCell ref="I15:L15"/>
    <mergeCell ref="I21:L21"/>
    <mergeCell ref="I16:L16"/>
    <mergeCell ref="I17:L17"/>
    <mergeCell ref="I18:L18"/>
    <mergeCell ref="I34:L34"/>
    <mergeCell ref="I35:L35"/>
    <mergeCell ref="I36:L36"/>
    <mergeCell ref="I22:L22"/>
    <mergeCell ref="I23:L23"/>
    <mergeCell ref="I24:L25"/>
    <mergeCell ref="I26:L26"/>
    <mergeCell ref="D59:F59"/>
    <mergeCell ref="D60:F60"/>
    <mergeCell ref="A58:C58"/>
    <mergeCell ref="I28:L28"/>
    <mergeCell ref="I29:L29"/>
    <mergeCell ref="I30:L30"/>
    <mergeCell ref="A55:L55"/>
    <mergeCell ref="I31:L31"/>
    <mergeCell ref="I32:L32"/>
    <mergeCell ref="I33:L33"/>
    <mergeCell ref="I50:L50"/>
    <mergeCell ref="I45:L45"/>
    <mergeCell ref="I37:L37"/>
    <mergeCell ref="I38:L38"/>
    <mergeCell ref="I39:L39"/>
    <mergeCell ref="I40:L40"/>
    <mergeCell ref="I41:L41"/>
    <mergeCell ref="I42:L42"/>
    <mergeCell ref="I43:L43"/>
    <mergeCell ref="I44:L44"/>
    <mergeCell ref="I46:L46"/>
    <mergeCell ref="G58:I58"/>
    <mergeCell ref="J58:L58"/>
    <mergeCell ref="I48:L48"/>
    <mergeCell ref="I49:L49"/>
    <mergeCell ref="I47:L47"/>
    <mergeCell ref="I53:L53"/>
    <mergeCell ref="I52:L52"/>
    <mergeCell ref="I54:L54"/>
    <mergeCell ref="I51:L51"/>
    <mergeCell ref="A56:E56"/>
    <mergeCell ref="A57:C57"/>
    <mergeCell ref="D57:F57"/>
    <mergeCell ref="G57:L57"/>
    <mergeCell ref="G60:I60"/>
    <mergeCell ref="J60:L60"/>
    <mergeCell ref="G59:L59"/>
    <mergeCell ref="A59:C59"/>
    <mergeCell ref="A60:C60"/>
    <mergeCell ref="D58:F58"/>
  </mergeCells>
  <phoneticPr fontId="7" type="noConversion"/>
  <printOptions horizontalCentered="1" verticalCentered="1"/>
  <pageMargins left="0" right="0" top="0" bottom="0" header="0" footer="0"/>
  <pageSetup scale="84" orientation="portrait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1FA8-A73F-4756-9074-7BF538D883B4}">
  <sheetPr>
    <pageSetUpPr fitToPage="1"/>
  </sheetPr>
  <dimension ref="A1:L61"/>
  <sheetViews>
    <sheetView workbookViewId="0">
      <selection activeCell="A18" sqref="A18"/>
    </sheetView>
  </sheetViews>
  <sheetFormatPr defaultRowHeight="12.75" x14ac:dyDescent="0.35"/>
  <cols>
    <col min="1" max="2" width="10.73046875" customWidth="1"/>
    <col min="3" max="3" width="10.86328125" customWidth="1"/>
    <col min="4" max="11" width="9.73046875" customWidth="1"/>
    <col min="12" max="12" width="11.73046875" customWidth="1"/>
  </cols>
  <sheetData>
    <row r="1" spans="1:12" ht="17.649999999999999" x14ac:dyDescent="0.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5" customFormat="1" ht="15" x14ac:dyDescent="0.4">
      <c r="A2" s="55"/>
      <c r="B2" s="55"/>
      <c r="C2" s="55"/>
      <c r="D2" s="41" t="s">
        <v>33</v>
      </c>
      <c r="E2" s="41"/>
      <c r="F2" s="41"/>
      <c r="G2" s="41"/>
      <c r="H2" s="41"/>
      <c r="I2" s="41"/>
      <c r="J2" s="55"/>
      <c r="K2" s="55"/>
      <c r="L2" s="55"/>
    </row>
    <row r="3" spans="1:12" s="5" customFormat="1" ht="15" x14ac:dyDescent="0.4">
      <c r="A3" s="93" t="s">
        <v>1</v>
      </c>
      <c r="B3" s="93"/>
      <c r="C3" s="3" t="str">
        <f>IF(Info!D4=""," ",Info!D4)</f>
        <v xml:space="preserve"> </v>
      </c>
      <c r="D3" s="41" t="s">
        <v>4</v>
      </c>
      <c r="E3" s="41"/>
      <c r="F3" s="41"/>
      <c r="G3" s="41"/>
      <c r="H3" s="41"/>
      <c r="I3" s="41"/>
      <c r="J3" s="1" t="s">
        <v>3</v>
      </c>
      <c r="K3" s="97" t="str">
        <f>IF(Info!D5=""," ",Info!D5)</f>
        <v xml:space="preserve"> </v>
      </c>
      <c r="L3" s="97"/>
    </row>
    <row r="4" spans="1:12" s="5" customFormat="1" ht="15" x14ac:dyDescent="0.4">
      <c r="A4" s="93" t="s">
        <v>2</v>
      </c>
      <c r="B4" s="93"/>
      <c r="C4" s="6">
        <v>8</v>
      </c>
      <c r="D4" s="41" t="s">
        <v>64</v>
      </c>
      <c r="E4" s="41"/>
      <c r="F4" s="41"/>
      <c r="G4" s="41"/>
      <c r="H4" s="41"/>
      <c r="I4" s="41"/>
      <c r="J4" s="2"/>
      <c r="K4" s="98" t="s">
        <v>52</v>
      </c>
      <c r="L4" s="98"/>
    </row>
    <row r="5" spans="1:12" s="5" customFormat="1" ht="15" x14ac:dyDescent="0.4">
      <c r="A5" s="55"/>
      <c r="B5" s="55"/>
      <c r="C5" s="55"/>
      <c r="D5" s="41" t="s">
        <v>41</v>
      </c>
      <c r="E5" s="41"/>
      <c r="F5" s="41"/>
      <c r="G5" s="41"/>
      <c r="H5" s="41"/>
      <c r="I5" s="41"/>
      <c r="J5" s="55"/>
      <c r="K5" s="55"/>
      <c r="L5" s="55"/>
    </row>
    <row r="6" spans="1:12" s="5" customFormat="1" ht="13.5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15.75" customHeight="1" x14ac:dyDescent="0.4">
      <c r="A7" s="93" t="s">
        <v>5</v>
      </c>
      <c r="B7" s="93"/>
      <c r="C7" s="98" t="str">
        <f>IF(Info!D6=""," ",Info!D6)</f>
        <v xml:space="preserve"> </v>
      </c>
      <c r="D7" s="98"/>
      <c r="E7" s="98"/>
      <c r="F7" s="98"/>
      <c r="G7" s="46" t="s">
        <v>10</v>
      </c>
      <c r="H7" s="46"/>
      <c r="I7" s="98" t="str">
        <f>IF(Info!D8=""," ",Info!D8)</f>
        <v xml:space="preserve"> </v>
      </c>
      <c r="J7" s="98"/>
      <c r="K7" s="98"/>
      <c r="L7" s="98"/>
    </row>
    <row r="8" spans="1:12" s="5" customFormat="1" ht="13.9" x14ac:dyDescent="0.4">
      <c r="A8" s="93" t="s">
        <v>6</v>
      </c>
      <c r="B8" s="93"/>
      <c r="C8" s="98" t="str">
        <f>IF(Info!D7=""," ",Info!D7)</f>
        <v xml:space="preserve"> </v>
      </c>
      <c r="D8" s="98"/>
      <c r="E8" s="98"/>
      <c r="F8" s="98"/>
      <c r="G8" s="46" t="s">
        <v>11</v>
      </c>
      <c r="H8" s="46"/>
      <c r="I8" s="58" t="str">
        <f>IF(Info!D11=""," ",Info!D11)</f>
        <v xml:space="preserve"> </v>
      </c>
      <c r="J8" s="58"/>
      <c r="K8" s="58"/>
      <c r="L8" s="58"/>
    </row>
    <row r="9" spans="1:12" s="5" customFormat="1" ht="13.9" x14ac:dyDescent="0.4">
      <c r="A9" s="93" t="s">
        <v>7</v>
      </c>
      <c r="B9" s="93"/>
      <c r="C9" s="98" t="str">
        <f>IF(Info!D10=""," ",Info!D10)</f>
        <v xml:space="preserve"> </v>
      </c>
      <c r="D9" s="98"/>
      <c r="E9" s="98"/>
      <c r="F9" s="98"/>
      <c r="G9" s="46" t="s">
        <v>12</v>
      </c>
      <c r="H9" s="46"/>
      <c r="I9" s="58" t="str">
        <f>IF(Info!D12=""," ",Info!D12)</f>
        <v xml:space="preserve"> </v>
      </c>
      <c r="J9" s="58"/>
      <c r="K9" s="58"/>
      <c r="L9" s="58"/>
    </row>
    <row r="10" spans="1:12" s="5" customFormat="1" ht="23.65" ph="1" x14ac:dyDescent="0.4">
      <c r="A10" s="93" t="s">
        <v>8</v>
      </c>
      <c r="B10" s="93"/>
      <c r="C10" s="98" t="str">
        <f>IF(Info!D15=""," ",Info!D15)</f>
        <v xml:space="preserve"> </v>
      </c>
      <c r="D10" s="98"/>
      <c r="E10" s="98"/>
      <c r="F10" s="98"/>
      <c r="G10" s="46" t="s">
        <v>13</v>
      </c>
      <c r="H10" s="46"/>
      <c r="I10" s="58" t="str">
        <f>IF(Info!D13=""," ",Info!D13)</f>
        <v xml:space="preserve"> </v>
      </c>
      <c r="J10" s="58"/>
      <c r="K10" s="58"/>
      <c r="L10" s="58"/>
    </row>
    <row r="11" spans="1:12" s="5" customFormat="1" ht="13.9" x14ac:dyDescent="0.4">
      <c r="A11" s="93" t="s">
        <v>47</v>
      </c>
      <c r="B11" s="93"/>
      <c r="C11" s="96" t="str">
        <f>IF(Info!D19=""," ",Info!D19)</f>
        <v xml:space="preserve"> </v>
      </c>
      <c r="D11" s="96"/>
      <c r="E11" s="96"/>
      <c r="F11" s="96"/>
      <c r="G11" s="46" t="s">
        <v>14</v>
      </c>
      <c r="H11" s="46"/>
      <c r="I11" s="96" t="str">
        <f>IF(Info!D14=""," ",Info!D14)</f>
        <v xml:space="preserve"> </v>
      </c>
      <c r="J11" s="96"/>
      <c r="K11" s="96"/>
      <c r="L11" s="96"/>
    </row>
    <row r="12" spans="1:12" s="5" customFormat="1" ht="23.65" ph="1" x14ac:dyDescent="0.4">
      <c r="A12" s="93" t="s">
        <v>9</v>
      </c>
      <c r="B12" s="93"/>
      <c r="C12" s="8" t="str">
        <f>IF(Info!D18=""," ",Info!D18)</f>
        <v xml:space="preserve"> </v>
      </c>
      <c r="D12" s="91" t="s">
        <v>49</v>
      </c>
      <c r="E12" s="92"/>
      <c r="F12" s="92"/>
      <c r="G12" s="46" t="s">
        <v>15</v>
      </c>
      <c r="H12" s="46"/>
      <c r="I12" s="58" t="str">
        <f>IF(Info!D16=""," ",Info!D16)</f>
        <v xml:space="preserve"> </v>
      </c>
      <c r="J12" s="58"/>
      <c r="K12" s="58"/>
      <c r="L12" s="58"/>
    </row>
    <row r="13" spans="1:12" s="5" customFormat="1" ht="13.9" thickBot="1" x14ac:dyDescent="0.4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5.4" thickBot="1" x14ac:dyDescent="0.45">
      <c r="A14" s="94" t="s">
        <v>42</v>
      </c>
      <c r="B14" s="95"/>
      <c r="C14" s="95"/>
      <c r="D14" s="95"/>
      <c r="E14" s="95"/>
      <c r="F14" s="95"/>
      <c r="G14" s="95"/>
      <c r="H14" s="95"/>
      <c r="I14" s="86"/>
      <c r="J14" s="87"/>
      <c r="K14" s="87"/>
      <c r="L14" s="88"/>
    </row>
    <row r="15" spans="1:12" ht="14.25" thickBot="1" x14ac:dyDescent="0.45">
      <c r="A15" s="71" t="s">
        <v>16</v>
      </c>
      <c r="B15" s="89"/>
      <c r="C15" s="90" t="s">
        <v>43</v>
      </c>
      <c r="D15" s="72"/>
      <c r="E15" s="72"/>
      <c r="F15" s="72"/>
      <c r="G15" s="72"/>
      <c r="H15" s="72"/>
      <c r="I15" s="80"/>
      <c r="J15" s="81"/>
      <c r="K15" s="81"/>
      <c r="L15" s="82"/>
    </row>
    <row r="16" spans="1:12" ht="13.9" x14ac:dyDescent="0.4">
      <c r="A16" s="71" t="s">
        <v>17</v>
      </c>
      <c r="B16" s="89"/>
      <c r="C16" s="34" t="s">
        <v>60</v>
      </c>
      <c r="D16" s="34" t="s">
        <v>62</v>
      </c>
      <c r="E16" s="34" t="s">
        <v>56</v>
      </c>
      <c r="F16" s="34" t="s">
        <v>54</v>
      </c>
      <c r="G16" s="32" t="s">
        <v>58</v>
      </c>
      <c r="H16" s="35" t="s">
        <v>54</v>
      </c>
      <c r="I16" s="65" t="s">
        <v>20</v>
      </c>
      <c r="J16" s="66"/>
      <c r="K16" s="66"/>
      <c r="L16" s="67"/>
    </row>
    <row r="17" spans="1:12" ht="14.25" thickBot="1" x14ac:dyDescent="0.45">
      <c r="A17" s="26" t="s">
        <v>18</v>
      </c>
      <c r="B17" s="27" t="s">
        <v>19</v>
      </c>
      <c r="C17" s="4" t="s">
        <v>61</v>
      </c>
      <c r="D17" s="4" t="s">
        <v>63</v>
      </c>
      <c r="E17" s="4" t="s">
        <v>57</v>
      </c>
      <c r="F17" s="4" t="s">
        <v>55</v>
      </c>
      <c r="G17" s="10" t="s">
        <v>57</v>
      </c>
      <c r="H17" s="28" t="s">
        <v>55</v>
      </c>
      <c r="I17" s="65" t="s">
        <v>21</v>
      </c>
      <c r="J17" s="66"/>
      <c r="K17" s="66"/>
      <c r="L17" s="67"/>
    </row>
    <row r="18" spans="1:12" ht="13.9" x14ac:dyDescent="0.4">
      <c r="A18" s="22"/>
      <c r="B18" s="23"/>
      <c r="C18" s="24"/>
      <c r="D18" s="25"/>
      <c r="E18" s="25"/>
      <c r="F18" s="21" t="str">
        <f>IF(E18=""," ",IF(E18&lt;=Info!D18,"Pass","Fail"))</f>
        <v xml:space="preserve"> </v>
      </c>
      <c r="G18" s="20"/>
      <c r="H18" s="33" t="str">
        <f>IF(G18=""," ",IF(G18&lt;=Info!F18,"Pass","Fail"))</f>
        <v xml:space="preserve"> </v>
      </c>
      <c r="I18" s="83" t="s">
        <v>22</v>
      </c>
      <c r="J18" s="84"/>
      <c r="K18" s="84"/>
      <c r="L18" s="85"/>
    </row>
    <row r="19" spans="1:12" ht="13.9" x14ac:dyDescent="0.4">
      <c r="A19" s="14"/>
      <c r="B19" s="15"/>
      <c r="C19" s="18"/>
      <c r="D19" s="11"/>
      <c r="E19" s="11"/>
      <c r="F19" s="29" t="str">
        <f>IF(E19=""," ",IF(E19&lt;=Info!D19,"Pass","Fail"))</f>
        <v xml:space="preserve"> </v>
      </c>
      <c r="G19" s="30"/>
      <c r="H19" s="31" t="str">
        <f>IF(G19=""," ",IF(G19&lt;=Info!F19,"Pass","Fail"))</f>
        <v xml:space="preserve"> </v>
      </c>
      <c r="I19" s="83" t="s">
        <v>23</v>
      </c>
      <c r="J19" s="84"/>
      <c r="K19" s="84"/>
      <c r="L19" s="85"/>
    </row>
    <row r="20" spans="1:12" ht="13.9" x14ac:dyDescent="0.4">
      <c r="A20" s="14"/>
      <c r="B20" s="15"/>
      <c r="C20" s="18"/>
      <c r="D20" s="11"/>
      <c r="E20" s="11"/>
      <c r="F20" s="29" t="str">
        <f>IF(E20=""," ",IF(E20&lt;=Info!D20,"Pass","Fail"))</f>
        <v xml:space="preserve"> </v>
      </c>
      <c r="G20" s="30"/>
      <c r="H20" s="31" t="str">
        <f>IF(G20=""," ",IF(G20&lt;=Info!F20,"Pass","Fail"))</f>
        <v xml:space="preserve"> </v>
      </c>
      <c r="I20" s="65" t="s">
        <v>24</v>
      </c>
      <c r="J20" s="66"/>
      <c r="K20" s="66"/>
      <c r="L20" s="67"/>
    </row>
    <row r="21" spans="1:12" ht="14.25" thickBot="1" x14ac:dyDescent="0.45">
      <c r="A21" s="14"/>
      <c r="B21" s="15"/>
      <c r="C21" s="18"/>
      <c r="D21" s="11"/>
      <c r="E21" s="11"/>
      <c r="F21" s="29" t="str">
        <f>IF(E21=""," ",IF(E21&lt;=Info!D21,"Pass","Fail"))</f>
        <v xml:space="preserve"> </v>
      </c>
      <c r="G21" s="30"/>
      <c r="H21" s="31" t="str">
        <f>IF(G21=""," ",IF(G21&lt;=Info!F21,"Pass","Fail"))</f>
        <v xml:space="preserve"> </v>
      </c>
      <c r="I21" s="68"/>
      <c r="J21" s="69"/>
      <c r="K21" s="69"/>
      <c r="L21" s="70"/>
    </row>
    <row r="22" spans="1:12" ht="13.9" x14ac:dyDescent="0.4">
      <c r="A22" s="14"/>
      <c r="B22" s="15"/>
      <c r="C22" s="18"/>
      <c r="D22" s="11"/>
      <c r="E22" s="11"/>
      <c r="F22" s="29" t="str">
        <f>IF(E22=""," ",IF(E22&lt;=Info!D22,"Pass","Fail"))</f>
        <v xml:space="preserve"> </v>
      </c>
      <c r="G22" s="30"/>
      <c r="H22" s="31" t="str">
        <f>IF(G22=""," ",IF(G22&lt;=Info!F22,"Pass","Fail"))</f>
        <v xml:space="preserve"> </v>
      </c>
      <c r="I22" s="71"/>
      <c r="J22" s="72"/>
      <c r="K22" s="72"/>
      <c r="L22" s="73"/>
    </row>
    <row r="23" spans="1:12" ht="14.25" thickBot="1" x14ac:dyDescent="0.45">
      <c r="A23" s="14"/>
      <c r="B23" s="15"/>
      <c r="C23" s="18"/>
      <c r="D23" s="11"/>
      <c r="E23" s="11"/>
      <c r="F23" s="29" t="str">
        <f>IF(E23=""," ",IF(E23&lt;=Info!D23,"Pass","Fail"))</f>
        <v xml:space="preserve"> </v>
      </c>
      <c r="G23" s="30"/>
      <c r="H23" s="31" t="str">
        <f>IF(G23=""," ",IF(G23&lt;=Info!F23,"Pass","Fail"))</f>
        <v xml:space="preserve"> </v>
      </c>
      <c r="I23" s="65" t="s">
        <v>32</v>
      </c>
      <c r="J23" s="66"/>
      <c r="K23" s="66"/>
      <c r="L23" s="67"/>
    </row>
    <row r="24" spans="1:12" ht="13.9" customHeight="1" x14ac:dyDescent="0.4">
      <c r="A24" s="14"/>
      <c r="B24" s="15"/>
      <c r="C24" s="18"/>
      <c r="D24" s="11"/>
      <c r="E24" s="11"/>
      <c r="F24" s="29" t="str">
        <f>IF(E24=""," ",IF(E24&lt;=Info!D24,"Pass","Fail"))</f>
        <v xml:space="preserve"> </v>
      </c>
      <c r="G24" s="30"/>
      <c r="H24" s="31" t="str">
        <f>IF(G24=""," ",IF(G24&lt;=Info!F24,"Pass","Fail"))</f>
        <v xml:space="preserve"> </v>
      </c>
      <c r="I24" s="74" t="str">
        <f>IF(A18=""," ",IF(F56=0,"Do Meet","Do Not Meet"))</f>
        <v xml:space="preserve"> </v>
      </c>
      <c r="J24" s="75"/>
      <c r="K24" s="75"/>
      <c r="L24" s="76"/>
    </row>
    <row r="25" spans="1:12" ht="13.9" customHeight="1" thickBot="1" x14ac:dyDescent="0.45">
      <c r="A25" s="14"/>
      <c r="B25" s="15"/>
      <c r="C25" s="18"/>
      <c r="D25" s="11"/>
      <c r="E25" s="11"/>
      <c r="F25" s="29" t="str">
        <f>IF(E25=""," ",IF(E25&lt;=Info!D25,"Pass","Fail"))</f>
        <v xml:space="preserve"> </v>
      </c>
      <c r="G25" s="30"/>
      <c r="H25" s="31" t="str">
        <f>IF(G25=""," ",IF(G25&lt;=Info!F25,"Pass","Fail"))</f>
        <v xml:space="preserve"> </v>
      </c>
      <c r="I25" s="77"/>
      <c r="J25" s="78"/>
      <c r="K25" s="78"/>
      <c r="L25" s="79"/>
    </row>
    <row r="26" spans="1:12" ht="13.9" x14ac:dyDescent="0.4">
      <c r="A26" s="14"/>
      <c r="B26" s="15"/>
      <c r="C26" s="18"/>
      <c r="D26" s="11"/>
      <c r="E26" s="11"/>
      <c r="F26" s="29" t="str">
        <f>IF(E26=""," ",IF(E26&lt;=Info!D26,"Pass","Fail"))</f>
        <v xml:space="preserve"> </v>
      </c>
      <c r="G26" s="30"/>
      <c r="H26" s="31" t="str">
        <f>IF(G26=""," ",IF(G26&lt;=Info!F26,"Pass","Fail"))</f>
        <v xml:space="preserve"> </v>
      </c>
      <c r="I26" s="65" t="s">
        <v>25</v>
      </c>
      <c r="J26" s="66"/>
      <c r="K26" s="66"/>
      <c r="L26" s="67"/>
    </row>
    <row r="27" spans="1:12" ht="14.25" thickBot="1" x14ac:dyDescent="0.45">
      <c r="A27" s="14"/>
      <c r="B27" s="15"/>
      <c r="C27" s="18"/>
      <c r="D27" s="11"/>
      <c r="E27" s="11"/>
      <c r="F27" s="29" t="str">
        <f>IF(E27=""," ",IF(E27&lt;=Info!D27,"Pass","Fail"))</f>
        <v xml:space="preserve"> </v>
      </c>
      <c r="G27" s="30"/>
      <c r="H27" s="31" t="str">
        <f>IF(G27=""," ",IF(G27&lt;=Info!F27,"Pass","Fail"))</f>
        <v xml:space="preserve"> </v>
      </c>
      <c r="I27" s="65" t="s">
        <v>45</v>
      </c>
      <c r="J27" s="66"/>
      <c r="K27" s="66"/>
      <c r="L27" s="67"/>
    </row>
    <row r="28" spans="1:12" ht="13.9" x14ac:dyDescent="0.4">
      <c r="A28" s="14"/>
      <c r="B28" s="15"/>
      <c r="C28" s="18"/>
      <c r="D28" s="11"/>
      <c r="E28" s="11"/>
      <c r="F28" s="29" t="str">
        <f>IF(E28=""," ",IF(E28&lt;=Info!D28,"Pass","Fail"))</f>
        <v xml:space="preserve"> </v>
      </c>
      <c r="G28" s="30"/>
      <c r="H28" s="31" t="str">
        <f>IF(G28=""," ",IF(G28&lt;=Info!F28,"Pass","Fail"))</f>
        <v xml:space="preserve"> </v>
      </c>
      <c r="I28" s="80"/>
      <c r="J28" s="81"/>
      <c r="K28" s="81"/>
      <c r="L28" s="82"/>
    </row>
    <row r="29" spans="1:12" ht="13.9" x14ac:dyDescent="0.4">
      <c r="A29" s="14"/>
      <c r="B29" s="15"/>
      <c r="C29" s="18"/>
      <c r="D29" s="11"/>
      <c r="E29" s="11"/>
      <c r="F29" s="29" t="str">
        <f>IF(E29=""," ",IF(E29&lt;=Info!D29,"Pass","Fail"))</f>
        <v xml:space="preserve"> </v>
      </c>
      <c r="G29" s="30"/>
      <c r="H29" s="31" t="str">
        <f>IF(G29=""," ",IF(G29&lt;=Info!F29,"Pass","Fail"))</f>
        <v xml:space="preserve"> </v>
      </c>
      <c r="I29" s="65" t="s">
        <v>26</v>
      </c>
      <c r="J29" s="66"/>
      <c r="K29" s="66"/>
      <c r="L29" s="67"/>
    </row>
    <row r="30" spans="1:12" ht="14.25" thickBot="1" x14ac:dyDescent="0.45">
      <c r="A30" s="14"/>
      <c r="B30" s="15"/>
      <c r="C30" s="18"/>
      <c r="D30" s="11"/>
      <c r="E30" s="11"/>
      <c r="F30" s="29" t="str">
        <f>IF(E30=""," ",IF(E30&lt;=Info!D30,"Pass","Fail"))</f>
        <v xml:space="preserve"> </v>
      </c>
      <c r="G30" s="30"/>
      <c r="H30" s="31" t="str">
        <f>IF(G30=""," ",IF(G30&lt;=Info!F30,"Pass","Fail"))</f>
        <v xml:space="preserve"> </v>
      </c>
      <c r="I30" s="68"/>
      <c r="J30" s="69"/>
      <c r="K30" s="69"/>
      <c r="L30" s="70"/>
    </row>
    <row r="31" spans="1:12" ht="13.9" x14ac:dyDescent="0.4">
      <c r="A31" s="14"/>
      <c r="B31" s="15"/>
      <c r="C31" s="18"/>
      <c r="D31" s="11"/>
      <c r="E31" s="11"/>
      <c r="F31" s="29" t="str">
        <f>IF(E31=""," ",IF(E31&lt;=Info!D31,"Pass","Fail"))</f>
        <v xml:space="preserve"> </v>
      </c>
      <c r="G31" s="30"/>
      <c r="H31" s="31" t="str">
        <f>IF(G31=""," ",IF(G31&lt;=Info!F31,"Pass","Fail"))</f>
        <v xml:space="preserve"> </v>
      </c>
      <c r="I31" s="59"/>
      <c r="J31" s="60"/>
      <c r="K31" s="60"/>
      <c r="L31" s="61"/>
    </row>
    <row r="32" spans="1:12" ht="13.9" x14ac:dyDescent="0.4">
      <c r="A32" s="14"/>
      <c r="B32" s="15"/>
      <c r="C32" s="18"/>
      <c r="D32" s="11"/>
      <c r="E32" s="11"/>
      <c r="F32" s="29" t="str">
        <f>IF(E32=""," ",IF(E32&lt;=Info!D32,"Pass","Fail"))</f>
        <v xml:space="preserve"> </v>
      </c>
      <c r="G32" s="30"/>
      <c r="H32" s="31" t="str">
        <f>IF(G32=""," ",IF(G32&lt;=Info!F32,"Pass","Fail"))</f>
        <v xml:space="preserve"> </v>
      </c>
      <c r="I32" s="59"/>
      <c r="J32" s="60"/>
      <c r="K32" s="60"/>
      <c r="L32" s="61"/>
    </row>
    <row r="33" spans="1:12" ht="13.9" x14ac:dyDescent="0.4">
      <c r="A33" s="14"/>
      <c r="B33" s="15"/>
      <c r="C33" s="18"/>
      <c r="D33" s="11"/>
      <c r="E33" s="11"/>
      <c r="F33" s="29" t="str">
        <f>IF(E33=""," ",IF(E33&lt;=Info!D33,"Pass","Fail"))</f>
        <v xml:space="preserve"> </v>
      </c>
      <c r="G33" s="30"/>
      <c r="H33" s="31" t="str">
        <f>IF(G33=""," ",IF(G33&lt;=Info!F33,"Pass","Fail"))</f>
        <v xml:space="preserve"> </v>
      </c>
      <c r="I33" s="59"/>
      <c r="J33" s="60"/>
      <c r="K33" s="60"/>
      <c r="L33" s="61"/>
    </row>
    <row r="34" spans="1:12" ht="13.9" x14ac:dyDescent="0.4">
      <c r="A34" s="14"/>
      <c r="B34" s="15"/>
      <c r="C34" s="18"/>
      <c r="D34" s="11"/>
      <c r="E34" s="11"/>
      <c r="F34" s="29" t="str">
        <f>IF(E34=""," ",IF(E34&lt;=Info!D34,"Pass","Fail"))</f>
        <v xml:space="preserve"> </v>
      </c>
      <c r="G34" s="30"/>
      <c r="H34" s="31" t="str">
        <f>IF(G34=""," ",IF(G34&lt;=Info!F34,"Pass","Fail"))</f>
        <v xml:space="preserve"> </v>
      </c>
      <c r="I34" s="59"/>
      <c r="J34" s="60"/>
      <c r="K34" s="60"/>
      <c r="L34" s="61"/>
    </row>
    <row r="35" spans="1:12" ht="13.9" x14ac:dyDescent="0.4">
      <c r="A35" s="14"/>
      <c r="B35" s="15"/>
      <c r="C35" s="18"/>
      <c r="D35" s="11"/>
      <c r="E35" s="11"/>
      <c r="F35" s="29" t="str">
        <f>IF(E35=""," ",IF(E35&lt;=Info!D35,"Pass","Fail"))</f>
        <v xml:space="preserve"> </v>
      </c>
      <c r="G35" s="30"/>
      <c r="H35" s="31" t="str">
        <f>IF(G35=""," ",IF(G35&lt;=Info!F35,"Pass","Fail"))</f>
        <v xml:space="preserve"> </v>
      </c>
      <c r="I35" s="59"/>
      <c r="J35" s="60"/>
      <c r="K35" s="60"/>
      <c r="L35" s="61"/>
    </row>
    <row r="36" spans="1:12" ht="13.9" x14ac:dyDescent="0.4">
      <c r="A36" s="14"/>
      <c r="B36" s="15"/>
      <c r="C36" s="18"/>
      <c r="D36" s="11"/>
      <c r="E36" s="11"/>
      <c r="F36" s="29" t="str">
        <f>IF(E36=""," ",IF(E36&lt;=Info!D36,"Pass","Fail"))</f>
        <v xml:space="preserve"> </v>
      </c>
      <c r="G36" s="30"/>
      <c r="H36" s="31" t="str">
        <f>IF(G36=""," ",IF(G36&lt;=Info!F36,"Pass","Fail"))</f>
        <v xml:space="preserve"> </v>
      </c>
      <c r="I36" s="59"/>
      <c r="J36" s="60"/>
      <c r="K36" s="60"/>
      <c r="L36" s="61"/>
    </row>
    <row r="37" spans="1:12" ht="13.9" x14ac:dyDescent="0.4">
      <c r="A37" s="14"/>
      <c r="B37" s="15"/>
      <c r="C37" s="18"/>
      <c r="D37" s="11"/>
      <c r="E37" s="11"/>
      <c r="F37" s="29" t="str">
        <f>IF(E37=""," ",IF(E37&lt;=Info!D37,"Pass","Fail"))</f>
        <v xml:space="preserve"> </v>
      </c>
      <c r="G37" s="30"/>
      <c r="H37" s="31" t="str">
        <f>IF(G37=""," ",IF(G37&lt;=Info!F37,"Pass","Fail"))</f>
        <v xml:space="preserve"> </v>
      </c>
      <c r="I37" s="59"/>
      <c r="J37" s="60"/>
      <c r="K37" s="60"/>
      <c r="L37" s="61"/>
    </row>
    <row r="38" spans="1:12" ht="13.9" x14ac:dyDescent="0.4">
      <c r="A38" s="14"/>
      <c r="B38" s="15"/>
      <c r="C38" s="18"/>
      <c r="D38" s="11"/>
      <c r="E38" s="11"/>
      <c r="F38" s="29" t="str">
        <f>IF(E38=""," ",IF(E38&lt;=Info!D38,"Pass","Fail"))</f>
        <v xml:space="preserve"> </v>
      </c>
      <c r="G38" s="30"/>
      <c r="H38" s="31" t="str">
        <f>IF(G38=""," ",IF(G38&lt;=Info!F38,"Pass","Fail"))</f>
        <v xml:space="preserve"> </v>
      </c>
      <c r="I38" s="59"/>
      <c r="J38" s="60"/>
      <c r="K38" s="60"/>
      <c r="L38" s="61"/>
    </row>
    <row r="39" spans="1:12" ht="13.9" x14ac:dyDescent="0.4">
      <c r="A39" s="14"/>
      <c r="B39" s="15"/>
      <c r="C39" s="18"/>
      <c r="D39" s="11"/>
      <c r="E39" s="11"/>
      <c r="F39" s="29" t="str">
        <f>IF(E39=""," ",IF(E39&lt;=Info!D39,"Pass","Fail"))</f>
        <v xml:space="preserve"> </v>
      </c>
      <c r="G39" s="30"/>
      <c r="H39" s="31" t="str">
        <f>IF(G39=""," ",IF(G39&lt;=Info!F39,"Pass","Fail"))</f>
        <v xml:space="preserve"> </v>
      </c>
      <c r="I39" s="59"/>
      <c r="J39" s="60"/>
      <c r="K39" s="60"/>
      <c r="L39" s="61"/>
    </row>
    <row r="40" spans="1:12" ht="13.9" x14ac:dyDescent="0.4">
      <c r="A40" s="14"/>
      <c r="B40" s="15"/>
      <c r="C40" s="18"/>
      <c r="D40" s="11"/>
      <c r="E40" s="11"/>
      <c r="F40" s="29" t="str">
        <f>IF(E40=""," ",IF(E40&lt;=Info!D40,"Pass","Fail"))</f>
        <v xml:space="preserve"> </v>
      </c>
      <c r="G40" s="30"/>
      <c r="H40" s="31" t="str">
        <f>IF(G40=""," ",IF(G40&lt;=Info!F40,"Pass","Fail"))</f>
        <v xml:space="preserve"> </v>
      </c>
      <c r="I40" s="59"/>
      <c r="J40" s="60"/>
      <c r="K40" s="60"/>
      <c r="L40" s="61"/>
    </row>
    <row r="41" spans="1:12" ht="13.9" x14ac:dyDescent="0.4">
      <c r="A41" s="14"/>
      <c r="B41" s="15"/>
      <c r="C41" s="18"/>
      <c r="D41" s="11"/>
      <c r="E41" s="11"/>
      <c r="F41" s="29" t="str">
        <f>IF(E41=""," ",IF(E41&lt;=Info!D41,"Pass","Fail"))</f>
        <v xml:space="preserve"> </v>
      </c>
      <c r="G41" s="30"/>
      <c r="H41" s="31" t="str">
        <f>IF(G41=""," ",IF(G41&lt;=Info!F41,"Pass","Fail"))</f>
        <v xml:space="preserve"> </v>
      </c>
      <c r="I41" s="59"/>
      <c r="J41" s="60"/>
      <c r="K41" s="60"/>
      <c r="L41" s="61"/>
    </row>
    <row r="42" spans="1:12" ht="13.9" x14ac:dyDescent="0.4">
      <c r="A42" s="14"/>
      <c r="B42" s="15"/>
      <c r="C42" s="18"/>
      <c r="D42" s="11"/>
      <c r="E42" s="11"/>
      <c r="F42" s="29" t="str">
        <f>IF(E42=""," ",IF(E42&lt;=Info!D42,"Pass","Fail"))</f>
        <v xml:space="preserve"> </v>
      </c>
      <c r="G42" s="30"/>
      <c r="H42" s="31" t="str">
        <f>IF(G42=""," ",IF(G42&lt;=Info!F42,"Pass","Fail"))</f>
        <v xml:space="preserve"> </v>
      </c>
      <c r="I42" s="59"/>
      <c r="J42" s="60"/>
      <c r="K42" s="60"/>
      <c r="L42" s="61"/>
    </row>
    <row r="43" spans="1:12" ht="13.9" x14ac:dyDescent="0.4">
      <c r="A43" s="14"/>
      <c r="B43" s="15"/>
      <c r="C43" s="18"/>
      <c r="D43" s="11"/>
      <c r="E43" s="11"/>
      <c r="F43" s="29" t="str">
        <f>IF(E43=""," ",IF(E43&lt;=Info!D43,"Pass","Fail"))</f>
        <v xml:space="preserve"> </v>
      </c>
      <c r="G43" s="30"/>
      <c r="H43" s="31" t="str">
        <f>IF(G43=""," ",IF(G43&lt;=Info!F43,"Pass","Fail"))</f>
        <v xml:space="preserve"> </v>
      </c>
      <c r="I43" s="59"/>
      <c r="J43" s="60"/>
      <c r="K43" s="60"/>
      <c r="L43" s="61"/>
    </row>
    <row r="44" spans="1:12" ht="13.9" x14ac:dyDescent="0.4">
      <c r="A44" s="14"/>
      <c r="B44" s="15"/>
      <c r="C44" s="18"/>
      <c r="D44" s="11"/>
      <c r="E44" s="11"/>
      <c r="F44" s="29" t="str">
        <f>IF(E44=""," ",IF(E44&lt;=Info!D44,"Pass","Fail"))</f>
        <v xml:space="preserve"> </v>
      </c>
      <c r="G44" s="30"/>
      <c r="H44" s="31" t="str">
        <f>IF(G44=""," ",IF(G44&lt;=Info!F44,"Pass","Fail"))</f>
        <v xml:space="preserve"> </v>
      </c>
      <c r="I44" s="59"/>
      <c r="J44" s="60"/>
      <c r="K44" s="60"/>
      <c r="L44" s="61"/>
    </row>
    <row r="45" spans="1:12" ht="13.9" x14ac:dyDescent="0.4">
      <c r="A45" s="14"/>
      <c r="B45" s="15"/>
      <c r="C45" s="18"/>
      <c r="D45" s="11"/>
      <c r="E45" s="11"/>
      <c r="F45" s="29" t="str">
        <f>IF(E45=""," ",IF(E45&lt;=Info!D45,"Pass","Fail"))</f>
        <v xml:space="preserve"> </v>
      </c>
      <c r="G45" s="30"/>
      <c r="H45" s="31" t="str">
        <f>IF(G45=""," ",IF(G45&lt;=Info!F45,"Pass","Fail"))</f>
        <v xml:space="preserve"> </v>
      </c>
      <c r="I45" s="59"/>
      <c r="J45" s="60"/>
      <c r="K45" s="60"/>
      <c r="L45" s="61"/>
    </row>
    <row r="46" spans="1:12" ht="13.9" x14ac:dyDescent="0.4">
      <c r="A46" s="14"/>
      <c r="B46" s="15"/>
      <c r="C46" s="18"/>
      <c r="D46" s="11"/>
      <c r="E46" s="11"/>
      <c r="F46" s="29" t="str">
        <f>IF(E46=""," ",IF(E46&lt;=Info!D46,"Pass","Fail"))</f>
        <v xml:space="preserve"> </v>
      </c>
      <c r="G46" s="30"/>
      <c r="H46" s="31" t="str">
        <f>IF(G46=""," ",IF(G46&lt;=Info!F46,"Pass","Fail"))</f>
        <v xml:space="preserve"> </v>
      </c>
      <c r="I46" s="43"/>
      <c r="J46" s="44"/>
      <c r="K46" s="44"/>
      <c r="L46" s="45"/>
    </row>
    <row r="47" spans="1:12" ht="13.9" x14ac:dyDescent="0.4">
      <c r="A47" s="14"/>
      <c r="B47" s="15"/>
      <c r="C47" s="18"/>
      <c r="D47" s="11"/>
      <c r="E47" s="11"/>
      <c r="F47" s="29" t="str">
        <f>IF(E47=""," ",IF(E47&lt;=Info!D47,"Pass","Fail"))</f>
        <v xml:space="preserve"> </v>
      </c>
      <c r="G47" s="30"/>
      <c r="H47" s="31" t="str">
        <f>IF(G47=""," ",IF(G47&lt;=Info!F47,"Pass","Fail"))</f>
        <v xml:space="preserve"> </v>
      </c>
      <c r="I47" s="43"/>
      <c r="J47" s="44"/>
      <c r="K47" s="44"/>
      <c r="L47" s="45"/>
    </row>
    <row r="48" spans="1:12" ht="13.9" x14ac:dyDescent="0.4">
      <c r="A48" s="14"/>
      <c r="B48" s="15"/>
      <c r="C48" s="18"/>
      <c r="D48" s="11"/>
      <c r="E48" s="11"/>
      <c r="F48" s="29" t="str">
        <f>IF(E48=""," ",IF(E48&lt;=Info!D48,"Pass","Fail"))</f>
        <v xml:space="preserve"> </v>
      </c>
      <c r="G48" s="30"/>
      <c r="H48" s="31" t="str">
        <f>IF(G48=""," ",IF(G48&lt;=Info!F48,"Pass","Fail"))</f>
        <v xml:space="preserve"> </v>
      </c>
      <c r="I48" s="43"/>
      <c r="J48" s="44"/>
      <c r="K48" s="44"/>
      <c r="L48" s="45"/>
    </row>
    <row r="49" spans="1:12" ht="13.9" x14ac:dyDescent="0.4">
      <c r="A49" s="14"/>
      <c r="B49" s="15"/>
      <c r="C49" s="18"/>
      <c r="D49" s="11"/>
      <c r="E49" s="11"/>
      <c r="F49" s="29" t="str">
        <f>IF(E49=""," ",IF(E49&lt;=Info!D49,"Pass","Fail"))</f>
        <v xml:space="preserve"> </v>
      </c>
      <c r="G49" s="30"/>
      <c r="H49" s="31" t="str">
        <f>IF(G49=""," ",IF(G49&lt;=Info!F49,"Pass","Fail"))</f>
        <v xml:space="preserve"> </v>
      </c>
      <c r="I49" s="43"/>
      <c r="J49" s="44"/>
      <c r="K49" s="44"/>
      <c r="L49" s="45"/>
    </row>
    <row r="50" spans="1:12" ht="13.9" x14ac:dyDescent="0.4">
      <c r="A50" s="14"/>
      <c r="B50" s="15"/>
      <c r="C50" s="18"/>
      <c r="D50" s="11"/>
      <c r="E50" s="11"/>
      <c r="F50" s="29" t="str">
        <f>IF(E50=""," ",IF(E50&lt;=Info!D50,"Pass","Fail"))</f>
        <v xml:space="preserve"> </v>
      </c>
      <c r="G50" s="30"/>
      <c r="H50" s="31" t="str">
        <f>IF(G50=""," ",IF(G50&lt;=Info!F50,"Pass","Fail"))</f>
        <v xml:space="preserve"> </v>
      </c>
      <c r="I50" s="43"/>
      <c r="J50" s="44"/>
      <c r="K50" s="44"/>
      <c r="L50" s="45"/>
    </row>
    <row r="51" spans="1:12" ht="13.9" x14ac:dyDescent="0.4">
      <c r="A51" s="14"/>
      <c r="B51" s="15"/>
      <c r="C51" s="18"/>
      <c r="D51" s="11"/>
      <c r="E51" s="11"/>
      <c r="F51" s="29" t="str">
        <f>IF(E51=""," ",IF(E51&lt;=Info!D51,"Pass","Fail"))</f>
        <v xml:space="preserve"> </v>
      </c>
      <c r="G51" s="30"/>
      <c r="H51" s="31" t="str">
        <f>IF(G51=""," ",IF(G51&lt;=Info!F51,"Pass","Fail"))</f>
        <v xml:space="preserve"> </v>
      </c>
      <c r="I51" s="43"/>
      <c r="J51" s="44"/>
      <c r="K51" s="44"/>
      <c r="L51" s="45"/>
    </row>
    <row r="52" spans="1:12" ht="13.9" x14ac:dyDescent="0.4">
      <c r="A52" s="14"/>
      <c r="B52" s="15"/>
      <c r="C52" s="18"/>
      <c r="D52" s="11"/>
      <c r="E52" s="11"/>
      <c r="F52" s="29" t="str">
        <f>IF(E52=""," ",IF(E52&lt;=Info!D52,"Pass","Fail"))</f>
        <v xml:space="preserve"> </v>
      </c>
      <c r="G52" s="30"/>
      <c r="H52" s="31" t="str">
        <f>IF(G52=""," ",IF(G52&lt;=Info!F52,"Pass","Fail"))</f>
        <v xml:space="preserve"> </v>
      </c>
      <c r="I52" s="43"/>
      <c r="J52" s="44"/>
      <c r="K52" s="44"/>
      <c r="L52" s="45"/>
    </row>
    <row r="53" spans="1:12" ht="13.9" x14ac:dyDescent="0.4">
      <c r="A53" s="14"/>
      <c r="B53" s="15"/>
      <c r="C53" s="18"/>
      <c r="D53" s="11"/>
      <c r="E53" s="11"/>
      <c r="F53" s="29" t="str">
        <f>IF(E53=""," ",IF(E53&lt;=Info!D53,"Pass","Fail"))</f>
        <v xml:space="preserve"> </v>
      </c>
      <c r="G53" s="30"/>
      <c r="H53" s="31" t="str">
        <f>IF(G53=""," ",IF(G53&lt;=Info!F53,"Pass","Fail"))</f>
        <v xml:space="preserve"> </v>
      </c>
      <c r="I53" s="59"/>
      <c r="J53" s="60"/>
      <c r="K53" s="60"/>
      <c r="L53" s="61"/>
    </row>
    <row r="54" spans="1:12" ht="14.25" thickBot="1" x14ac:dyDescent="0.45">
      <c r="A54" s="16"/>
      <c r="B54" s="17"/>
      <c r="C54" s="19"/>
      <c r="D54" s="12"/>
      <c r="E54" s="12"/>
      <c r="F54" s="29" t="str">
        <f>IF(E54=""," ",IF(E54&lt;=Info!D54,"Pass","Fail"))</f>
        <v xml:space="preserve"> </v>
      </c>
      <c r="G54" s="30"/>
      <c r="H54" s="31" t="str">
        <f>IF(G54=""," ",IF(G54&lt;=Info!F54,"Pass","Fail"))</f>
        <v xml:space="preserve"> </v>
      </c>
      <c r="I54" s="62"/>
      <c r="J54" s="63"/>
      <c r="K54" s="63"/>
      <c r="L54" s="64"/>
    </row>
    <row r="55" spans="1:12" ht="14.25" thickBot="1" x14ac:dyDescent="0.45">
      <c r="A55" s="48" t="s">
        <v>44</v>
      </c>
      <c r="B55" s="49"/>
      <c r="C55" s="49"/>
      <c r="D55" s="49"/>
      <c r="E55" s="49"/>
      <c r="F55" s="50"/>
      <c r="G55" s="50"/>
      <c r="H55" s="50"/>
      <c r="I55" s="49"/>
      <c r="J55" s="49"/>
      <c r="K55" s="49"/>
      <c r="L55" s="51"/>
    </row>
    <row r="56" spans="1:12" ht="14.25" thickBot="1" x14ac:dyDescent="0.45">
      <c r="A56" s="52" t="s">
        <v>53</v>
      </c>
      <c r="B56" s="53"/>
      <c r="C56" s="53"/>
      <c r="D56" s="53"/>
      <c r="E56" s="54"/>
      <c r="F56" s="13">
        <f>COUNTIF(F18:F54:H18:H54,"Fail")</f>
        <v>0</v>
      </c>
      <c r="G56" s="9"/>
      <c r="H56" s="9"/>
      <c r="I56" s="9"/>
      <c r="J56" s="9"/>
      <c r="K56" s="9"/>
      <c r="L56" s="9"/>
    </row>
    <row r="57" spans="1:12" ht="13.9" x14ac:dyDescent="0.4">
      <c r="A57" s="46" t="s">
        <v>27</v>
      </c>
      <c r="B57" s="46"/>
      <c r="C57" s="46"/>
      <c r="D57" s="56" t="s">
        <v>51</v>
      </c>
      <c r="E57" s="56"/>
      <c r="F57" s="56"/>
      <c r="G57" s="55"/>
      <c r="H57" s="55"/>
      <c r="I57" s="55"/>
      <c r="J57" s="55"/>
      <c r="K57" s="55"/>
      <c r="L57" s="55"/>
    </row>
    <row r="58" spans="1:12" ht="13.9" x14ac:dyDescent="0.4">
      <c r="A58" s="46" t="s">
        <v>50</v>
      </c>
      <c r="B58" s="46"/>
      <c r="C58" s="46"/>
      <c r="D58" s="57"/>
      <c r="E58" s="57"/>
      <c r="F58" s="57"/>
      <c r="G58" s="46" t="s">
        <v>30</v>
      </c>
      <c r="H58" s="46"/>
      <c r="I58" s="46"/>
      <c r="J58" s="47"/>
      <c r="K58" s="47"/>
      <c r="L58" s="47"/>
    </row>
    <row r="59" spans="1:12" ht="13.9" x14ac:dyDescent="0.4">
      <c r="A59" s="46" t="s">
        <v>28</v>
      </c>
      <c r="B59" s="46"/>
      <c r="C59" s="46"/>
      <c r="D59" s="47"/>
      <c r="E59" s="47"/>
      <c r="F59" s="47"/>
      <c r="G59" s="46"/>
      <c r="H59" s="46"/>
      <c r="I59" s="46"/>
      <c r="J59" s="46"/>
      <c r="K59" s="46"/>
      <c r="L59" s="46"/>
    </row>
    <row r="60" spans="1:12" ht="13.9" x14ac:dyDescent="0.4">
      <c r="A60" s="46" t="s">
        <v>29</v>
      </c>
      <c r="B60" s="46"/>
      <c r="C60" s="46"/>
      <c r="D60" s="58" t="str">
        <f>IF(Info!D9=""," ",Info!D9)</f>
        <v xml:space="preserve"> </v>
      </c>
      <c r="E60" s="58"/>
      <c r="F60" s="58"/>
      <c r="G60" s="46" t="s">
        <v>31</v>
      </c>
      <c r="H60" s="46"/>
      <c r="I60" s="46"/>
      <c r="J60" s="47"/>
      <c r="K60" s="47"/>
      <c r="L60" s="47"/>
    </row>
    <row r="61" spans="1:12" ht="13.9" x14ac:dyDescent="0.4">
      <c r="A61" s="9"/>
      <c r="B61" s="9"/>
      <c r="C61" s="9"/>
      <c r="D61" s="9"/>
      <c r="E61" s="9"/>
      <c r="F61" s="9"/>
      <c r="G61" s="9"/>
      <c r="H61" s="9"/>
      <c r="I61" s="99" t="s">
        <v>66</v>
      </c>
      <c r="J61" s="99"/>
      <c r="K61" s="99"/>
      <c r="L61" s="99"/>
    </row>
  </sheetData>
  <sheetProtection password="96B1" sheet="1" objects="1" scenarios="1"/>
  <mergeCells count="100">
    <mergeCell ref="A59:C59"/>
    <mergeCell ref="A60:C60"/>
    <mergeCell ref="D59:F59"/>
    <mergeCell ref="D60:F60"/>
    <mergeCell ref="I61:L61"/>
    <mergeCell ref="J58:L58"/>
    <mergeCell ref="G60:I60"/>
    <mergeCell ref="J60:L60"/>
    <mergeCell ref="G59:L59"/>
    <mergeCell ref="I46:L46"/>
    <mergeCell ref="I47:L47"/>
    <mergeCell ref="I53:L53"/>
    <mergeCell ref="I52:L52"/>
    <mergeCell ref="I54:L54"/>
    <mergeCell ref="I51:L51"/>
    <mergeCell ref="I50:L50"/>
    <mergeCell ref="I48:L48"/>
    <mergeCell ref="I49:L49"/>
    <mergeCell ref="A58:C58"/>
    <mergeCell ref="A55:L55"/>
    <mergeCell ref="A56:E56"/>
    <mergeCell ref="A57:C57"/>
    <mergeCell ref="D57:F57"/>
    <mergeCell ref="G57:L57"/>
    <mergeCell ref="D58:F58"/>
    <mergeCell ref="G58:I58"/>
    <mergeCell ref="I36:L36"/>
    <mergeCell ref="I45:L45"/>
    <mergeCell ref="I37:L37"/>
    <mergeCell ref="I38:L38"/>
    <mergeCell ref="I39:L39"/>
    <mergeCell ref="I40:L40"/>
    <mergeCell ref="I41:L41"/>
    <mergeCell ref="I42:L42"/>
    <mergeCell ref="I43:L43"/>
    <mergeCell ref="I44:L44"/>
    <mergeCell ref="I24:L25"/>
    <mergeCell ref="I26:L26"/>
    <mergeCell ref="I28:L28"/>
    <mergeCell ref="I29:L29"/>
    <mergeCell ref="I30:L30"/>
    <mergeCell ref="I35:L35"/>
    <mergeCell ref="I31:L31"/>
    <mergeCell ref="I32:L32"/>
    <mergeCell ref="I33:L33"/>
    <mergeCell ref="I34:L34"/>
    <mergeCell ref="I18:L18"/>
    <mergeCell ref="I19:L19"/>
    <mergeCell ref="I20:L20"/>
    <mergeCell ref="I21:L21"/>
    <mergeCell ref="I22:L22"/>
    <mergeCell ref="I23:L23"/>
    <mergeCell ref="A15:B15"/>
    <mergeCell ref="C15:H15"/>
    <mergeCell ref="A16:B16"/>
    <mergeCell ref="I16:L16"/>
    <mergeCell ref="I15:L15"/>
    <mergeCell ref="I17:L17"/>
    <mergeCell ref="A14:H14"/>
    <mergeCell ref="I14:L14"/>
    <mergeCell ref="I12:L12"/>
    <mergeCell ref="A11:B11"/>
    <mergeCell ref="D12:F12"/>
    <mergeCell ref="G12:H12"/>
    <mergeCell ref="A13:L13"/>
    <mergeCell ref="A8:B8"/>
    <mergeCell ref="A9:B9"/>
    <mergeCell ref="A10:B10"/>
    <mergeCell ref="G8:H8"/>
    <mergeCell ref="G9:H9"/>
    <mergeCell ref="G10:H10"/>
    <mergeCell ref="C8:F8"/>
    <mergeCell ref="C9:F9"/>
    <mergeCell ref="C10:F10"/>
    <mergeCell ref="C11:F11"/>
    <mergeCell ref="I8:L8"/>
    <mergeCell ref="I9:L9"/>
    <mergeCell ref="I10:L10"/>
    <mergeCell ref="G11:H11"/>
    <mergeCell ref="I11:L11"/>
    <mergeCell ref="D3:I3"/>
    <mergeCell ref="D4:I4"/>
    <mergeCell ref="A2:C2"/>
    <mergeCell ref="J2:L2"/>
    <mergeCell ref="A7:B7"/>
    <mergeCell ref="I27:L27"/>
    <mergeCell ref="C7:F7"/>
    <mergeCell ref="G7:H7"/>
    <mergeCell ref="I7:L7"/>
    <mergeCell ref="A12:B12"/>
    <mergeCell ref="D5:I5"/>
    <mergeCell ref="A5:C5"/>
    <mergeCell ref="A6:L6"/>
    <mergeCell ref="J5:L5"/>
    <mergeCell ref="A1:L1"/>
    <mergeCell ref="A3:B3"/>
    <mergeCell ref="A4:B4"/>
    <mergeCell ref="K3:L3"/>
    <mergeCell ref="K4:L4"/>
    <mergeCell ref="D2:I2"/>
  </mergeCells>
  <phoneticPr fontId="7" type="noConversion"/>
  <printOptions horizontalCentered="1" verticalCentered="1"/>
  <pageMargins left="0" right="0" top="0" bottom="0" header="0" footer="0"/>
  <pageSetup scale="84" orientation="portrait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9DCD-C3BA-4EF8-A425-CBDA573BB1F6}">
  <sheetPr>
    <pageSetUpPr fitToPage="1"/>
  </sheetPr>
  <dimension ref="A1:L61"/>
  <sheetViews>
    <sheetView workbookViewId="0">
      <selection activeCell="A18" sqref="A18"/>
    </sheetView>
  </sheetViews>
  <sheetFormatPr defaultRowHeight="12.75" x14ac:dyDescent="0.35"/>
  <cols>
    <col min="1" max="2" width="10.73046875" customWidth="1"/>
    <col min="3" max="3" width="10.86328125" customWidth="1"/>
    <col min="4" max="11" width="9.73046875" customWidth="1"/>
    <col min="12" max="12" width="11.73046875" customWidth="1"/>
  </cols>
  <sheetData>
    <row r="1" spans="1:12" ht="17.649999999999999" x14ac:dyDescent="0.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5" customFormat="1" ht="23.65" ph="1" x14ac:dyDescent="0.4">
      <c r="A2" s="55"/>
      <c r="B2" s="55"/>
      <c r="C2" s="55"/>
      <c r="D2" s="41" t="s">
        <v>33</v>
      </c>
      <c r="E2" s="41"/>
      <c r="F2" s="41"/>
      <c r="G2" s="41"/>
      <c r="H2" s="41"/>
      <c r="I2" s="41"/>
      <c r="J2" s="55"/>
      <c r="K2" s="55"/>
      <c r="L2" s="55"/>
    </row>
    <row r="3" spans="1:12" s="5" customFormat="1" ht="23.65" ph="1" x14ac:dyDescent="0.4">
      <c r="A3" s="93" t="s">
        <v>1</v>
      </c>
      <c r="B3" s="93"/>
      <c r="C3" s="3" t="str">
        <f>IF(Info!D4=""," ",Info!D4)</f>
        <v xml:space="preserve"> </v>
      </c>
      <c r="D3" s="41" t="s">
        <v>4</v>
      </c>
      <c r="E3" s="41"/>
      <c r="F3" s="41"/>
      <c r="G3" s="41"/>
      <c r="H3" s="41"/>
      <c r="I3" s="41"/>
      <c r="J3" s="1" t="s">
        <v>3</v>
      </c>
      <c r="K3" s="97" t="str">
        <f>IF(Info!D5=""," ",Info!D5)</f>
        <v xml:space="preserve"> </v>
      </c>
      <c r="L3" s="97"/>
    </row>
    <row r="4" spans="1:12" s="5" customFormat="1" ht="23.65" ph="1" x14ac:dyDescent="0.4">
      <c r="A4" s="93" t="s">
        <v>2</v>
      </c>
      <c r="B4" s="93"/>
      <c r="C4" s="6">
        <v>9</v>
      </c>
      <c r="D4" s="41" t="s">
        <v>64</v>
      </c>
      <c r="E4" s="41"/>
      <c r="F4" s="41"/>
      <c r="G4" s="41"/>
      <c r="H4" s="41"/>
      <c r="I4" s="41"/>
      <c r="J4" s="2"/>
      <c r="K4" s="98" t="s">
        <v>52</v>
      </c>
      <c r="L4" s="98"/>
    </row>
    <row r="5" spans="1:12" s="5" customFormat="1" ht="15" x14ac:dyDescent="0.4">
      <c r="A5" s="55"/>
      <c r="B5" s="55"/>
      <c r="C5" s="55"/>
      <c r="D5" s="41" t="s">
        <v>41</v>
      </c>
      <c r="E5" s="41"/>
      <c r="F5" s="41"/>
      <c r="G5" s="41"/>
      <c r="H5" s="41"/>
      <c r="I5" s="41"/>
      <c r="J5" s="55"/>
      <c r="K5" s="55"/>
      <c r="L5" s="55"/>
    </row>
    <row r="6" spans="1:12" s="5" customFormat="1" ht="23.25" ph="1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15.75" customHeight="1" x14ac:dyDescent="0.4">
      <c r="A7" s="93" t="s">
        <v>5</v>
      </c>
      <c r="B7" s="93"/>
      <c r="C7" s="98" t="str">
        <f>IF(Info!D6=""," ",Info!D6)</f>
        <v xml:space="preserve"> </v>
      </c>
      <c r="D7" s="98"/>
      <c r="E7" s="98"/>
      <c r="F7" s="98"/>
      <c r="G7" s="46" t="s">
        <v>10</v>
      </c>
      <c r="H7" s="46"/>
      <c r="I7" s="98" t="str">
        <f>IF(Info!D8=""," ",Info!D8)</f>
        <v xml:space="preserve"> </v>
      </c>
      <c r="J7" s="98"/>
      <c r="K7" s="98"/>
      <c r="L7" s="98"/>
    </row>
    <row r="8" spans="1:12" s="5" customFormat="1" ht="13.9" x14ac:dyDescent="0.4">
      <c r="A8" s="93" t="s">
        <v>6</v>
      </c>
      <c r="B8" s="93"/>
      <c r="C8" s="98" t="str">
        <f>IF(Info!D7=""," ",Info!D7)</f>
        <v xml:space="preserve"> </v>
      </c>
      <c r="D8" s="98"/>
      <c r="E8" s="98"/>
      <c r="F8" s="98"/>
      <c r="G8" s="46" t="s">
        <v>11</v>
      </c>
      <c r="H8" s="46"/>
      <c r="I8" s="58" t="str">
        <f>IF(Info!D11=""," ",Info!D11)</f>
        <v xml:space="preserve"> </v>
      </c>
      <c r="J8" s="58"/>
      <c r="K8" s="58"/>
      <c r="L8" s="58"/>
    </row>
    <row r="9" spans="1:12" s="5" customFormat="1" ht="23.65" ph="1" x14ac:dyDescent="0.4">
      <c r="A9" s="93" t="s">
        <v>7</v>
      </c>
      <c r="B9" s="93"/>
      <c r="C9" s="98" t="str">
        <f>IF(Info!D10=""," ",Info!D10)</f>
        <v xml:space="preserve"> </v>
      </c>
      <c r="D9" s="98"/>
      <c r="E9" s="98"/>
      <c r="F9" s="98"/>
      <c r="G9" s="46" t="s">
        <v>12</v>
      </c>
      <c r="H9" s="46"/>
      <c r="I9" s="58" t="str">
        <f>IF(Info!D12=""," ",Info!D12)</f>
        <v xml:space="preserve"> </v>
      </c>
      <c r="J9" s="58"/>
      <c r="K9" s="58"/>
      <c r="L9" s="58"/>
    </row>
    <row r="10" spans="1:12" s="5" customFormat="1" ht="13.9" x14ac:dyDescent="0.4">
      <c r="A10" s="93" t="s">
        <v>8</v>
      </c>
      <c r="B10" s="93"/>
      <c r="C10" s="98" t="str">
        <f>IF(Info!D15=""," ",Info!D15)</f>
        <v xml:space="preserve"> </v>
      </c>
      <c r="D10" s="98"/>
      <c r="E10" s="98"/>
      <c r="F10" s="98"/>
      <c r="G10" s="46" t="s">
        <v>13</v>
      </c>
      <c r="H10" s="46"/>
      <c r="I10" s="58" t="str">
        <f>IF(Info!D13=""," ",Info!D13)</f>
        <v xml:space="preserve"> </v>
      </c>
      <c r="J10" s="58"/>
      <c r="K10" s="58"/>
      <c r="L10" s="58"/>
    </row>
    <row r="11" spans="1:12" s="5" customFormat="1" ht="13.9" x14ac:dyDescent="0.4">
      <c r="A11" s="93" t="s">
        <v>47</v>
      </c>
      <c r="B11" s="93"/>
      <c r="C11" s="96" t="str">
        <f>IF(Info!D19=""," ",Info!D19)</f>
        <v xml:space="preserve"> </v>
      </c>
      <c r="D11" s="96"/>
      <c r="E11" s="96"/>
      <c r="F11" s="96"/>
      <c r="G11" s="46" t="s">
        <v>14</v>
      </c>
      <c r="H11" s="46"/>
      <c r="I11" s="96" t="str">
        <f>IF(Info!D14=""," ",Info!D14)</f>
        <v xml:space="preserve"> </v>
      </c>
      <c r="J11" s="96"/>
      <c r="K11" s="96"/>
      <c r="L11" s="96"/>
    </row>
    <row r="12" spans="1:12" s="5" customFormat="1" ht="23.65" ph="1" x14ac:dyDescent="0.4">
      <c r="A12" s="93" t="s">
        <v>9</v>
      </c>
      <c r="B12" s="93"/>
      <c r="C12" s="8" t="str">
        <f>IF(Info!D18=""," ",Info!D18)</f>
        <v xml:space="preserve"> </v>
      </c>
      <c r="D12" s="91" t="s">
        <v>49</v>
      </c>
      <c r="E12" s="92"/>
      <c r="F12" s="92"/>
      <c r="G12" s="46" t="s">
        <v>15</v>
      </c>
      <c r="H12" s="46"/>
      <c r="I12" s="58" t="str">
        <f>IF(Info!D16=""," ",Info!D16)</f>
        <v xml:space="preserve"> </v>
      </c>
      <c r="J12" s="58"/>
      <c r="K12" s="58"/>
      <c r="L12" s="58"/>
    </row>
    <row r="13" spans="1:12" s="5" customFormat="1" ht="13.9" thickBot="1" x14ac:dyDescent="0.4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5.4" thickBot="1" x14ac:dyDescent="0.45">
      <c r="A14" s="94" t="s">
        <v>42</v>
      </c>
      <c r="B14" s="95"/>
      <c r="C14" s="95"/>
      <c r="D14" s="95"/>
      <c r="E14" s="95"/>
      <c r="F14" s="95"/>
      <c r="G14" s="95"/>
      <c r="H14" s="95"/>
      <c r="I14" s="86"/>
      <c r="J14" s="87"/>
      <c r="K14" s="87"/>
      <c r="L14" s="88"/>
    </row>
    <row r="15" spans="1:12" ht="14.25" thickBot="1" x14ac:dyDescent="0.45">
      <c r="A15" s="71" t="s">
        <v>16</v>
      </c>
      <c r="B15" s="89"/>
      <c r="C15" s="90" t="s">
        <v>43</v>
      </c>
      <c r="D15" s="72"/>
      <c r="E15" s="72"/>
      <c r="F15" s="72"/>
      <c r="G15" s="72"/>
      <c r="H15" s="72"/>
      <c r="I15" s="80"/>
      <c r="J15" s="81"/>
      <c r="K15" s="81"/>
      <c r="L15" s="82"/>
    </row>
    <row r="16" spans="1:12" ht="13.9" x14ac:dyDescent="0.4">
      <c r="A16" s="71" t="s">
        <v>17</v>
      </c>
      <c r="B16" s="89"/>
      <c r="C16" s="34" t="s">
        <v>60</v>
      </c>
      <c r="D16" s="34" t="s">
        <v>62</v>
      </c>
      <c r="E16" s="34" t="s">
        <v>56</v>
      </c>
      <c r="F16" s="34" t="s">
        <v>54</v>
      </c>
      <c r="G16" s="32" t="s">
        <v>58</v>
      </c>
      <c r="H16" s="35" t="s">
        <v>54</v>
      </c>
      <c r="I16" s="65" t="s">
        <v>20</v>
      </c>
      <c r="J16" s="66"/>
      <c r="K16" s="66"/>
      <c r="L16" s="67"/>
    </row>
    <row r="17" spans="1:12" ht="14.25" thickBot="1" x14ac:dyDescent="0.45">
      <c r="A17" s="26" t="s">
        <v>18</v>
      </c>
      <c r="B17" s="27" t="s">
        <v>19</v>
      </c>
      <c r="C17" s="4" t="s">
        <v>61</v>
      </c>
      <c r="D17" s="4" t="s">
        <v>63</v>
      </c>
      <c r="E17" s="4" t="s">
        <v>57</v>
      </c>
      <c r="F17" s="4" t="s">
        <v>55</v>
      </c>
      <c r="G17" s="10" t="s">
        <v>57</v>
      </c>
      <c r="H17" s="28" t="s">
        <v>55</v>
      </c>
      <c r="I17" s="65" t="s">
        <v>21</v>
      </c>
      <c r="J17" s="66"/>
      <c r="K17" s="66"/>
      <c r="L17" s="67"/>
    </row>
    <row r="18" spans="1:12" ht="13.9" x14ac:dyDescent="0.4">
      <c r="A18" s="22"/>
      <c r="B18" s="23"/>
      <c r="C18" s="24"/>
      <c r="D18" s="25"/>
      <c r="E18" s="25"/>
      <c r="F18" s="21" t="str">
        <f>IF(E18=""," ",IF(E18&lt;=Info!D18,"Pass","Fail"))</f>
        <v xml:space="preserve"> </v>
      </c>
      <c r="G18" s="20"/>
      <c r="H18" s="33" t="str">
        <f>IF(G18=""," ",IF(G18&lt;=Info!F18,"Pass","Fail"))</f>
        <v xml:space="preserve"> </v>
      </c>
      <c r="I18" s="83" t="s">
        <v>22</v>
      </c>
      <c r="J18" s="84"/>
      <c r="K18" s="84"/>
      <c r="L18" s="85"/>
    </row>
    <row r="19" spans="1:12" ht="13.9" x14ac:dyDescent="0.4">
      <c r="A19" s="14"/>
      <c r="B19" s="15"/>
      <c r="C19" s="18"/>
      <c r="D19" s="11"/>
      <c r="E19" s="11"/>
      <c r="F19" s="29" t="str">
        <f>IF(E19=""," ",IF(E19&lt;=Info!D19,"Pass","Fail"))</f>
        <v xml:space="preserve"> </v>
      </c>
      <c r="G19" s="30"/>
      <c r="H19" s="31" t="str">
        <f>IF(G19=""," ",IF(G19&lt;=Info!F19,"Pass","Fail"))</f>
        <v xml:space="preserve"> </v>
      </c>
      <c r="I19" s="83" t="s">
        <v>23</v>
      </c>
      <c r="J19" s="84"/>
      <c r="K19" s="84"/>
      <c r="L19" s="85"/>
    </row>
    <row r="20" spans="1:12" ht="13.9" x14ac:dyDescent="0.4">
      <c r="A20" s="14"/>
      <c r="B20" s="15"/>
      <c r="C20" s="18"/>
      <c r="D20" s="11"/>
      <c r="E20" s="11"/>
      <c r="F20" s="29" t="str">
        <f>IF(E20=""," ",IF(E20&lt;=Info!D20,"Pass","Fail"))</f>
        <v xml:space="preserve"> </v>
      </c>
      <c r="G20" s="30"/>
      <c r="H20" s="31" t="str">
        <f>IF(G20=""," ",IF(G20&lt;=Info!F20,"Pass","Fail"))</f>
        <v xml:space="preserve"> </v>
      </c>
      <c r="I20" s="65" t="s">
        <v>24</v>
      </c>
      <c r="J20" s="66"/>
      <c r="K20" s="66"/>
      <c r="L20" s="67"/>
    </row>
    <row r="21" spans="1:12" ht="14.25" thickBot="1" x14ac:dyDescent="0.45">
      <c r="A21" s="14"/>
      <c r="B21" s="15"/>
      <c r="C21" s="18"/>
      <c r="D21" s="11"/>
      <c r="E21" s="11"/>
      <c r="F21" s="29" t="str">
        <f>IF(E21=""," ",IF(E21&lt;=Info!D21,"Pass","Fail"))</f>
        <v xml:space="preserve"> </v>
      </c>
      <c r="G21" s="30"/>
      <c r="H21" s="31" t="str">
        <f>IF(G21=""," ",IF(G21&lt;=Info!F21,"Pass","Fail"))</f>
        <v xml:space="preserve"> </v>
      </c>
      <c r="I21" s="68"/>
      <c r="J21" s="69"/>
      <c r="K21" s="69"/>
      <c r="L21" s="70"/>
    </row>
    <row r="22" spans="1:12" ht="13.9" x14ac:dyDescent="0.4">
      <c r="A22" s="14"/>
      <c r="B22" s="15"/>
      <c r="C22" s="18"/>
      <c r="D22" s="11"/>
      <c r="E22" s="11"/>
      <c r="F22" s="29" t="str">
        <f>IF(E22=""," ",IF(E22&lt;=Info!D22,"Pass","Fail"))</f>
        <v xml:space="preserve"> </v>
      </c>
      <c r="G22" s="30"/>
      <c r="H22" s="31" t="str">
        <f>IF(G22=""," ",IF(G22&lt;=Info!F22,"Pass","Fail"))</f>
        <v xml:space="preserve"> </v>
      </c>
      <c r="I22" s="71"/>
      <c r="J22" s="72"/>
      <c r="K22" s="72"/>
      <c r="L22" s="73"/>
    </row>
    <row r="23" spans="1:12" ht="14.25" thickBot="1" x14ac:dyDescent="0.45">
      <c r="A23" s="14"/>
      <c r="B23" s="15"/>
      <c r="C23" s="18"/>
      <c r="D23" s="11"/>
      <c r="E23" s="11"/>
      <c r="F23" s="29" t="str">
        <f>IF(E23=""," ",IF(E23&lt;=Info!D23,"Pass","Fail"))</f>
        <v xml:space="preserve"> </v>
      </c>
      <c r="G23" s="30"/>
      <c r="H23" s="31" t="str">
        <f>IF(G23=""," ",IF(G23&lt;=Info!F23,"Pass","Fail"))</f>
        <v xml:space="preserve"> </v>
      </c>
      <c r="I23" s="65" t="s">
        <v>32</v>
      </c>
      <c r="J23" s="66"/>
      <c r="K23" s="66"/>
      <c r="L23" s="67"/>
    </row>
    <row r="24" spans="1:12" ht="13.9" customHeight="1" x14ac:dyDescent="0.4">
      <c r="A24" s="14"/>
      <c r="B24" s="15"/>
      <c r="C24" s="18"/>
      <c r="D24" s="11"/>
      <c r="E24" s="11"/>
      <c r="F24" s="29" t="str">
        <f>IF(E24=""," ",IF(E24&lt;=Info!D24,"Pass","Fail"))</f>
        <v xml:space="preserve"> </v>
      </c>
      <c r="G24" s="30"/>
      <c r="H24" s="31" t="str">
        <f>IF(G24=""," ",IF(G24&lt;=Info!F24,"Pass","Fail"))</f>
        <v xml:space="preserve"> </v>
      </c>
      <c r="I24" s="74" t="str">
        <f>IF(A18=""," ",IF(F56=0,"Do Meet","Do Not Meet"))</f>
        <v xml:space="preserve"> </v>
      </c>
      <c r="J24" s="75"/>
      <c r="K24" s="75"/>
      <c r="L24" s="76"/>
    </row>
    <row r="25" spans="1:12" ht="13.9" customHeight="1" thickBot="1" x14ac:dyDescent="0.45">
      <c r="A25" s="14"/>
      <c r="B25" s="15"/>
      <c r="C25" s="18"/>
      <c r="D25" s="11"/>
      <c r="E25" s="11"/>
      <c r="F25" s="29" t="str">
        <f>IF(E25=""," ",IF(E25&lt;=Info!D25,"Pass","Fail"))</f>
        <v xml:space="preserve"> </v>
      </c>
      <c r="G25" s="30"/>
      <c r="H25" s="31" t="str">
        <f>IF(G25=""," ",IF(G25&lt;=Info!F25,"Pass","Fail"))</f>
        <v xml:space="preserve"> </v>
      </c>
      <c r="I25" s="77"/>
      <c r="J25" s="78"/>
      <c r="K25" s="78"/>
      <c r="L25" s="79"/>
    </row>
    <row r="26" spans="1:12" ht="13.9" x14ac:dyDescent="0.4">
      <c r="A26" s="14"/>
      <c r="B26" s="15"/>
      <c r="C26" s="18"/>
      <c r="D26" s="11"/>
      <c r="E26" s="11"/>
      <c r="F26" s="29" t="str">
        <f>IF(E26=""," ",IF(E26&lt;=Info!D26,"Pass","Fail"))</f>
        <v xml:space="preserve"> </v>
      </c>
      <c r="G26" s="30"/>
      <c r="H26" s="31" t="str">
        <f>IF(G26=""," ",IF(G26&lt;=Info!F26,"Pass","Fail"))</f>
        <v xml:space="preserve"> </v>
      </c>
      <c r="I26" s="65" t="s">
        <v>25</v>
      </c>
      <c r="J26" s="66"/>
      <c r="K26" s="66"/>
      <c r="L26" s="67"/>
    </row>
    <row r="27" spans="1:12" ht="14.25" thickBot="1" x14ac:dyDescent="0.45">
      <c r="A27" s="14"/>
      <c r="B27" s="15"/>
      <c r="C27" s="18"/>
      <c r="D27" s="11"/>
      <c r="E27" s="11"/>
      <c r="F27" s="29" t="str">
        <f>IF(E27=""," ",IF(E27&lt;=Info!D27,"Pass","Fail"))</f>
        <v xml:space="preserve"> </v>
      </c>
      <c r="G27" s="30"/>
      <c r="H27" s="31" t="str">
        <f>IF(G27=""," ",IF(G27&lt;=Info!F27,"Pass","Fail"))</f>
        <v xml:space="preserve"> </v>
      </c>
      <c r="I27" s="65" t="s">
        <v>45</v>
      </c>
      <c r="J27" s="66"/>
      <c r="K27" s="66"/>
      <c r="L27" s="67"/>
    </row>
    <row r="28" spans="1:12" ht="13.9" x14ac:dyDescent="0.4">
      <c r="A28" s="14"/>
      <c r="B28" s="15"/>
      <c r="C28" s="18"/>
      <c r="D28" s="11"/>
      <c r="E28" s="11"/>
      <c r="F28" s="29" t="str">
        <f>IF(E28=""," ",IF(E28&lt;=Info!D28,"Pass","Fail"))</f>
        <v xml:space="preserve"> </v>
      </c>
      <c r="G28" s="30"/>
      <c r="H28" s="31" t="str">
        <f>IF(G28=""," ",IF(G28&lt;=Info!F28,"Pass","Fail"))</f>
        <v xml:space="preserve"> </v>
      </c>
      <c r="I28" s="80"/>
      <c r="J28" s="81"/>
      <c r="K28" s="81"/>
      <c r="L28" s="82"/>
    </row>
    <row r="29" spans="1:12" ht="13.9" x14ac:dyDescent="0.4">
      <c r="A29" s="14"/>
      <c r="B29" s="15"/>
      <c r="C29" s="18"/>
      <c r="D29" s="11"/>
      <c r="E29" s="11"/>
      <c r="F29" s="29" t="str">
        <f>IF(E29=""," ",IF(E29&lt;=Info!D29,"Pass","Fail"))</f>
        <v xml:space="preserve"> </v>
      </c>
      <c r="G29" s="30"/>
      <c r="H29" s="31" t="str">
        <f>IF(G29=""," ",IF(G29&lt;=Info!F29,"Pass","Fail"))</f>
        <v xml:space="preserve"> </v>
      </c>
      <c r="I29" s="65" t="s">
        <v>26</v>
      </c>
      <c r="J29" s="66"/>
      <c r="K29" s="66"/>
      <c r="L29" s="67"/>
    </row>
    <row r="30" spans="1:12" ht="14.25" thickBot="1" x14ac:dyDescent="0.45">
      <c r="A30" s="14"/>
      <c r="B30" s="15"/>
      <c r="C30" s="18"/>
      <c r="D30" s="11"/>
      <c r="E30" s="11"/>
      <c r="F30" s="29" t="str">
        <f>IF(E30=""," ",IF(E30&lt;=Info!D30,"Pass","Fail"))</f>
        <v xml:space="preserve"> </v>
      </c>
      <c r="G30" s="30"/>
      <c r="H30" s="31" t="str">
        <f>IF(G30=""," ",IF(G30&lt;=Info!F30,"Pass","Fail"))</f>
        <v xml:space="preserve"> </v>
      </c>
      <c r="I30" s="68"/>
      <c r="J30" s="69"/>
      <c r="K30" s="69"/>
      <c r="L30" s="70"/>
    </row>
    <row r="31" spans="1:12" ht="13.9" x14ac:dyDescent="0.4">
      <c r="A31" s="14"/>
      <c r="B31" s="15"/>
      <c r="C31" s="18"/>
      <c r="D31" s="11"/>
      <c r="E31" s="11"/>
      <c r="F31" s="29" t="str">
        <f>IF(E31=""," ",IF(E31&lt;=Info!D31,"Pass","Fail"))</f>
        <v xml:space="preserve"> </v>
      </c>
      <c r="G31" s="30"/>
      <c r="H31" s="31" t="str">
        <f>IF(G31=""," ",IF(G31&lt;=Info!F31,"Pass","Fail"))</f>
        <v xml:space="preserve"> </v>
      </c>
      <c r="I31" s="59"/>
      <c r="J31" s="60"/>
      <c r="K31" s="60"/>
      <c r="L31" s="61"/>
    </row>
    <row r="32" spans="1:12" ht="13.9" x14ac:dyDescent="0.4">
      <c r="A32" s="14"/>
      <c r="B32" s="15"/>
      <c r="C32" s="18"/>
      <c r="D32" s="11"/>
      <c r="E32" s="11"/>
      <c r="F32" s="29" t="str">
        <f>IF(E32=""," ",IF(E32&lt;=Info!D32,"Pass","Fail"))</f>
        <v xml:space="preserve"> </v>
      </c>
      <c r="G32" s="30"/>
      <c r="H32" s="31" t="str">
        <f>IF(G32=""," ",IF(G32&lt;=Info!F32,"Pass","Fail"))</f>
        <v xml:space="preserve"> </v>
      </c>
      <c r="I32" s="59"/>
      <c r="J32" s="60"/>
      <c r="K32" s="60"/>
      <c r="L32" s="61"/>
    </row>
    <row r="33" spans="1:12" ht="13.9" x14ac:dyDescent="0.4">
      <c r="A33" s="14"/>
      <c r="B33" s="15"/>
      <c r="C33" s="18"/>
      <c r="D33" s="11"/>
      <c r="E33" s="11"/>
      <c r="F33" s="29" t="str">
        <f>IF(E33=""," ",IF(E33&lt;=Info!D33,"Pass","Fail"))</f>
        <v xml:space="preserve"> </v>
      </c>
      <c r="G33" s="30"/>
      <c r="H33" s="31" t="str">
        <f>IF(G33=""," ",IF(G33&lt;=Info!F33,"Pass","Fail"))</f>
        <v xml:space="preserve"> </v>
      </c>
      <c r="I33" s="59"/>
      <c r="J33" s="60"/>
      <c r="K33" s="60"/>
      <c r="L33" s="61"/>
    </row>
    <row r="34" spans="1:12" ht="13.9" x14ac:dyDescent="0.4">
      <c r="A34" s="14"/>
      <c r="B34" s="15"/>
      <c r="C34" s="18"/>
      <c r="D34" s="11"/>
      <c r="E34" s="11"/>
      <c r="F34" s="29" t="str">
        <f>IF(E34=""," ",IF(E34&lt;=Info!D34,"Pass","Fail"))</f>
        <v xml:space="preserve"> </v>
      </c>
      <c r="G34" s="30"/>
      <c r="H34" s="31" t="str">
        <f>IF(G34=""," ",IF(G34&lt;=Info!F34,"Pass","Fail"))</f>
        <v xml:space="preserve"> </v>
      </c>
      <c r="I34" s="59"/>
      <c r="J34" s="60"/>
      <c r="K34" s="60"/>
      <c r="L34" s="61"/>
    </row>
    <row r="35" spans="1:12" ht="13.9" x14ac:dyDescent="0.4">
      <c r="A35" s="14"/>
      <c r="B35" s="15"/>
      <c r="C35" s="18"/>
      <c r="D35" s="11"/>
      <c r="E35" s="11"/>
      <c r="F35" s="29" t="str">
        <f>IF(E35=""," ",IF(E35&lt;=Info!D35,"Pass","Fail"))</f>
        <v xml:space="preserve"> </v>
      </c>
      <c r="G35" s="30"/>
      <c r="H35" s="31" t="str">
        <f>IF(G35=""," ",IF(G35&lt;=Info!F35,"Pass","Fail"))</f>
        <v xml:space="preserve"> </v>
      </c>
      <c r="I35" s="59"/>
      <c r="J35" s="60"/>
      <c r="K35" s="60"/>
      <c r="L35" s="61"/>
    </row>
    <row r="36" spans="1:12" ht="13.9" x14ac:dyDescent="0.4">
      <c r="A36" s="14"/>
      <c r="B36" s="15"/>
      <c r="C36" s="18"/>
      <c r="D36" s="11"/>
      <c r="E36" s="11"/>
      <c r="F36" s="29" t="str">
        <f>IF(E36=""," ",IF(E36&lt;=Info!D36,"Pass","Fail"))</f>
        <v xml:space="preserve"> </v>
      </c>
      <c r="G36" s="30"/>
      <c r="H36" s="31" t="str">
        <f>IF(G36=""," ",IF(G36&lt;=Info!F36,"Pass","Fail"))</f>
        <v xml:space="preserve"> </v>
      </c>
      <c r="I36" s="59"/>
      <c r="J36" s="60"/>
      <c r="K36" s="60"/>
      <c r="L36" s="61"/>
    </row>
    <row r="37" spans="1:12" ht="13.9" x14ac:dyDescent="0.4">
      <c r="A37" s="14"/>
      <c r="B37" s="15"/>
      <c r="C37" s="18"/>
      <c r="D37" s="11"/>
      <c r="E37" s="11"/>
      <c r="F37" s="29" t="str">
        <f>IF(E37=""," ",IF(E37&lt;=Info!D37,"Pass","Fail"))</f>
        <v xml:space="preserve"> </v>
      </c>
      <c r="G37" s="30"/>
      <c r="H37" s="31" t="str">
        <f>IF(G37=""," ",IF(G37&lt;=Info!F37,"Pass","Fail"))</f>
        <v xml:space="preserve"> </v>
      </c>
      <c r="I37" s="59"/>
      <c r="J37" s="60"/>
      <c r="K37" s="60"/>
      <c r="L37" s="61"/>
    </row>
    <row r="38" spans="1:12" ht="13.9" x14ac:dyDescent="0.4">
      <c r="A38" s="14"/>
      <c r="B38" s="15"/>
      <c r="C38" s="18"/>
      <c r="D38" s="11"/>
      <c r="E38" s="11"/>
      <c r="F38" s="29" t="str">
        <f>IF(E38=""," ",IF(E38&lt;=Info!D38,"Pass","Fail"))</f>
        <v xml:space="preserve"> </v>
      </c>
      <c r="G38" s="30"/>
      <c r="H38" s="31" t="str">
        <f>IF(G38=""," ",IF(G38&lt;=Info!F38,"Pass","Fail"))</f>
        <v xml:space="preserve"> </v>
      </c>
      <c r="I38" s="59"/>
      <c r="J38" s="60"/>
      <c r="K38" s="60"/>
      <c r="L38" s="61"/>
    </row>
    <row r="39" spans="1:12" ht="13.9" x14ac:dyDescent="0.4">
      <c r="A39" s="14"/>
      <c r="B39" s="15"/>
      <c r="C39" s="18"/>
      <c r="D39" s="11"/>
      <c r="E39" s="11"/>
      <c r="F39" s="29" t="str">
        <f>IF(E39=""," ",IF(E39&lt;=Info!D39,"Pass","Fail"))</f>
        <v xml:space="preserve"> </v>
      </c>
      <c r="G39" s="30"/>
      <c r="H39" s="31" t="str">
        <f>IF(G39=""," ",IF(G39&lt;=Info!F39,"Pass","Fail"))</f>
        <v xml:space="preserve"> </v>
      </c>
      <c r="I39" s="59"/>
      <c r="J39" s="60"/>
      <c r="K39" s="60"/>
      <c r="L39" s="61"/>
    </row>
    <row r="40" spans="1:12" ht="13.9" x14ac:dyDescent="0.4">
      <c r="A40" s="14"/>
      <c r="B40" s="15"/>
      <c r="C40" s="18"/>
      <c r="D40" s="11"/>
      <c r="E40" s="11"/>
      <c r="F40" s="29" t="str">
        <f>IF(E40=""," ",IF(E40&lt;=Info!D40,"Pass","Fail"))</f>
        <v xml:space="preserve"> </v>
      </c>
      <c r="G40" s="30"/>
      <c r="H40" s="31" t="str">
        <f>IF(G40=""," ",IF(G40&lt;=Info!F40,"Pass","Fail"))</f>
        <v xml:space="preserve"> </v>
      </c>
      <c r="I40" s="59"/>
      <c r="J40" s="60"/>
      <c r="K40" s="60"/>
      <c r="L40" s="61"/>
    </row>
    <row r="41" spans="1:12" ht="13.9" x14ac:dyDescent="0.4">
      <c r="A41" s="14"/>
      <c r="B41" s="15"/>
      <c r="C41" s="18"/>
      <c r="D41" s="11"/>
      <c r="E41" s="11"/>
      <c r="F41" s="29" t="str">
        <f>IF(E41=""," ",IF(E41&lt;=Info!D41,"Pass","Fail"))</f>
        <v xml:space="preserve"> </v>
      </c>
      <c r="G41" s="30"/>
      <c r="H41" s="31" t="str">
        <f>IF(G41=""," ",IF(G41&lt;=Info!F41,"Pass","Fail"))</f>
        <v xml:space="preserve"> </v>
      </c>
      <c r="I41" s="59"/>
      <c r="J41" s="60"/>
      <c r="K41" s="60"/>
      <c r="L41" s="61"/>
    </row>
    <row r="42" spans="1:12" ht="13.9" x14ac:dyDescent="0.4">
      <c r="A42" s="14"/>
      <c r="B42" s="15"/>
      <c r="C42" s="18"/>
      <c r="D42" s="11"/>
      <c r="E42" s="11"/>
      <c r="F42" s="29" t="str">
        <f>IF(E42=""," ",IF(E42&lt;=Info!D42,"Pass","Fail"))</f>
        <v xml:space="preserve"> </v>
      </c>
      <c r="G42" s="30"/>
      <c r="H42" s="31" t="str">
        <f>IF(G42=""," ",IF(G42&lt;=Info!F42,"Pass","Fail"))</f>
        <v xml:space="preserve"> </v>
      </c>
      <c r="I42" s="59"/>
      <c r="J42" s="60"/>
      <c r="K42" s="60"/>
      <c r="L42" s="61"/>
    </row>
    <row r="43" spans="1:12" ht="13.9" x14ac:dyDescent="0.4">
      <c r="A43" s="14"/>
      <c r="B43" s="15"/>
      <c r="C43" s="18"/>
      <c r="D43" s="11"/>
      <c r="E43" s="11"/>
      <c r="F43" s="29" t="str">
        <f>IF(E43=""," ",IF(E43&lt;=Info!D43,"Pass","Fail"))</f>
        <v xml:space="preserve"> </v>
      </c>
      <c r="G43" s="30"/>
      <c r="H43" s="31" t="str">
        <f>IF(G43=""," ",IF(G43&lt;=Info!F43,"Pass","Fail"))</f>
        <v xml:space="preserve"> </v>
      </c>
      <c r="I43" s="59"/>
      <c r="J43" s="60"/>
      <c r="K43" s="60"/>
      <c r="L43" s="61"/>
    </row>
    <row r="44" spans="1:12" ht="13.9" x14ac:dyDescent="0.4">
      <c r="A44" s="14"/>
      <c r="B44" s="15"/>
      <c r="C44" s="18"/>
      <c r="D44" s="11"/>
      <c r="E44" s="11"/>
      <c r="F44" s="29" t="str">
        <f>IF(E44=""," ",IF(E44&lt;=Info!D44,"Pass","Fail"))</f>
        <v xml:space="preserve"> </v>
      </c>
      <c r="G44" s="30"/>
      <c r="H44" s="31" t="str">
        <f>IF(G44=""," ",IF(G44&lt;=Info!F44,"Pass","Fail"))</f>
        <v xml:space="preserve"> </v>
      </c>
      <c r="I44" s="59"/>
      <c r="J44" s="60"/>
      <c r="K44" s="60"/>
      <c r="L44" s="61"/>
    </row>
    <row r="45" spans="1:12" ht="13.9" x14ac:dyDescent="0.4">
      <c r="A45" s="14"/>
      <c r="B45" s="15"/>
      <c r="C45" s="18"/>
      <c r="D45" s="11"/>
      <c r="E45" s="11"/>
      <c r="F45" s="29" t="str">
        <f>IF(E45=""," ",IF(E45&lt;=Info!D45,"Pass","Fail"))</f>
        <v xml:space="preserve"> </v>
      </c>
      <c r="G45" s="30"/>
      <c r="H45" s="31" t="str">
        <f>IF(G45=""," ",IF(G45&lt;=Info!F45,"Pass","Fail"))</f>
        <v xml:space="preserve"> </v>
      </c>
      <c r="I45" s="59"/>
      <c r="J45" s="60"/>
      <c r="K45" s="60"/>
      <c r="L45" s="61"/>
    </row>
    <row r="46" spans="1:12" ht="13.9" x14ac:dyDescent="0.4">
      <c r="A46" s="14"/>
      <c r="B46" s="15"/>
      <c r="C46" s="18"/>
      <c r="D46" s="11"/>
      <c r="E46" s="11"/>
      <c r="F46" s="29" t="str">
        <f>IF(E46=""," ",IF(E46&lt;=Info!D46,"Pass","Fail"))</f>
        <v xml:space="preserve"> </v>
      </c>
      <c r="G46" s="30"/>
      <c r="H46" s="31" t="str">
        <f>IF(G46=""," ",IF(G46&lt;=Info!F46,"Pass","Fail"))</f>
        <v xml:space="preserve"> </v>
      </c>
      <c r="I46" s="43"/>
      <c r="J46" s="44"/>
      <c r="K46" s="44"/>
      <c r="L46" s="45"/>
    </row>
    <row r="47" spans="1:12" ht="13.9" x14ac:dyDescent="0.4">
      <c r="A47" s="14"/>
      <c r="B47" s="15"/>
      <c r="C47" s="18"/>
      <c r="D47" s="11"/>
      <c r="E47" s="11"/>
      <c r="F47" s="29" t="str">
        <f>IF(E47=""," ",IF(E47&lt;=Info!D47,"Pass","Fail"))</f>
        <v xml:space="preserve"> </v>
      </c>
      <c r="G47" s="30"/>
      <c r="H47" s="31" t="str">
        <f>IF(G47=""," ",IF(G47&lt;=Info!F47,"Pass","Fail"))</f>
        <v xml:space="preserve"> </v>
      </c>
      <c r="I47" s="43"/>
      <c r="J47" s="44"/>
      <c r="K47" s="44"/>
      <c r="L47" s="45"/>
    </row>
    <row r="48" spans="1:12" ht="13.9" x14ac:dyDescent="0.4">
      <c r="A48" s="14"/>
      <c r="B48" s="15"/>
      <c r="C48" s="18"/>
      <c r="D48" s="11"/>
      <c r="E48" s="11"/>
      <c r="F48" s="29" t="str">
        <f>IF(E48=""," ",IF(E48&lt;=Info!D48,"Pass","Fail"))</f>
        <v xml:space="preserve"> </v>
      </c>
      <c r="G48" s="30"/>
      <c r="H48" s="31" t="str">
        <f>IF(G48=""," ",IF(G48&lt;=Info!F48,"Pass","Fail"))</f>
        <v xml:space="preserve"> </v>
      </c>
      <c r="I48" s="43"/>
      <c r="J48" s="44"/>
      <c r="K48" s="44"/>
      <c r="L48" s="45"/>
    </row>
    <row r="49" spans="1:12" ht="13.9" x14ac:dyDescent="0.4">
      <c r="A49" s="14"/>
      <c r="B49" s="15"/>
      <c r="C49" s="18"/>
      <c r="D49" s="11"/>
      <c r="E49" s="11"/>
      <c r="F49" s="29" t="str">
        <f>IF(E49=""," ",IF(E49&lt;=Info!D49,"Pass","Fail"))</f>
        <v xml:space="preserve"> </v>
      </c>
      <c r="G49" s="30"/>
      <c r="H49" s="31" t="str">
        <f>IF(G49=""," ",IF(G49&lt;=Info!F49,"Pass","Fail"))</f>
        <v xml:space="preserve"> </v>
      </c>
      <c r="I49" s="43"/>
      <c r="J49" s="44"/>
      <c r="K49" s="44"/>
      <c r="L49" s="45"/>
    </row>
    <row r="50" spans="1:12" ht="13.9" x14ac:dyDescent="0.4">
      <c r="A50" s="14"/>
      <c r="B50" s="15"/>
      <c r="C50" s="18"/>
      <c r="D50" s="11"/>
      <c r="E50" s="11"/>
      <c r="F50" s="29" t="str">
        <f>IF(E50=""," ",IF(E50&lt;=Info!D50,"Pass","Fail"))</f>
        <v xml:space="preserve"> </v>
      </c>
      <c r="G50" s="30"/>
      <c r="H50" s="31" t="str">
        <f>IF(G50=""," ",IF(G50&lt;=Info!F50,"Pass","Fail"))</f>
        <v xml:space="preserve"> </v>
      </c>
      <c r="I50" s="43"/>
      <c r="J50" s="44"/>
      <c r="K50" s="44"/>
      <c r="L50" s="45"/>
    </row>
    <row r="51" spans="1:12" ht="13.9" x14ac:dyDescent="0.4">
      <c r="A51" s="14"/>
      <c r="B51" s="15"/>
      <c r="C51" s="18"/>
      <c r="D51" s="11"/>
      <c r="E51" s="11"/>
      <c r="F51" s="29" t="str">
        <f>IF(E51=""," ",IF(E51&lt;=Info!D51,"Pass","Fail"))</f>
        <v xml:space="preserve"> </v>
      </c>
      <c r="G51" s="30"/>
      <c r="H51" s="31" t="str">
        <f>IF(G51=""," ",IF(G51&lt;=Info!F51,"Pass","Fail"))</f>
        <v xml:space="preserve"> </v>
      </c>
      <c r="I51" s="43"/>
      <c r="J51" s="44"/>
      <c r="K51" s="44"/>
      <c r="L51" s="45"/>
    </row>
    <row r="52" spans="1:12" ht="13.9" x14ac:dyDescent="0.4">
      <c r="A52" s="14"/>
      <c r="B52" s="15"/>
      <c r="C52" s="18"/>
      <c r="D52" s="11"/>
      <c r="E52" s="11"/>
      <c r="F52" s="29" t="str">
        <f>IF(E52=""," ",IF(E52&lt;=Info!D52,"Pass","Fail"))</f>
        <v xml:space="preserve"> </v>
      </c>
      <c r="G52" s="30"/>
      <c r="H52" s="31" t="str">
        <f>IF(G52=""," ",IF(G52&lt;=Info!F52,"Pass","Fail"))</f>
        <v xml:space="preserve"> </v>
      </c>
      <c r="I52" s="43"/>
      <c r="J52" s="44"/>
      <c r="K52" s="44"/>
      <c r="L52" s="45"/>
    </row>
    <row r="53" spans="1:12" ht="13.9" x14ac:dyDescent="0.4">
      <c r="A53" s="14"/>
      <c r="B53" s="15"/>
      <c r="C53" s="18"/>
      <c r="D53" s="11"/>
      <c r="E53" s="11"/>
      <c r="F53" s="29" t="str">
        <f>IF(E53=""," ",IF(E53&lt;=Info!D53,"Pass","Fail"))</f>
        <v xml:space="preserve"> </v>
      </c>
      <c r="G53" s="30"/>
      <c r="H53" s="31" t="str">
        <f>IF(G53=""," ",IF(G53&lt;=Info!F53,"Pass","Fail"))</f>
        <v xml:space="preserve"> </v>
      </c>
      <c r="I53" s="59"/>
      <c r="J53" s="60"/>
      <c r="K53" s="60"/>
      <c r="L53" s="61"/>
    </row>
    <row r="54" spans="1:12" ht="14.25" thickBot="1" x14ac:dyDescent="0.45">
      <c r="A54" s="16"/>
      <c r="B54" s="17"/>
      <c r="C54" s="19"/>
      <c r="D54" s="12"/>
      <c r="E54" s="12"/>
      <c r="F54" s="29" t="str">
        <f>IF(E54=""," ",IF(E54&lt;=Info!D54,"Pass","Fail"))</f>
        <v xml:space="preserve"> </v>
      </c>
      <c r="G54" s="30"/>
      <c r="H54" s="31" t="str">
        <f>IF(G54=""," ",IF(G54&lt;=Info!F54,"Pass","Fail"))</f>
        <v xml:space="preserve"> </v>
      </c>
      <c r="I54" s="62"/>
      <c r="J54" s="63"/>
      <c r="K54" s="63"/>
      <c r="L54" s="64"/>
    </row>
    <row r="55" spans="1:12" ht="14.25" thickBot="1" x14ac:dyDescent="0.45">
      <c r="A55" s="48" t="s">
        <v>44</v>
      </c>
      <c r="B55" s="49"/>
      <c r="C55" s="49"/>
      <c r="D55" s="49"/>
      <c r="E55" s="49"/>
      <c r="F55" s="50"/>
      <c r="G55" s="50"/>
      <c r="H55" s="50"/>
      <c r="I55" s="49"/>
      <c r="J55" s="49"/>
      <c r="K55" s="49"/>
      <c r="L55" s="51"/>
    </row>
    <row r="56" spans="1:12" ht="14.25" thickBot="1" x14ac:dyDescent="0.45">
      <c r="A56" s="52" t="s">
        <v>53</v>
      </c>
      <c r="B56" s="53"/>
      <c r="C56" s="53"/>
      <c r="D56" s="53"/>
      <c r="E56" s="54"/>
      <c r="F56" s="13">
        <f>COUNTIF(F18:F54:H18:H54,"Fail")</f>
        <v>0</v>
      </c>
      <c r="G56" s="9"/>
      <c r="H56" s="9"/>
      <c r="I56" s="9"/>
      <c r="J56" s="9"/>
      <c r="K56" s="9"/>
      <c r="L56" s="9"/>
    </row>
    <row r="57" spans="1:12" ht="13.9" x14ac:dyDescent="0.4">
      <c r="A57" s="46" t="s">
        <v>27</v>
      </c>
      <c r="B57" s="46"/>
      <c r="C57" s="46"/>
      <c r="D57" s="56" t="s">
        <v>51</v>
      </c>
      <c r="E57" s="56"/>
      <c r="F57" s="56"/>
      <c r="G57" s="55"/>
      <c r="H57" s="55"/>
      <c r="I57" s="55"/>
      <c r="J57" s="55"/>
      <c r="K57" s="55"/>
      <c r="L57" s="55"/>
    </row>
    <row r="58" spans="1:12" ht="13.9" x14ac:dyDescent="0.4">
      <c r="A58" s="46" t="s">
        <v>50</v>
      </c>
      <c r="B58" s="46"/>
      <c r="C58" s="46"/>
      <c r="D58" s="57"/>
      <c r="E58" s="57"/>
      <c r="F58" s="57"/>
      <c r="G58" s="46" t="s">
        <v>30</v>
      </c>
      <c r="H58" s="46"/>
      <c r="I58" s="46"/>
      <c r="J58" s="47"/>
      <c r="K58" s="47"/>
      <c r="L58" s="47"/>
    </row>
    <row r="59" spans="1:12" ht="13.9" x14ac:dyDescent="0.4">
      <c r="A59" s="46" t="s">
        <v>28</v>
      </c>
      <c r="B59" s="46"/>
      <c r="C59" s="46"/>
      <c r="D59" s="47"/>
      <c r="E59" s="47"/>
      <c r="F59" s="47"/>
      <c r="G59" s="46"/>
      <c r="H59" s="46"/>
      <c r="I59" s="46"/>
      <c r="J59" s="46"/>
      <c r="K59" s="46"/>
      <c r="L59" s="46"/>
    </row>
    <row r="60" spans="1:12" ht="13.9" x14ac:dyDescent="0.4">
      <c r="A60" s="46" t="s">
        <v>29</v>
      </c>
      <c r="B60" s="46"/>
      <c r="C60" s="46"/>
      <c r="D60" s="58" t="str">
        <f>IF(Info!D9=""," ",Info!D9)</f>
        <v xml:space="preserve"> </v>
      </c>
      <c r="E60" s="58"/>
      <c r="F60" s="58"/>
      <c r="G60" s="46" t="s">
        <v>31</v>
      </c>
      <c r="H60" s="46"/>
      <c r="I60" s="46"/>
      <c r="J60" s="47"/>
      <c r="K60" s="47"/>
      <c r="L60" s="47"/>
    </row>
    <row r="61" spans="1:12" ht="13.9" x14ac:dyDescent="0.4">
      <c r="A61" s="9"/>
      <c r="B61" s="9"/>
      <c r="C61" s="9"/>
      <c r="D61" s="9"/>
      <c r="E61" s="9"/>
      <c r="F61" s="9"/>
      <c r="G61" s="9"/>
      <c r="H61" s="9"/>
      <c r="I61" s="99" t="s">
        <v>66</v>
      </c>
      <c r="J61" s="99"/>
      <c r="K61" s="99"/>
      <c r="L61" s="99"/>
    </row>
  </sheetData>
  <sheetProtection password="96B1" sheet="1" objects="1" scenarios="1"/>
  <mergeCells count="100">
    <mergeCell ref="I61:L61"/>
    <mergeCell ref="D5:I5"/>
    <mergeCell ref="A5:C5"/>
    <mergeCell ref="A6:L6"/>
    <mergeCell ref="J5:L5"/>
    <mergeCell ref="A7:B7"/>
    <mergeCell ref="I27:L27"/>
    <mergeCell ref="C7:F7"/>
    <mergeCell ref="G7:H7"/>
    <mergeCell ref="I7:L7"/>
    <mergeCell ref="A1:L1"/>
    <mergeCell ref="A3:B3"/>
    <mergeCell ref="A4:B4"/>
    <mergeCell ref="K3:L3"/>
    <mergeCell ref="K4:L4"/>
    <mergeCell ref="D2:I2"/>
    <mergeCell ref="D3:I3"/>
    <mergeCell ref="D4:I4"/>
    <mergeCell ref="A2:C2"/>
    <mergeCell ref="J2:L2"/>
    <mergeCell ref="A11:B11"/>
    <mergeCell ref="C11:F11"/>
    <mergeCell ref="I8:L8"/>
    <mergeCell ref="I9:L9"/>
    <mergeCell ref="I10:L10"/>
    <mergeCell ref="G11:H11"/>
    <mergeCell ref="I11:L11"/>
    <mergeCell ref="A8:B8"/>
    <mergeCell ref="A9:B9"/>
    <mergeCell ref="A10:B10"/>
    <mergeCell ref="C10:F10"/>
    <mergeCell ref="G10:H10"/>
    <mergeCell ref="I14:L14"/>
    <mergeCell ref="I12:L12"/>
    <mergeCell ref="G8:H8"/>
    <mergeCell ref="G9:H9"/>
    <mergeCell ref="C8:F8"/>
    <mergeCell ref="C9:F9"/>
    <mergeCell ref="A16:B16"/>
    <mergeCell ref="A15:B15"/>
    <mergeCell ref="C15:H15"/>
    <mergeCell ref="D12:F12"/>
    <mergeCell ref="G12:H12"/>
    <mergeCell ref="A12:B12"/>
    <mergeCell ref="A14:H14"/>
    <mergeCell ref="A13:L13"/>
    <mergeCell ref="I19:L19"/>
    <mergeCell ref="I20:L20"/>
    <mergeCell ref="I15:L15"/>
    <mergeCell ref="I21:L21"/>
    <mergeCell ref="I16:L16"/>
    <mergeCell ref="I17:L17"/>
    <mergeCell ref="I18:L18"/>
    <mergeCell ref="I34:L34"/>
    <mergeCell ref="I35:L35"/>
    <mergeCell ref="I36:L36"/>
    <mergeCell ref="I22:L22"/>
    <mergeCell ref="I23:L23"/>
    <mergeCell ref="I24:L25"/>
    <mergeCell ref="I26:L26"/>
    <mergeCell ref="D59:F59"/>
    <mergeCell ref="D60:F60"/>
    <mergeCell ref="A58:C58"/>
    <mergeCell ref="I28:L28"/>
    <mergeCell ref="I29:L29"/>
    <mergeCell ref="I30:L30"/>
    <mergeCell ref="A55:L55"/>
    <mergeCell ref="I31:L31"/>
    <mergeCell ref="I32:L32"/>
    <mergeCell ref="I33:L33"/>
    <mergeCell ref="I50:L50"/>
    <mergeCell ref="I45:L45"/>
    <mergeCell ref="I37:L37"/>
    <mergeCell ref="I38:L38"/>
    <mergeCell ref="I39:L39"/>
    <mergeCell ref="I40:L40"/>
    <mergeCell ref="I41:L41"/>
    <mergeCell ref="I42:L42"/>
    <mergeCell ref="I43:L43"/>
    <mergeCell ref="I44:L44"/>
    <mergeCell ref="I46:L46"/>
    <mergeCell ref="G58:I58"/>
    <mergeCell ref="J58:L58"/>
    <mergeCell ref="I48:L48"/>
    <mergeCell ref="I49:L49"/>
    <mergeCell ref="I47:L47"/>
    <mergeCell ref="I53:L53"/>
    <mergeCell ref="I52:L52"/>
    <mergeCell ref="I54:L54"/>
    <mergeCell ref="I51:L51"/>
    <mergeCell ref="A56:E56"/>
    <mergeCell ref="A57:C57"/>
    <mergeCell ref="D57:F57"/>
    <mergeCell ref="G57:L57"/>
    <mergeCell ref="G60:I60"/>
    <mergeCell ref="J60:L60"/>
    <mergeCell ref="G59:L59"/>
    <mergeCell ref="A59:C59"/>
    <mergeCell ref="A60:C60"/>
    <mergeCell ref="D58:F58"/>
  </mergeCells>
  <phoneticPr fontId="7" type="noConversion"/>
  <printOptions horizontalCentered="1" verticalCentered="1"/>
  <pageMargins left="0" right="0" top="0" bottom="0" header="0" footer="0"/>
  <pageSetup scale="84" orientation="portrait" blackAndWhite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2902-27E3-492F-8B2A-8CF39744C199}">
  <sheetPr>
    <pageSetUpPr fitToPage="1"/>
  </sheetPr>
  <dimension ref="A1:L61"/>
  <sheetViews>
    <sheetView workbookViewId="0">
      <selection activeCell="A18" sqref="A18"/>
    </sheetView>
  </sheetViews>
  <sheetFormatPr defaultRowHeight="12.75" x14ac:dyDescent="0.35"/>
  <cols>
    <col min="1" max="2" width="10.73046875" customWidth="1"/>
    <col min="3" max="3" width="10.86328125" customWidth="1"/>
    <col min="4" max="11" width="9.73046875" customWidth="1"/>
    <col min="12" max="12" width="11.73046875" customWidth="1"/>
  </cols>
  <sheetData>
    <row r="1" spans="1:12" ht="17.649999999999999" x14ac:dyDescent="0.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5" customFormat="1" ht="15" x14ac:dyDescent="0.4">
      <c r="A2" s="55"/>
      <c r="B2" s="55"/>
      <c r="C2" s="55"/>
      <c r="D2" s="41" t="s">
        <v>33</v>
      </c>
      <c r="E2" s="41"/>
      <c r="F2" s="41"/>
      <c r="G2" s="41"/>
      <c r="H2" s="41"/>
      <c r="I2" s="41"/>
      <c r="J2" s="55"/>
      <c r="K2" s="55"/>
      <c r="L2" s="55"/>
    </row>
    <row r="3" spans="1:12" s="5" customFormat="1" ht="15" x14ac:dyDescent="0.4">
      <c r="A3" s="93" t="s">
        <v>1</v>
      </c>
      <c r="B3" s="93"/>
      <c r="C3" s="3" t="str">
        <f>IF(Info!D4=""," ",Info!D4)</f>
        <v xml:space="preserve"> </v>
      </c>
      <c r="D3" s="41" t="s">
        <v>4</v>
      </c>
      <c r="E3" s="41"/>
      <c r="F3" s="41"/>
      <c r="G3" s="41"/>
      <c r="H3" s="41"/>
      <c r="I3" s="41"/>
      <c r="J3" s="1" t="s">
        <v>3</v>
      </c>
      <c r="K3" s="97" t="str">
        <f>IF(Info!D5=""," ",Info!D5)</f>
        <v xml:space="preserve"> </v>
      </c>
      <c r="L3" s="97"/>
    </row>
    <row r="4" spans="1:12" s="5" customFormat="1" ht="15" x14ac:dyDescent="0.4">
      <c r="A4" s="93" t="s">
        <v>2</v>
      </c>
      <c r="B4" s="93"/>
      <c r="C4" s="6">
        <v>10</v>
      </c>
      <c r="D4" s="41" t="s">
        <v>64</v>
      </c>
      <c r="E4" s="41"/>
      <c r="F4" s="41"/>
      <c r="G4" s="41"/>
      <c r="H4" s="41"/>
      <c r="I4" s="41"/>
      <c r="J4" s="2"/>
      <c r="K4" s="98" t="s">
        <v>52</v>
      </c>
      <c r="L4" s="98"/>
    </row>
    <row r="5" spans="1:12" s="5" customFormat="1" ht="23.65" ph="1" x14ac:dyDescent="0.4">
      <c r="A5" s="55"/>
      <c r="B5" s="55"/>
      <c r="C5" s="55"/>
      <c r="D5" s="41" t="s">
        <v>41</v>
      </c>
      <c r="E5" s="41"/>
      <c r="F5" s="41"/>
      <c r="G5" s="41"/>
      <c r="H5" s="41"/>
      <c r="I5" s="41"/>
      <c r="J5" s="55"/>
      <c r="K5" s="55"/>
      <c r="L5" s="55"/>
    </row>
    <row r="6" spans="1:12" s="5" customFormat="1" ht="13.5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15.75" customHeight="1" x14ac:dyDescent="0.4">
      <c r="A7" s="93" t="s">
        <v>5</v>
      </c>
      <c r="B7" s="93"/>
      <c r="C7" s="98" t="str">
        <f>IF(Info!D6=""," ",Info!D6)</f>
        <v xml:space="preserve"> </v>
      </c>
      <c r="D7" s="98"/>
      <c r="E7" s="98"/>
      <c r="F7" s="98"/>
      <c r="G7" s="46" t="s">
        <v>10</v>
      </c>
      <c r="H7" s="46"/>
      <c r="I7" s="98" t="str">
        <f>IF(Info!D8=""," ",Info!D8)</f>
        <v xml:space="preserve"> </v>
      </c>
      <c r="J7" s="98"/>
      <c r="K7" s="98"/>
      <c r="L7" s="98"/>
    </row>
    <row r="8" spans="1:12" s="5" customFormat="1" ht="13.9" x14ac:dyDescent="0.4">
      <c r="A8" s="93" t="s">
        <v>6</v>
      </c>
      <c r="B8" s="93"/>
      <c r="C8" s="98" t="str">
        <f>IF(Info!D7=""," ",Info!D7)</f>
        <v xml:space="preserve"> </v>
      </c>
      <c r="D8" s="98"/>
      <c r="E8" s="98"/>
      <c r="F8" s="98"/>
      <c r="G8" s="46" t="s">
        <v>11</v>
      </c>
      <c r="H8" s="46"/>
      <c r="I8" s="58" t="str">
        <f>IF(Info!D11=""," ",Info!D11)</f>
        <v xml:space="preserve"> </v>
      </c>
      <c r="J8" s="58"/>
      <c r="K8" s="58"/>
      <c r="L8" s="58"/>
    </row>
    <row r="9" spans="1:12" s="5" customFormat="1" ht="13.9" x14ac:dyDescent="0.4">
      <c r="A9" s="93" t="s">
        <v>7</v>
      </c>
      <c r="B9" s="93"/>
      <c r="C9" s="98" t="str">
        <f>IF(Info!D10=""," ",Info!D10)</f>
        <v xml:space="preserve"> </v>
      </c>
      <c r="D9" s="98"/>
      <c r="E9" s="98"/>
      <c r="F9" s="98"/>
      <c r="G9" s="46" t="s">
        <v>12</v>
      </c>
      <c r="H9" s="46"/>
      <c r="I9" s="58" t="str">
        <f>IF(Info!D12=""," ",Info!D12)</f>
        <v xml:space="preserve"> </v>
      </c>
      <c r="J9" s="58"/>
      <c r="K9" s="58"/>
      <c r="L9" s="58"/>
    </row>
    <row r="10" spans="1:12" s="5" customFormat="1" ht="13.9" x14ac:dyDescent="0.4">
      <c r="A10" s="93" t="s">
        <v>8</v>
      </c>
      <c r="B10" s="93"/>
      <c r="C10" s="98" t="str">
        <f>IF(Info!D15=""," ",Info!D15)</f>
        <v xml:space="preserve"> </v>
      </c>
      <c r="D10" s="98"/>
      <c r="E10" s="98"/>
      <c r="F10" s="98"/>
      <c r="G10" s="46" t="s">
        <v>13</v>
      </c>
      <c r="H10" s="46"/>
      <c r="I10" s="58" t="str">
        <f>IF(Info!D13=""," ",Info!D13)</f>
        <v xml:space="preserve"> </v>
      </c>
      <c r="J10" s="58"/>
      <c r="K10" s="58"/>
      <c r="L10" s="58"/>
    </row>
    <row r="11" spans="1:12" s="5" customFormat="1" ht="13.9" x14ac:dyDescent="0.4">
      <c r="A11" s="93" t="s">
        <v>47</v>
      </c>
      <c r="B11" s="93"/>
      <c r="C11" s="96" t="str">
        <f>IF(Info!D19=""," ",Info!D19)</f>
        <v xml:space="preserve"> </v>
      </c>
      <c r="D11" s="96"/>
      <c r="E11" s="96"/>
      <c r="F11" s="96"/>
      <c r="G11" s="46" t="s">
        <v>14</v>
      </c>
      <c r="H11" s="46"/>
      <c r="I11" s="96" t="str">
        <f>IF(Info!D14=""," ",Info!D14)</f>
        <v xml:space="preserve"> </v>
      </c>
      <c r="J11" s="96"/>
      <c r="K11" s="96"/>
      <c r="L11" s="96"/>
    </row>
    <row r="12" spans="1:12" s="5" customFormat="1" ht="23.65" ph="1" x14ac:dyDescent="0.4">
      <c r="A12" s="93" t="s">
        <v>9</v>
      </c>
      <c r="B12" s="93"/>
      <c r="C12" s="8" t="str">
        <f>IF(Info!D18=""," ",Info!D18)</f>
        <v xml:space="preserve"> </v>
      </c>
      <c r="D12" s="91" t="s">
        <v>49</v>
      </c>
      <c r="E12" s="92"/>
      <c r="F12" s="92"/>
      <c r="G12" s="46" t="s">
        <v>15</v>
      </c>
      <c r="H12" s="46"/>
      <c r="I12" s="58" t="str">
        <f>IF(Info!D16=""," ",Info!D16)</f>
        <v xml:space="preserve"> </v>
      </c>
      <c r="J12" s="58"/>
      <c r="K12" s="58"/>
      <c r="L12" s="58"/>
    </row>
    <row r="13" spans="1:12" s="5" customFormat="1" ht="13.9" thickBot="1" x14ac:dyDescent="0.4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5.4" thickBot="1" x14ac:dyDescent="0.45">
      <c r="A14" s="94" t="s">
        <v>42</v>
      </c>
      <c r="B14" s="95"/>
      <c r="C14" s="95"/>
      <c r="D14" s="95"/>
      <c r="E14" s="95"/>
      <c r="F14" s="95"/>
      <c r="G14" s="95"/>
      <c r="H14" s="95"/>
      <c r="I14" s="86"/>
      <c r="J14" s="87"/>
      <c r="K14" s="87"/>
      <c r="L14" s="88"/>
    </row>
    <row r="15" spans="1:12" ht="14.25" thickBot="1" x14ac:dyDescent="0.45">
      <c r="A15" s="71" t="s">
        <v>16</v>
      </c>
      <c r="B15" s="89"/>
      <c r="C15" s="90" t="s">
        <v>43</v>
      </c>
      <c r="D15" s="72"/>
      <c r="E15" s="72"/>
      <c r="F15" s="72"/>
      <c r="G15" s="72"/>
      <c r="H15" s="72"/>
      <c r="I15" s="80"/>
      <c r="J15" s="81"/>
      <c r="K15" s="81"/>
      <c r="L15" s="82"/>
    </row>
    <row r="16" spans="1:12" ht="13.9" x14ac:dyDescent="0.4">
      <c r="A16" s="71" t="s">
        <v>17</v>
      </c>
      <c r="B16" s="89"/>
      <c r="C16" s="34" t="s">
        <v>60</v>
      </c>
      <c r="D16" s="34" t="s">
        <v>62</v>
      </c>
      <c r="E16" s="34" t="s">
        <v>56</v>
      </c>
      <c r="F16" s="34" t="s">
        <v>54</v>
      </c>
      <c r="G16" s="32" t="s">
        <v>58</v>
      </c>
      <c r="H16" s="35" t="s">
        <v>54</v>
      </c>
      <c r="I16" s="65" t="s">
        <v>20</v>
      </c>
      <c r="J16" s="66"/>
      <c r="K16" s="66"/>
      <c r="L16" s="67"/>
    </row>
    <row r="17" spans="1:12" ht="14.25" thickBot="1" x14ac:dyDescent="0.45">
      <c r="A17" s="26" t="s">
        <v>18</v>
      </c>
      <c r="B17" s="27" t="s">
        <v>19</v>
      </c>
      <c r="C17" s="4" t="s">
        <v>61</v>
      </c>
      <c r="D17" s="4" t="s">
        <v>63</v>
      </c>
      <c r="E17" s="4" t="s">
        <v>57</v>
      </c>
      <c r="F17" s="4" t="s">
        <v>55</v>
      </c>
      <c r="G17" s="10" t="s">
        <v>57</v>
      </c>
      <c r="H17" s="28" t="s">
        <v>55</v>
      </c>
      <c r="I17" s="65" t="s">
        <v>21</v>
      </c>
      <c r="J17" s="66"/>
      <c r="K17" s="66"/>
      <c r="L17" s="67"/>
    </row>
    <row r="18" spans="1:12" ht="13.9" x14ac:dyDescent="0.4">
      <c r="A18" s="22"/>
      <c r="B18" s="23"/>
      <c r="C18" s="24"/>
      <c r="D18" s="25"/>
      <c r="E18" s="25"/>
      <c r="F18" s="21" t="str">
        <f>IF(E18=""," ",IF(E18&lt;=Info!D18,"Pass","Fail"))</f>
        <v xml:space="preserve"> </v>
      </c>
      <c r="G18" s="20"/>
      <c r="H18" s="33" t="str">
        <f>IF(G18=""," ",IF(G18&lt;=Info!F18,"Pass","Fail"))</f>
        <v xml:space="preserve"> </v>
      </c>
      <c r="I18" s="83" t="s">
        <v>22</v>
      </c>
      <c r="J18" s="84"/>
      <c r="K18" s="84"/>
      <c r="L18" s="85"/>
    </row>
    <row r="19" spans="1:12" ht="13.9" x14ac:dyDescent="0.4">
      <c r="A19" s="14"/>
      <c r="B19" s="15"/>
      <c r="C19" s="18"/>
      <c r="D19" s="11"/>
      <c r="E19" s="11"/>
      <c r="F19" s="29" t="str">
        <f>IF(E19=""," ",IF(E19&lt;=Info!D19,"Pass","Fail"))</f>
        <v xml:space="preserve"> </v>
      </c>
      <c r="G19" s="30"/>
      <c r="H19" s="31" t="str">
        <f>IF(G19=""," ",IF(G19&lt;=Info!F19,"Pass","Fail"))</f>
        <v xml:space="preserve"> </v>
      </c>
      <c r="I19" s="83" t="s">
        <v>23</v>
      </c>
      <c r="J19" s="84"/>
      <c r="K19" s="84"/>
      <c r="L19" s="85"/>
    </row>
    <row r="20" spans="1:12" ht="13.9" x14ac:dyDescent="0.4">
      <c r="A20" s="14"/>
      <c r="B20" s="15"/>
      <c r="C20" s="18"/>
      <c r="D20" s="11"/>
      <c r="E20" s="11"/>
      <c r="F20" s="29" t="str">
        <f>IF(E20=""," ",IF(E20&lt;=Info!D20,"Pass","Fail"))</f>
        <v xml:space="preserve"> </v>
      </c>
      <c r="G20" s="30"/>
      <c r="H20" s="31" t="str">
        <f>IF(G20=""," ",IF(G20&lt;=Info!F20,"Pass","Fail"))</f>
        <v xml:space="preserve"> </v>
      </c>
      <c r="I20" s="65" t="s">
        <v>24</v>
      </c>
      <c r="J20" s="66"/>
      <c r="K20" s="66"/>
      <c r="L20" s="67"/>
    </row>
    <row r="21" spans="1:12" ht="14.25" thickBot="1" x14ac:dyDescent="0.45">
      <c r="A21" s="14"/>
      <c r="B21" s="15"/>
      <c r="C21" s="18"/>
      <c r="D21" s="11"/>
      <c r="E21" s="11"/>
      <c r="F21" s="29" t="str">
        <f>IF(E21=""," ",IF(E21&lt;=Info!D21,"Pass","Fail"))</f>
        <v xml:space="preserve"> </v>
      </c>
      <c r="G21" s="30"/>
      <c r="H21" s="31" t="str">
        <f>IF(G21=""," ",IF(G21&lt;=Info!F21,"Pass","Fail"))</f>
        <v xml:space="preserve"> </v>
      </c>
      <c r="I21" s="68"/>
      <c r="J21" s="69"/>
      <c r="K21" s="69"/>
      <c r="L21" s="70"/>
    </row>
    <row r="22" spans="1:12" ht="13.9" x14ac:dyDescent="0.4">
      <c r="A22" s="14"/>
      <c r="B22" s="15"/>
      <c r="C22" s="18"/>
      <c r="D22" s="11"/>
      <c r="E22" s="11"/>
      <c r="F22" s="29" t="str">
        <f>IF(E22=""," ",IF(E22&lt;=Info!D22,"Pass","Fail"))</f>
        <v xml:space="preserve"> </v>
      </c>
      <c r="G22" s="30"/>
      <c r="H22" s="31" t="str">
        <f>IF(G22=""," ",IF(G22&lt;=Info!F22,"Pass","Fail"))</f>
        <v xml:space="preserve"> </v>
      </c>
      <c r="I22" s="71"/>
      <c r="J22" s="72"/>
      <c r="K22" s="72"/>
      <c r="L22" s="73"/>
    </row>
    <row r="23" spans="1:12" ht="14.25" thickBot="1" x14ac:dyDescent="0.45">
      <c r="A23" s="14"/>
      <c r="B23" s="15"/>
      <c r="C23" s="18"/>
      <c r="D23" s="11"/>
      <c r="E23" s="11"/>
      <c r="F23" s="29" t="str">
        <f>IF(E23=""," ",IF(E23&lt;=Info!D23,"Pass","Fail"))</f>
        <v xml:space="preserve"> </v>
      </c>
      <c r="G23" s="30"/>
      <c r="H23" s="31" t="str">
        <f>IF(G23=""," ",IF(G23&lt;=Info!F23,"Pass","Fail"))</f>
        <v xml:space="preserve"> </v>
      </c>
      <c r="I23" s="65" t="s">
        <v>32</v>
      </c>
      <c r="J23" s="66"/>
      <c r="K23" s="66"/>
      <c r="L23" s="67"/>
    </row>
    <row r="24" spans="1:12" ht="13.9" customHeight="1" x14ac:dyDescent="0.4">
      <c r="A24" s="14"/>
      <c r="B24" s="15"/>
      <c r="C24" s="18"/>
      <c r="D24" s="11"/>
      <c r="E24" s="11"/>
      <c r="F24" s="29" t="str">
        <f>IF(E24=""," ",IF(E24&lt;=Info!D24,"Pass","Fail"))</f>
        <v xml:space="preserve"> </v>
      </c>
      <c r="G24" s="30"/>
      <c r="H24" s="31" t="str">
        <f>IF(G24=""," ",IF(G24&lt;=Info!F24,"Pass","Fail"))</f>
        <v xml:space="preserve"> </v>
      </c>
      <c r="I24" s="74" t="str">
        <f>IF(A18=""," ",IF(F56=0,"Do Meet","Do Not Meet"))</f>
        <v xml:space="preserve"> </v>
      </c>
      <c r="J24" s="75"/>
      <c r="K24" s="75"/>
      <c r="L24" s="76"/>
    </row>
    <row r="25" spans="1:12" ht="13.9" customHeight="1" thickBot="1" x14ac:dyDescent="0.45">
      <c r="A25" s="14"/>
      <c r="B25" s="15"/>
      <c r="C25" s="18"/>
      <c r="D25" s="11"/>
      <c r="E25" s="11"/>
      <c r="F25" s="29" t="str">
        <f>IF(E25=""," ",IF(E25&lt;=Info!D25,"Pass","Fail"))</f>
        <v xml:space="preserve"> </v>
      </c>
      <c r="G25" s="30"/>
      <c r="H25" s="31" t="str">
        <f>IF(G25=""," ",IF(G25&lt;=Info!F25,"Pass","Fail"))</f>
        <v xml:space="preserve"> </v>
      </c>
      <c r="I25" s="77"/>
      <c r="J25" s="78"/>
      <c r="K25" s="78"/>
      <c r="L25" s="79"/>
    </row>
    <row r="26" spans="1:12" ht="13.9" x14ac:dyDescent="0.4">
      <c r="A26" s="14"/>
      <c r="B26" s="15"/>
      <c r="C26" s="18"/>
      <c r="D26" s="11"/>
      <c r="E26" s="11"/>
      <c r="F26" s="29" t="str">
        <f>IF(E26=""," ",IF(E26&lt;=Info!D26,"Pass","Fail"))</f>
        <v xml:space="preserve"> </v>
      </c>
      <c r="G26" s="30"/>
      <c r="H26" s="31" t="str">
        <f>IF(G26=""," ",IF(G26&lt;=Info!F26,"Pass","Fail"))</f>
        <v xml:space="preserve"> </v>
      </c>
      <c r="I26" s="65" t="s">
        <v>25</v>
      </c>
      <c r="J26" s="66"/>
      <c r="K26" s="66"/>
      <c r="L26" s="67"/>
    </row>
    <row r="27" spans="1:12" ht="14.25" thickBot="1" x14ac:dyDescent="0.45">
      <c r="A27" s="14"/>
      <c r="B27" s="15"/>
      <c r="C27" s="18"/>
      <c r="D27" s="11"/>
      <c r="E27" s="11"/>
      <c r="F27" s="29" t="str">
        <f>IF(E27=""," ",IF(E27&lt;=Info!D27,"Pass","Fail"))</f>
        <v xml:space="preserve"> </v>
      </c>
      <c r="G27" s="30"/>
      <c r="H27" s="31" t="str">
        <f>IF(G27=""," ",IF(G27&lt;=Info!F27,"Pass","Fail"))</f>
        <v xml:space="preserve"> </v>
      </c>
      <c r="I27" s="65" t="s">
        <v>45</v>
      </c>
      <c r="J27" s="66"/>
      <c r="K27" s="66"/>
      <c r="L27" s="67"/>
    </row>
    <row r="28" spans="1:12" ht="13.9" x14ac:dyDescent="0.4">
      <c r="A28" s="14"/>
      <c r="B28" s="15"/>
      <c r="C28" s="18"/>
      <c r="D28" s="11"/>
      <c r="E28" s="11"/>
      <c r="F28" s="29" t="str">
        <f>IF(E28=""," ",IF(E28&lt;=Info!D28,"Pass","Fail"))</f>
        <v xml:space="preserve"> </v>
      </c>
      <c r="G28" s="30"/>
      <c r="H28" s="31" t="str">
        <f>IF(G28=""," ",IF(G28&lt;=Info!F28,"Pass","Fail"))</f>
        <v xml:space="preserve"> </v>
      </c>
      <c r="I28" s="80"/>
      <c r="J28" s="81"/>
      <c r="K28" s="81"/>
      <c r="L28" s="82"/>
    </row>
    <row r="29" spans="1:12" ht="13.9" x14ac:dyDescent="0.4">
      <c r="A29" s="14"/>
      <c r="B29" s="15"/>
      <c r="C29" s="18"/>
      <c r="D29" s="11"/>
      <c r="E29" s="11"/>
      <c r="F29" s="29" t="str">
        <f>IF(E29=""," ",IF(E29&lt;=Info!D29,"Pass","Fail"))</f>
        <v xml:space="preserve"> </v>
      </c>
      <c r="G29" s="30"/>
      <c r="H29" s="31" t="str">
        <f>IF(G29=""," ",IF(G29&lt;=Info!F29,"Pass","Fail"))</f>
        <v xml:space="preserve"> </v>
      </c>
      <c r="I29" s="65" t="s">
        <v>26</v>
      </c>
      <c r="J29" s="66"/>
      <c r="K29" s="66"/>
      <c r="L29" s="67"/>
    </row>
    <row r="30" spans="1:12" ht="14.25" thickBot="1" x14ac:dyDescent="0.45">
      <c r="A30" s="14"/>
      <c r="B30" s="15"/>
      <c r="C30" s="18"/>
      <c r="D30" s="11"/>
      <c r="E30" s="11"/>
      <c r="F30" s="29" t="str">
        <f>IF(E30=""," ",IF(E30&lt;=Info!D30,"Pass","Fail"))</f>
        <v xml:space="preserve"> </v>
      </c>
      <c r="G30" s="30"/>
      <c r="H30" s="31" t="str">
        <f>IF(G30=""," ",IF(G30&lt;=Info!F30,"Pass","Fail"))</f>
        <v xml:space="preserve"> </v>
      </c>
      <c r="I30" s="68"/>
      <c r="J30" s="69"/>
      <c r="K30" s="69"/>
      <c r="L30" s="70"/>
    </row>
    <row r="31" spans="1:12" ht="13.9" x14ac:dyDescent="0.4">
      <c r="A31" s="14"/>
      <c r="B31" s="15"/>
      <c r="C31" s="18"/>
      <c r="D31" s="11"/>
      <c r="E31" s="11"/>
      <c r="F31" s="29" t="str">
        <f>IF(E31=""," ",IF(E31&lt;=Info!D31,"Pass","Fail"))</f>
        <v xml:space="preserve"> </v>
      </c>
      <c r="G31" s="30"/>
      <c r="H31" s="31" t="str">
        <f>IF(G31=""," ",IF(G31&lt;=Info!F31,"Pass","Fail"))</f>
        <v xml:space="preserve"> </v>
      </c>
      <c r="I31" s="59"/>
      <c r="J31" s="60"/>
      <c r="K31" s="60"/>
      <c r="L31" s="61"/>
    </row>
    <row r="32" spans="1:12" ht="13.9" x14ac:dyDescent="0.4">
      <c r="A32" s="14"/>
      <c r="B32" s="15"/>
      <c r="C32" s="18"/>
      <c r="D32" s="11"/>
      <c r="E32" s="11"/>
      <c r="F32" s="29" t="str">
        <f>IF(E32=""," ",IF(E32&lt;=Info!D32,"Pass","Fail"))</f>
        <v xml:space="preserve"> </v>
      </c>
      <c r="G32" s="30"/>
      <c r="H32" s="31" t="str">
        <f>IF(G32=""," ",IF(G32&lt;=Info!F32,"Pass","Fail"))</f>
        <v xml:space="preserve"> </v>
      </c>
      <c r="I32" s="59"/>
      <c r="J32" s="60"/>
      <c r="K32" s="60"/>
      <c r="L32" s="61"/>
    </row>
    <row r="33" spans="1:12" ht="13.9" x14ac:dyDescent="0.4">
      <c r="A33" s="14"/>
      <c r="B33" s="15"/>
      <c r="C33" s="18"/>
      <c r="D33" s="11"/>
      <c r="E33" s="11"/>
      <c r="F33" s="29" t="str">
        <f>IF(E33=""," ",IF(E33&lt;=Info!D33,"Pass","Fail"))</f>
        <v xml:space="preserve"> </v>
      </c>
      <c r="G33" s="30"/>
      <c r="H33" s="31" t="str">
        <f>IF(G33=""," ",IF(G33&lt;=Info!F33,"Pass","Fail"))</f>
        <v xml:space="preserve"> </v>
      </c>
      <c r="I33" s="59"/>
      <c r="J33" s="60"/>
      <c r="K33" s="60"/>
      <c r="L33" s="61"/>
    </row>
    <row r="34" spans="1:12" ht="13.9" x14ac:dyDescent="0.4">
      <c r="A34" s="14"/>
      <c r="B34" s="15"/>
      <c r="C34" s="18"/>
      <c r="D34" s="11"/>
      <c r="E34" s="11"/>
      <c r="F34" s="29" t="str">
        <f>IF(E34=""," ",IF(E34&lt;=Info!D34,"Pass","Fail"))</f>
        <v xml:space="preserve"> </v>
      </c>
      <c r="G34" s="30"/>
      <c r="H34" s="31" t="str">
        <f>IF(G34=""," ",IF(G34&lt;=Info!F34,"Pass","Fail"))</f>
        <v xml:space="preserve"> </v>
      </c>
      <c r="I34" s="59"/>
      <c r="J34" s="60"/>
      <c r="K34" s="60"/>
      <c r="L34" s="61"/>
    </row>
    <row r="35" spans="1:12" ht="13.9" x14ac:dyDescent="0.4">
      <c r="A35" s="14"/>
      <c r="B35" s="15"/>
      <c r="C35" s="18"/>
      <c r="D35" s="11"/>
      <c r="E35" s="11"/>
      <c r="F35" s="29" t="str">
        <f>IF(E35=""," ",IF(E35&lt;=Info!D35,"Pass","Fail"))</f>
        <v xml:space="preserve"> </v>
      </c>
      <c r="G35" s="30"/>
      <c r="H35" s="31" t="str">
        <f>IF(G35=""," ",IF(G35&lt;=Info!F35,"Pass","Fail"))</f>
        <v xml:space="preserve"> </v>
      </c>
      <c r="I35" s="59"/>
      <c r="J35" s="60"/>
      <c r="K35" s="60"/>
      <c r="L35" s="61"/>
    </row>
    <row r="36" spans="1:12" ht="13.9" x14ac:dyDescent="0.4">
      <c r="A36" s="14"/>
      <c r="B36" s="15"/>
      <c r="C36" s="18"/>
      <c r="D36" s="11"/>
      <c r="E36" s="11"/>
      <c r="F36" s="29" t="str">
        <f>IF(E36=""," ",IF(E36&lt;=Info!D36,"Pass","Fail"))</f>
        <v xml:space="preserve"> </v>
      </c>
      <c r="G36" s="30"/>
      <c r="H36" s="31" t="str">
        <f>IF(G36=""," ",IF(G36&lt;=Info!F36,"Pass","Fail"))</f>
        <v xml:space="preserve"> </v>
      </c>
      <c r="I36" s="59"/>
      <c r="J36" s="60"/>
      <c r="K36" s="60"/>
      <c r="L36" s="61"/>
    </row>
    <row r="37" spans="1:12" ht="13.9" x14ac:dyDescent="0.4">
      <c r="A37" s="14"/>
      <c r="B37" s="15"/>
      <c r="C37" s="18"/>
      <c r="D37" s="11"/>
      <c r="E37" s="11"/>
      <c r="F37" s="29" t="str">
        <f>IF(E37=""," ",IF(E37&lt;=Info!D37,"Pass","Fail"))</f>
        <v xml:space="preserve"> </v>
      </c>
      <c r="G37" s="30"/>
      <c r="H37" s="31" t="str">
        <f>IF(G37=""," ",IF(G37&lt;=Info!F37,"Pass","Fail"))</f>
        <v xml:space="preserve"> </v>
      </c>
      <c r="I37" s="59"/>
      <c r="J37" s="60"/>
      <c r="K37" s="60"/>
      <c r="L37" s="61"/>
    </row>
    <row r="38" spans="1:12" ht="13.9" x14ac:dyDescent="0.4">
      <c r="A38" s="14"/>
      <c r="B38" s="15"/>
      <c r="C38" s="18"/>
      <c r="D38" s="11"/>
      <c r="E38" s="11"/>
      <c r="F38" s="29" t="str">
        <f>IF(E38=""," ",IF(E38&lt;=Info!D38,"Pass","Fail"))</f>
        <v xml:space="preserve"> </v>
      </c>
      <c r="G38" s="30"/>
      <c r="H38" s="31" t="str">
        <f>IF(G38=""," ",IF(G38&lt;=Info!F38,"Pass","Fail"))</f>
        <v xml:space="preserve"> </v>
      </c>
      <c r="I38" s="59"/>
      <c r="J38" s="60"/>
      <c r="K38" s="60"/>
      <c r="L38" s="61"/>
    </row>
    <row r="39" spans="1:12" ht="13.9" x14ac:dyDescent="0.4">
      <c r="A39" s="14"/>
      <c r="B39" s="15"/>
      <c r="C39" s="18"/>
      <c r="D39" s="11"/>
      <c r="E39" s="11"/>
      <c r="F39" s="29" t="str">
        <f>IF(E39=""," ",IF(E39&lt;=Info!D39,"Pass","Fail"))</f>
        <v xml:space="preserve"> </v>
      </c>
      <c r="G39" s="30"/>
      <c r="H39" s="31" t="str">
        <f>IF(G39=""," ",IF(G39&lt;=Info!F39,"Pass","Fail"))</f>
        <v xml:space="preserve"> </v>
      </c>
      <c r="I39" s="59"/>
      <c r="J39" s="60"/>
      <c r="K39" s="60"/>
      <c r="L39" s="61"/>
    </row>
    <row r="40" spans="1:12" ht="13.9" x14ac:dyDescent="0.4">
      <c r="A40" s="14"/>
      <c r="B40" s="15"/>
      <c r="C40" s="18"/>
      <c r="D40" s="11"/>
      <c r="E40" s="11"/>
      <c r="F40" s="29" t="str">
        <f>IF(E40=""," ",IF(E40&lt;=Info!D40,"Pass","Fail"))</f>
        <v xml:space="preserve"> </v>
      </c>
      <c r="G40" s="30"/>
      <c r="H40" s="31" t="str">
        <f>IF(G40=""," ",IF(G40&lt;=Info!F40,"Pass","Fail"))</f>
        <v xml:space="preserve"> </v>
      </c>
      <c r="I40" s="59"/>
      <c r="J40" s="60"/>
      <c r="K40" s="60"/>
      <c r="L40" s="61"/>
    </row>
    <row r="41" spans="1:12" ht="13.9" x14ac:dyDescent="0.4">
      <c r="A41" s="14"/>
      <c r="B41" s="15"/>
      <c r="C41" s="18"/>
      <c r="D41" s="11"/>
      <c r="E41" s="11"/>
      <c r="F41" s="29" t="str">
        <f>IF(E41=""," ",IF(E41&lt;=Info!D41,"Pass","Fail"))</f>
        <v xml:space="preserve"> </v>
      </c>
      <c r="G41" s="30"/>
      <c r="H41" s="31" t="str">
        <f>IF(G41=""," ",IF(G41&lt;=Info!F41,"Pass","Fail"))</f>
        <v xml:space="preserve"> </v>
      </c>
      <c r="I41" s="59"/>
      <c r="J41" s="60"/>
      <c r="K41" s="60"/>
      <c r="L41" s="61"/>
    </row>
    <row r="42" spans="1:12" ht="13.9" x14ac:dyDescent="0.4">
      <c r="A42" s="14"/>
      <c r="B42" s="15"/>
      <c r="C42" s="18"/>
      <c r="D42" s="11"/>
      <c r="E42" s="11"/>
      <c r="F42" s="29" t="str">
        <f>IF(E42=""," ",IF(E42&lt;=Info!D42,"Pass","Fail"))</f>
        <v xml:space="preserve"> </v>
      </c>
      <c r="G42" s="30"/>
      <c r="H42" s="31" t="str">
        <f>IF(G42=""," ",IF(G42&lt;=Info!F42,"Pass","Fail"))</f>
        <v xml:space="preserve"> </v>
      </c>
      <c r="I42" s="59"/>
      <c r="J42" s="60"/>
      <c r="K42" s="60"/>
      <c r="L42" s="61"/>
    </row>
    <row r="43" spans="1:12" ht="13.9" x14ac:dyDescent="0.4">
      <c r="A43" s="14"/>
      <c r="B43" s="15"/>
      <c r="C43" s="18"/>
      <c r="D43" s="11"/>
      <c r="E43" s="11"/>
      <c r="F43" s="29" t="str">
        <f>IF(E43=""," ",IF(E43&lt;=Info!D43,"Pass","Fail"))</f>
        <v xml:space="preserve"> </v>
      </c>
      <c r="G43" s="30"/>
      <c r="H43" s="31" t="str">
        <f>IF(G43=""," ",IF(G43&lt;=Info!F43,"Pass","Fail"))</f>
        <v xml:space="preserve"> </v>
      </c>
      <c r="I43" s="59"/>
      <c r="J43" s="60"/>
      <c r="K43" s="60"/>
      <c r="L43" s="61"/>
    </row>
    <row r="44" spans="1:12" ht="13.9" x14ac:dyDescent="0.4">
      <c r="A44" s="14"/>
      <c r="B44" s="15"/>
      <c r="C44" s="18"/>
      <c r="D44" s="11"/>
      <c r="E44" s="11"/>
      <c r="F44" s="29" t="str">
        <f>IF(E44=""," ",IF(E44&lt;=Info!D44,"Pass","Fail"))</f>
        <v xml:space="preserve"> </v>
      </c>
      <c r="G44" s="30"/>
      <c r="H44" s="31" t="str">
        <f>IF(G44=""," ",IF(G44&lt;=Info!F44,"Pass","Fail"))</f>
        <v xml:space="preserve"> </v>
      </c>
      <c r="I44" s="59"/>
      <c r="J44" s="60"/>
      <c r="K44" s="60"/>
      <c r="L44" s="61"/>
    </row>
    <row r="45" spans="1:12" ht="13.9" x14ac:dyDescent="0.4">
      <c r="A45" s="14"/>
      <c r="B45" s="15"/>
      <c r="C45" s="18"/>
      <c r="D45" s="11"/>
      <c r="E45" s="11"/>
      <c r="F45" s="29" t="str">
        <f>IF(E45=""," ",IF(E45&lt;=Info!D45,"Pass","Fail"))</f>
        <v xml:space="preserve"> </v>
      </c>
      <c r="G45" s="30"/>
      <c r="H45" s="31" t="str">
        <f>IF(G45=""," ",IF(G45&lt;=Info!F45,"Pass","Fail"))</f>
        <v xml:space="preserve"> </v>
      </c>
      <c r="I45" s="59"/>
      <c r="J45" s="60"/>
      <c r="K45" s="60"/>
      <c r="L45" s="61"/>
    </row>
    <row r="46" spans="1:12" ht="13.9" x14ac:dyDescent="0.4">
      <c r="A46" s="14"/>
      <c r="B46" s="15"/>
      <c r="C46" s="18"/>
      <c r="D46" s="11"/>
      <c r="E46" s="11"/>
      <c r="F46" s="29" t="str">
        <f>IF(E46=""," ",IF(E46&lt;=Info!D46,"Pass","Fail"))</f>
        <v xml:space="preserve"> </v>
      </c>
      <c r="G46" s="30"/>
      <c r="H46" s="31" t="str">
        <f>IF(G46=""," ",IF(G46&lt;=Info!F46,"Pass","Fail"))</f>
        <v xml:space="preserve"> </v>
      </c>
      <c r="I46" s="43"/>
      <c r="J46" s="44"/>
      <c r="K46" s="44"/>
      <c r="L46" s="45"/>
    </row>
    <row r="47" spans="1:12" ht="13.9" x14ac:dyDescent="0.4">
      <c r="A47" s="14"/>
      <c r="B47" s="15"/>
      <c r="C47" s="18"/>
      <c r="D47" s="11"/>
      <c r="E47" s="11"/>
      <c r="F47" s="29" t="str">
        <f>IF(E47=""," ",IF(E47&lt;=Info!D47,"Pass","Fail"))</f>
        <v xml:space="preserve"> </v>
      </c>
      <c r="G47" s="30"/>
      <c r="H47" s="31" t="str">
        <f>IF(G47=""," ",IF(G47&lt;=Info!F47,"Pass","Fail"))</f>
        <v xml:space="preserve"> </v>
      </c>
      <c r="I47" s="43"/>
      <c r="J47" s="44"/>
      <c r="K47" s="44"/>
      <c r="L47" s="45"/>
    </row>
    <row r="48" spans="1:12" ht="13.9" x14ac:dyDescent="0.4">
      <c r="A48" s="14"/>
      <c r="B48" s="15"/>
      <c r="C48" s="18"/>
      <c r="D48" s="11"/>
      <c r="E48" s="11"/>
      <c r="F48" s="29" t="str">
        <f>IF(E48=""," ",IF(E48&lt;=Info!D48,"Pass","Fail"))</f>
        <v xml:space="preserve"> </v>
      </c>
      <c r="G48" s="30"/>
      <c r="H48" s="31" t="str">
        <f>IF(G48=""," ",IF(G48&lt;=Info!F48,"Pass","Fail"))</f>
        <v xml:space="preserve"> </v>
      </c>
      <c r="I48" s="43"/>
      <c r="J48" s="44"/>
      <c r="K48" s="44"/>
      <c r="L48" s="45"/>
    </row>
    <row r="49" spans="1:12" ht="13.9" x14ac:dyDescent="0.4">
      <c r="A49" s="14"/>
      <c r="B49" s="15"/>
      <c r="C49" s="18"/>
      <c r="D49" s="11"/>
      <c r="E49" s="11"/>
      <c r="F49" s="29" t="str">
        <f>IF(E49=""," ",IF(E49&lt;=Info!D49,"Pass","Fail"))</f>
        <v xml:space="preserve"> </v>
      </c>
      <c r="G49" s="30"/>
      <c r="H49" s="31" t="str">
        <f>IF(G49=""," ",IF(G49&lt;=Info!F49,"Pass","Fail"))</f>
        <v xml:space="preserve"> </v>
      </c>
      <c r="I49" s="43"/>
      <c r="J49" s="44"/>
      <c r="K49" s="44"/>
      <c r="L49" s="45"/>
    </row>
    <row r="50" spans="1:12" ht="13.9" x14ac:dyDescent="0.4">
      <c r="A50" s="14"/>
      <c r="B50" s="15"/>
      <c r="C50" s="18"/>
      <c r="D50" s="11"/>
      <c r="E50" s="11"/>
      <c r="F50" s="29" t="str">
        <f>IF(E50=""," ",IF(E50&lt;=Info!D50,"Pass","Fail"))</f>
        <v xml:space="preserve"> </v>
      </c>
      <c r="G50" s="30"/>
      <c r="H50" s="31" t="str">
        <f>IF(G50=""," ",IF(G50&lt;=Info!F50,"Pass","Fail"))</f>
        <v xml:space="preserve"> </v>
      </c>
      <c r="I50" s="43"/>
      <c r="J50" s="44"/>
      <c r="K50" s="44"/>
      <c r="L50" s="45"/>
    </row>
    <row r="51" spans="1:12" ht="13.9" x14ac:dyDescent="0.4">
      <c r="A51" s="14"/>
      <c r="B51" s="15"/>
      <c r="C51" s="18"/>
      <c r="D51" s="11"/>
      <c r="E51" s="11"/>
      <c r="F51" s="29" t="str">
        <f>IF(E51=""," ",IF(E51&lt;=Info!D51,"Pass","Fail"))</f>
        <v xml:space="preserve"> </v>
      </c>
      <c r="G51" s="30"/>
      <c r="H51" s="31" t="str">
        <f>IF(G51=""," ",IF(G51&lt;=Info!F51,"Pass","Fail"))</f>
        <v xml:space="preserve"> </v>
      </c>
      <c r="I51" s="43"/>
      <c r="J51" s="44"/>
      <c r="K51" s="44"/>
      <c r="L51" s="45"/>
    </row>
    <row r="52" spans="1:12" ht="13.9" x14ac:dyDescent="0.4">
      <c r="A52" s="14"/>
      <c r="B52" s="15"/>
      <c r="C52" s="18"/>
      <c r="D52" s="11"/>
      <c r="E52" s="11"/>
      <c r="F52" s="29" t="str">
        <f>IF(E52=""," ",IF(E52&lt;=Info!D52,"Pass","Fail"))</f>
        <v xml:space="preserve"> </v>
      </c>
      <c r="G52" s="30"/>
      <c r="H52" s="31" t="str">
        <f>IF(G52=""," ",IF(G52&lt;=Info!F52,"Pass","Fail"))</f>
        <v xml:space="preserve"> </v>
      </c>
      <c r="I52" s="43"/>
      <c r="J52" s="44"/>
      <c r="K52" s="44"/>
      <c r="L52" s="45"/>
    </row>
    <row r="53" spans="1:12" ht="13.9" x14ac:dyDescent="0.4">
      <c r="A53" s="14"/>
      <c r="B53" s="15"/>
      <c r="C53" s="18"/>
      <c r="D53" s="11"/>
      <c r="E53" s="11"/>
      <c r="F53" s="29" t="str">
        <f>IF(E53=""," ",IF(E53&lt;=Info!D53,"Pass","Fail"))</f>
        <v xml:space="preserve"> </v>
      </c>
      <c r="G53" s="30"/>
      <c r="H53" s="31" t="str">
        <f>IF(G53=""," ",IF(G53&lt;=Info!F53,"Pass","Fail"))</f>
        <v xml:space="preserve"> </v>
      </c>
      <c r="I53" s="59"/>
      <c r="J53" s="60"/>
      <c r="K53" s="60"/>
      <c r="L53" s="61"/>
    </row>
    <row r="54" spans="1:12" ht="14.25" thickBot="1" x14ac:dyDescent="0.45">
      <c r="A54" s="16"/>
      <c r="B54" s="17"/>
      <c r="C54" s="19"/>
      <c r="D54" s="12"/>
      <c r="E54" s="12"/>
      <c r="F54" s="29" t="str">
        <f>IF(E54=""," ",IF(E54&lt;=Info!D54,"Pass","Fail"))</f>
        <v xml:space="preserve"> </v>
      </c>
      <c r="G54" s="30"/>
      <c r="H54" s="31" t="str">
        <f>IF(G54=""," ",IF(G54&lt;=Info!F54,"Pass","Fail"))</f>
        <v xml:space="preserve"> </v>
      </c>
      <c r="I54" s="62"/>
      <c r="J54" s="63"/>
      <c r="K54" s="63"/>
      <c r="L54" s="64"/>
    </row>
    <row r="55" spans="1:12" ht="14.25" thickBot="1" x14ac:dyDescent="0.45">
      <c r="A55" s="48" t="s">
        <v>44</v>
      </c>
      <c r="B55" s="49"/>
      <c r="C55" s="49"/>
      <c r="D55" s="49"/>
      <c r="E55" s="49"/>
      <c r="F55" s="50"/>
      <c r="G55" s="50"/>
      <c r="H55" s="50"/>
      <c r="I55" s="49"/>
      <c r="J55" s="49"/>
      <c r="K55" s="49"/>
      <c r="L55" s="51"/>
    </row>
    <row r="56" spans="1:12" ht="14.25" thickBot="1" x14ac:dyDescent="0.45">
      <c r="A56" s="52" t="s">
        <v>53</v>
      </c>
      <c r="B56" s="53"/>
      <c r="C56" s="53"/>
      <c r="D56" s="53"/>
      <c r="E56" s="54"/>
      <c r="F56" s="13">
        <f>COUNTIF(F18:F54:H18:H54,"Fail")</f>
        <v>0</v>
      </c>
      <c r="G56" s="9"/>
      <c r="H56" s="9"/>
      <c r="I56" s="9"/>
      <c r="J56" s="9"/>
      <c r="K56" s="9"/>
      <c r="L56" s="9"/>
    </row>
    <row r="57" spans="1:12" ht="13.9" x14ac:dyDescent="0.4">
      <c r="A57" s="46" t="s">
        <v>27</v>
      </c>
      <c r="B57" s="46"/>
      <c r="C57" s="46"/>
      <c r="D57" s="56" t="s">
        <v>51</v>
      </c>
      <c r="E57" s="56"/>
      <c r="F57" s="56"/>
      <c r="G57" s="55"/>
      <c r="H57" s="55"/>
      <c r="I57" s="55"/>
      <c r="J57" s="55"/>
      <c r="K57" s="55"/>
      <c r="L57" s="55"/>
    </row>
    <row r="58" spans="1:12" ht="13.9" x14ac:dyDescent="0.4">
      <c r="A58" s="46" t="s">
        <v>50</v>
      </c>
      <c r="B58" s="46"/>
      <c r="C58" s="46"/>
      <c r="D58" s="57"/>
      <c r="E58" s="57"/>
      <c r="F58" s="57"/>
      <c r="G58" s="46" t="s">
        <v>30</v>
      </c>
      <c r="H58" s="46"/>
      <c r="I58" s="46"/>
      <c r="J58" s="47"/>
      <c r="K58" s="47"/>
      <c r="L58" s="47"/>
    </row>
    <row r="59" spans="1:12" ht="13.9" x14ac:dyDescent="0.4">
      <c r="A59" s="46" t="s">
        <v>28</v>
      </c>
      <c r="B59" s="46"/>
      <c r="C59" s="46"/>
      <c r="D59" s="47"/>
      <c r="E59" s="47"/>
      <c r="F59" s="47"/>
      <c r="G59" s="46"/>
      <c r="H59" s="46"/>
      <c r="I59" s="46"/>
      <c r="J59" s="46"/>
      <c r="K59" s="46"/>
      <c r="L59" s="46"/>
    </row>
    <row r="60" spans="1:12" ht="13.9" x14ac:dyDescent="0.4">
      <c r="A60" s="46" t="s">
        <v>29</v>
      </c>
      <c r="B60" s="46"/>
      <c r="C60" s="46"/>
      <c r="D60" s="58" t="str">
        <f>IF(Info!D9=""," ",Info!D9)</f>
        <v xml:space="preserve"> </v>
      </c>
      <c r="E60" s="58"/>
      <c r="F60" s="58"/>
      <c r="G60" s="46" t="s">
        <v>31</v>
      </c>
      <c r="H60" s="46"/>
      <c r="I60" s="46"/>
      <c r="J60" s="47"/>
      <c r="K60" s="47"/>
      <c r="L60" s="47"/>
    </row>
    <row r="61" spans="1:12" ht="13.9" x14ac:dyDescent="0.4">
      <c r="A61" s="9"/>
      <c r="B61" s="9"/>
      <c r="C61" s="9"/>
      <c r="D61" s="9"/>
      <c r="E61" s="9"/>
      <c r="F61" s="9"/>
      <c r="G61" s="9"/>
      <c r="H61" s="9"/>
      <c r="I61" s="99" t="s">
        <v>66</v>
      </c>
      <c r="J61" s="99"/>
      <c r="K61" s="99"/>
      <c r="L61" s="99"/>
    </row>
  </sheetData>
  <sheetProtection password="96B1" sheet="1" objects="1" scenarios="1"/>
  <mergeCells count="100">
    <mergeCell ref="A59:C59"/>
    <mergeCell ref="A60:C60"/>
    <mergeCell ref="D59:F59"/>
    <mergeCell ref="D60:F60"/>
    <mergeCell ref="I61:L61"/>
    <mergeCell ref="J58:L58"/>
    <mergeCell ref="G60:I60"/>
    <mergeCell ref="J60:L60"/>
    <mergeCell ref="G59:L59"/>
    <mergeCell ref="I46:L46"/>
    <mergeCell ref="I47:L47"/>
    <mergeCell ref="I53:L53"/>
    <mergeCell ref="I52:L52"/>
    <mergeCell ref="I54:L54"/>
    <mergeCell ref="I51:L51"/>
    <mergeCell ref="I50:L50"/>
    <mergeCell ref="I48:L48"/>
    <mergeCell ref="I49:L49"/>
    <mergeCell ref="A58:C58"/>
    <mergeCell ref="A55:L55"/>
    <mergeCell ref="A56:E56"/>
    <mergeCell ref="A57:C57"/>
    <mergeCell ref="D57:F57"/>
    <mergeCell ref="G57:L57"/>
    <mergeCell ref="D58:F58"/>
    <mergeCell ref="G58:I58"/>
    <mergeCell ref="I36:L36"/>
    <mergeCell ref="I45:L45"/>
    <mergeCell ref="I37:L37"/>
    <mergeCell ref="I38:L38"/>
    <mergeCell ref="I39:L39"/>
    <mergeCell ref="I40:L40"/>
    <mergeCell ref="I41:L41"/>
    <mergeCell ref="I42:L42"/>
    <mergeCell ref="I43:L43"/>
    <mergeCell ref="I44:L44"/>
    <mergeCell ref="I24:L25"/>
    <mergeCell ref="I26:L26"/>
    <mergeCell ref="I28:L28"/>
    <mergeCell ref="I29:L29"/>
    <mergeCell ref="I30:L30"/>
    <mergeCell ref="I35:L35"/>
    <mergeCell ref="I31:L31"/>
    <mergeCell ref="I32:L32"/>
    <mergeCell ref="I33:L33"/>
    <mergeCell ref="I34:L34"/>
    <mergeCell ref="I18:L18"/>
    <mergeCell ref="I19:L19"/>
    <mergeCell ref="I20:L20"/>
    <mergeCell ref="I21:L21"/>
    <mergeCell ref="I22:L22"/>
    <mergeCell ref="I23:L23"/>
    <mergeCell ref="A15:B15"/>
    <mergeCell ref="C15:H15"/>
    <mergeCell ref="A16:B16"/>
    <mergeCell ref="I16:L16"/>
    <mergeCell ref="I15:L15"/>
    <mergeCell ref="I17:L17"/>
    <mergeCell ref="A14:H14"/>
    <mergeCell ref="I14:L14"/>
    <mergeCell ref="I12:L12"/>
    <mergeCell ref="A11:B11"/>
    <mergeCell ref="D12:F12"/>
    <mergeCell ref="G12:H12"/>
    <mergeCell ref="A13:L13"/>
    <mergeCell ref="A8:B8"/>
    <mergeCell ref="A9:B9"/>
    <mergeCell ref="A10:B10"/>
    <mergeCell ref="G8:H8"/>
    <mergeCell ref="G9:H9"/>
    <mergeCell ref="G10:H10"/>
    <mergeCell ref="C8:F8"/>
    <mergeCell ref="C9:F9"/>
    <mergeCell ref="C10:F10"/>
    <mergeCell ref="C11:F11"/>
    <mergeCell ref="I8:L8"/>
    <mergeCell ref="I9:L9"/>
    <mergeCell ref="I10:L10"/>
    <mergeCell ref="G11:H11"/>
    <mergeCell ref="I11:L11"/>
    <mergeCell ref="D3:I3"/>
    <mergeCell ref="D4:I4"/>
    <mergeCell ref="A2:C2"/>
    <mergeCell ref="J2:L2"/>
    <mergeCell ref="A7:B7"/>
    <mergeCell ref="I27:L27"/>
    <mergeCell ref="C7:F7"/>
    <mergeCell ref="G7:H7"/>
    <mergeCell ref="I7:L7"/>
    <mergeCell ref="A12:B12"/>
    <mergeCell ref="D5:I5"/>
    <mergeCell ref="A5:C5"/>
    <mergeCell ref="A6:L6"/>
    <mergeCell ref="J5:L5"/>
    <mergeCell ref="A1:L1"/>
    <mergeCell ref="A3:B3"/>
    <mergeCell ref="A4:B4"/>
    <mergeCell ref="K3:L3"/>
    <mergeCell ref="K4:L4"/>
    <mergeCell ref="D2:I2"/>
  </mergeCells>
  <phoneticPr fontId="7" type="noConversion"/>
  <printOptions horizontalCentered="1" verticalCentered="1"/>
  <pageMargins left="0" right="0" top="0" bottom="0" header="0" footer="0"/>
  <pageSetup scale="84" orientation="portrait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Info</vt:lpstr>
      <vt:lpstr>Page1</vt:lpstr>
      <vt:lpstr>Page2</vt:lpstr>
      <vt:lpstr>Page3</vt:lpstr>
      <vt:lpstr>Page4</vt:lpstr>
      <vt:lpstr>Page5</vt:lpstr>
      <vt:lpstr>Page6</vt:lpstr>
      <vt:lpstr>Page7</vt:lpstr>
      <vt:lpstr>Page8</vt:lpstr>
      <vt:lpstr>Page9</vt:lpstr>
      <vt:lpstr>Page10</vt:lpstr>
    </vt:vector>
  </TitlesOfParts>
  <Manager>Rip VanWinkle</Manager>
  <Company>State of Tennessee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Road Profiler Forms</dc:title>
  <dc:subject>Surface Roughness Evaluation</dc:subject>
  <dc:creator>JJ02505 Rip VanWinkle</dc:creator>
  <cp:lastModifiedBy>ly Gu</cp:lastModifiedBy>
  <cp:lastPrinted>2003-08-11T15:17:42Z</cp:lastPrinted>
  <dcterms:created xsi:type="dcterms:W3CDTF">2001-03-12T15:13:22Z</dcterms:created>
  <dcterms:modified xsi:type="dcterms:W3CDTF">2026-02-11T09:43:59Z</dcterms:modified>
</cp:coreProperties>
</file>