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D:\glllllly\fillexcel\excel-filling\further_further_train\FUSE_subset\excels\"/>
    </mc:Choice>
  </mc:AlternateContent>
  <xr:revisionPtr revIDLastSave="0" documentId="8_{29674E91-519D-48F2-834C-C8284C9D90A9}" xr6:coauthVersionLast="47" xr6:coauthVersionMax="47" xr10:uidLastSave="{00000000-0000-0000-0000-000000000000}"/>
  <workbookProtection workbookPassword="E89C" lockStructure="1"/>
  <bookViews>
    <workbookView xWindow="1470" yWindow="1470" windowWidth="17280" windowHeight="9983" xr2:uid="{DBF790AC-3193-4270-8558-C288A049C2A3}"/>
  </bookViews>
  <sheets>
    <sheet name="Application 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 i="1" l="1"/>
  <c r="Q11" i="1"/>
  <c r="M98" i="1"/>
  <c r="Q83" i="1"/>
  <c r="X162" i="1"/>
  <c r="X188" i="1"/>
  <c r="X192" i="1"/>
  <c r="X154" i="1"/>
  <c r="X114" i="1"/>
  <c r="X166" i="1"/>
  <c r="X172" i="1"/>
  <c r="X181" i="1"/>
  <c r="X175" i="1"/>
  <c r="X148" i="1"/>
  <c r="X186" i="1"/>
  <c r="X113" i="1"/>
  <c r="X150" i="1"/>
  <c r="X161" i="1"/>
  <c r="X127" i="1"/>
  <c r="X122" i="1"/>
  <c r="X170" i="1"/>
  <c r="X153" i="1"/>
  <c r="X165" i="1"/>
  <c r="X168" i="1"/>
  <c r="X191" i="1"/>
  <c r="X112" i="1"/>
  <c r="X160" i="1"/>
  <c r="X141" i="1"/>
  <c r="X135" i="1"/>
  <c r="X189" i="1"/>
  <c r="X144" i="1"/>
  <c r="X145" i="1"/>
  <c r="X137" i="1"/>
  <c r="X190" i="1"/>
  <c r="X124" i="1"/>
  <c r="X151" i="1"/>
  <c r="X111" i="1"/>
  <c r="X129" i="1"/>
  <c r="X163" i="1"/>
  <c r="X164" i="1"/>
  <c r="X126" i="1"/>
  <c r="X185" i="1"/>
  <c r="X132" i="1"/>
  <c r="X134" i="1"/>
  <c r="X173" i="1"/>
  <c r="X180" i="1"/>
  <c r="X121" i="1"/>
  <c r="X115" i="1"/>
  <c r="X159" i="1"/>
  <c r="X183" i="1"/>
  <c r="X152" i="1"/>
  <c r="X116" i="1"/>
  <c r="X155" i="1"/>
  <c r="X130" i="1"/>
  <c r="X149" i="1"/>
  <c r="X142" i="1"/>
  <c r="X156" i="1"/>
  <c r="X138" i="1"/>
  <c r="X125" i="1"/>
  <c r="X169" i="1"/>
  <c r="X184" i="1"/>
  <c r="X139" i="1"/>
  <c r="X178" i="1"/>
  <c r="X117" i="1"/>
  <c r="X147" i="1"/>
  <c r="X146" i="1"/>
  <c r="X182" i="1"/>
  <c r="X167" i="1"/>
  <c r="X123" i="1"/>
  <c r="X174" i="1"/>
  <c r="X177" i="1"/>
  <c r="X133" i="1"/>
  <c r="X119" i="1"/>
  <c r="X187" i="1"/>
  <c r="X179" i="1"/>
  <c r="X158" i="1"/>
  <c r="X136" i="1"/>
  <c r="X118" i="1"/>
  <c r="X143" i="1"/>
  <c r="X131" i="1"/>
  <c r="X176" i="1"/>
  <c r="X171" i="1"/>
  <c r="X157" i="1"/>
  <c r="X140" i="1"/>
  <c r="X128" i="1"/>
  <c r="X120" i="1"/>
  <c r="Y120" i="1" l="1"/>
  <c r="Y128" i="1"/>
  <c r="Y140" i="1"/>
  <c r="Y157" i="1"/>
  <c r="Y171" i="1"/>
  <c r="Y176" i="1"/>
  <c r="Y131" i="1"/>
  <c r="Y143" i="1"/>
  <c r="Y118" i="1"/>
  <c r="Y136" i="1"/>
  <c r="Y158" i="1"/>
  <c r="Y179" i="1"/>
  <c r="Y187" i="1"/>
  <c r="Y119" i="1"/>
  <c r="Y133" i="1"/>
  <c r="Y177" i="1"/>
  <c r="Y174" i="1"/>
  <c r="Y123" i="1"/>
  <c r="Y167" i="1"/>
  <c r="Y182" i="1"/>
  <c r="Y146" i="1"/>
  <c r="Y147" i="1"/>
  <c r="Y117" i="1"/>
  <c r="Y178" i="1"/>
  <c r="Y139" i="1"/>
  <c r="Y184" i="1"/>
  <c r="Y169" i="1"/>
  <c r="Y125" i="1"/>
  <c r="Y138" i="1"/>
  <c r="Y156" i="1"/>
  <c r="Y142" i="1"/>
  <c r="Y149" i="1"/>
  <c r="Y130" i="1"/>
  <c r="Y155" i="1"/>
  <c r="Y116" i="1"/>
  <c r="Y152" i="1"/>
  <c r="Y183" i="1"/>
  <c r="Y159" i="1"/>
  <c r="Y115" i="1"/>
  <c r="Y121" i="1"/>
  <c r="Y180" i="1"/>
  <c r="Y173" i="1"/>
  <c r="Y134" i="1"/>
  <c r="Y132" i="1"/>
  <c r="Y185" i="1"/>
  <c r="Y126" i="1"/>
  <c r="Y164" i="1"/>
  <c r="Y163" i="1"/>
  <c r="Y129" i="1"/>
  <c r="Y111" i="1"/>
  <c r="Y151" i="1"/>
  <c r="Y124" i="1"/>
  <c r="Y190" i="1"/>
  <c r="Y137" i="1"/>
  <c r="Y145" i="1"/>
  <c r="Y144" i="1"/>
  <c r="Y189" i="1"/>
  <c r="Y135" i="1"/>
  <c r="Y141" i="1"/>
  <c r="Y160" i="1"/>
  <c r="Y112" i="1"/>
  <c r="Y191" i="1"/>
  <c r="Y168" i="1"/>
  <c r="Y165" i="1"/>
  <c r="Y153" i="1"/>
  <c r="Y170" i="1"/>
  <c r="Y122" i="1"/>
  <c r="Y127" i="1"/>
  <c r="Y161" i="1"/>
  <c r="Y150" i="1"/>
  <c r="Y113" i="1"/>
  <c r="Y186" i="1"/>
  <c r="Y148" i="1"/>
  <c r="Y175" i="1"/>
  <c r="Y181" i="1"/>
  <c r="Y172" i="1"/>
  <c r="Y166" i="1"/>
  <c r="Y114" i="1"/>
  <c r="Y154" i="1"/>
  <c r="Y192" i="1"/>
  <c r="Y188" i="1"/>
  <c r="Y162" i="1"/>
  <c r="AS137" i="1" l="1"/>
  <c r="AS148" i="1"/>
  <c r="AS131" i="1"/>
  <c r="Y109" i="1"/>
  <c r="Z128" i="1" l="1"/>
  <c r="Z178" i="1"/>
  <c r="Z184" i="1"/>
  <c r="Z146" i="1"/>
  <c r="Z168" i="1"/>
  <c r="Z165" i="1"/>
  <c r="Z183" i="1"/>
  <c r="Z132" i="1"/>
  <c r="Z177" i="1"/>
  <c r="Z137" i="1"/>
  <c r="Z192" i="1"/>
  <c r="Z170" i="1"/>
  <c r="Z138" i="1"/>
  <c r="Z124" i="1"/>
  <c r="Z163" i="1"/>
  <c r="Z127" i="1"/>
  <c r="Z130" i="1"/>
  <c r="Z166" i="1"/>
  <c r="Z157" i="1"/>
  <c r="Z167" i="1"/>
  <c r="Z120" i="1"/>
  <c r="Z112" i="1"/>
  <c r="Z181" i="1"/>
  <c r="Z160" i="1"/>
  <c r="Z171" i="1"/>
  <c r="Z109" i="1"/>
  <c r="Z189" i="1"/>
  <c r="Z144" i="1"/>
  <c r="Z111" i="1"/>
  <c r="Z122" i="1"/>
  <c r="Z187" i="1"/>
  <c r="Z143" i="1"/>
  <c r="Z113" i="1"/>
  <c r="Z174" i="1"/>
  <c r="Z135" i="1"/>
  <c r="Z117" i="1"/>
  <c r="Z169" i="1"/>
  <c r="Z175" i="1"/>
  <c r="Z121" i="1"/>
  <c r="Z126" i="1"/>
  <c r="Z141" i="1"/>
  <c r="Z179" i="1"/>
  <c r="Z118" i="1"/>
  <c r="Z115" i="1"/>
  <c r="Z182" i="1"/>
  <c r="Z180" i="1"/>
  <c r="Z119" i="1"/>
  <c r="Z191" i="1"/>
  <c r="Z156" i="1"/>
  <c r="Z162" i="1"/>
  <c r="Z125" i="1"/>
  <c r="Z158" i="1"/>
  <c r="Z145" i="1"/>
  <c r="D105" i="1"/>
  <c r="Z173" i="1"/>
  <c r="Z161" i="1"/>
  <c r="Z139" i="1"/>
  <c r="Z186" i="1"/>
  <c r="Z164" i="1"/>
  <c r="Z123" i="1"/>
  <c r="Z129" i="1"/>
  <c r="Z190" i="1"/>
  <c r="Z134" i="1"/>
  <c r="Z147" i="1"/>
  <c r="Z188" i="1"/>
  <c r="Z140" i="1"/>
  <c r="Z185" i="1"/>
  <c r="Z142" i="1"/>
  <c r="Z159" i="1"/>
  <c r="Z176" i="1"/>
  <c r="Z131" i="1"/>
  <c r="Z172" i="1"/>
  <c r="Z114" i="1"/>
  <c r="Z136" i="1"/>
  <c r="Z116" i="1"/>
  <c r="Z133" i="1"/>
</calcChain>
</file>

<file path=xl/sharedStrings.xml><?xml version="1.0" encoding="utf-8"?>
<sst xmlns="http://schemas.openxmlformats.org/spreadsheetml/2006/main" count="522" uniqueCount="451">
  <si>
    <t>Post Code</t>
  </si>
  <si>
    <t>Nationality</t>
  </si>
  <si>
    <t>Afghan</t>
  </si>
  <si>
    <t>Albania</t>
  </si>
  <si>
    <t>Albanian</t>
  </si>
  <si>
    <t>Algerian</t>
  </si>
  <si>
    <t>American</t>
  </si>
  <si>
    <t>American - Indian</t>
  </si>
  <si>
    <t>American/Italian</t>
  </si>
  <si>
    <t>Anglo-Irish/Chinese</t>
  </si>
  <si>
    <t>Angolan</t>
  </si>
  <si>
    <t>Argentinian</t>
  </si>
  <si>
    <t>Aus/Portugese</t>
  </si>
  <si>
    <t>Australia</t>
  </si>
  <si>
    <t>Australian- British</t>
  </si>
  <si>
    <t>Austrian</t>
  </si>
  <si>
    <t>Bangladeshi</t>
  </si>
  <si>
    <t>Barbadian</t>
  </si>
  <si>
    <t>Belarussian</t>
  </si>
  <si>
    <t>Belgian</t>
  </si>
  <si>
    <t>Brazilian</t>
  </si>
  <si>
    <t>British</t>
  </si>
  <si>
    <t>Bulgarian</t>
  </si>
  <si>
    <t>Burundian</t>
  </si>
  <si>
    <t>Cameroon</t>
  </si>
  <si>
    <t>Canada</t>
  </si>
  <si>
    <t>Cantonese</t>
  </si>
  <si>
    <t>Chinese</t>
  </si>
  <si>
    <t>Congolese</t>
  </si>
  <si>
    <t>Czech</t>
  </si>
  <si>
    <t>Danish</t>
  </si>
  <si>
    <t>Dual - Asian/Arab</t>
  </si>
  <si>
    <t>Dual - Aus/Dutch</t>
  </si>
  <si>
    <t>Dual - Aus/Fre</t>
  </si>
  <si>
    <t>Dual - Aus/Irish</t>
  </si>
  <si>
    <t>Dual - Irish + SA</t>
  </si>
  <si>
    <t>Dual - Irish Canadia</t>
  </si>
  <si>
    <t>Dual - Irish/Canada</t>
  </si>
  <si>
    <t>Dual - Ita/Braz</t>
  </si>
  <si>
    <t>Dual - SA/Greek</t>
  </si>
  <si>
    <t>Dual - UK/Aus</t>
  </si>
  <si>
    <t>Dual - UK/Canada</t>
  </si>
  <si>
    <t>Dual - UK/Danish</t>
  </si>
  <si>
    <t>Dual - UK/Egyptian</t>
  </si>
  <si>
    <t>Dual - UK/Fijian</t>
  </si>
  <si>
    <t>Dual - UK/French</t>
  </si>
  <si>
    <t>Dual - UK/German</t>
  </si>
  <si>
    <t>Dual - UK/Greek</t>
  </si>
  <si>
    <t>Dual - UK/Irish</t>
  </si>
  <si>
    <t>Dual - UK/Italian</t>
  </si>
  <si>
    <t>Dual - UK/Nigerian</t>
  </si>
  <si>
    <t>Dual - UK/Poland</t>
  </si>
  <si>
    <t>Dual - UK/Russian</t>
  </si>
  <si>
    <t>Dual - UK/SA</t>
  </si>
  <si>
    <t>Dual - UK/Turkish</t>
  </si>
  <si>
    <t>Dual - UK/USA</t>
  </si>
  <si>
    <t>Dual Aus/ NZ</t>
  </si>
  <si>
    <t>Dual Canadian/Irish</t>
  </si>
  <si>
    <t>Dual Ghanaian/Gambia</t>
  </si>
  <si>
    <t>Dual Italian / Swiss</t>
  </si>
  <si>
    <t>Dual NZ / Irish</t>
  </si>
  <si>
    <t>Dual UK/Israel</t>
  </si>
  <si>
    <t>Dual UK/New Zealand</t>
  </si>
  <si>
    <t>Dual- Spanish/French</t>
  </si>
  <si>
    <t>Dual- UK/Bulgarian</t>
  </si>
  <si>
    <t>Dual-British/Maltese</t>
  </si>
  <si>
    <t>Duel- USA/Aus</t>
  </si>
  <si>
    <t>Dutch</t>
  </si>
  <si>
    <t>Egyptian</t>
  </si>
  <si>
    <t>Eritrean</t>
  </si>
  <si>
    <t>Ethiopian</t>
  </si>
  <si>
    <t>Fijian</t>
  </si>
  <si>
    <t>Filippino</t>
  </si>
  <si>
    <t>Finnish</t>
  </si>
  <si>
    <t>France</t>
  </si>
  <si>
    <t>Gambian</t>
  </si>
  <si>
    <t>German</t>
  </si>
  <si>
    <t>German/Australian</t>
  </si>
  <si>
    <t>Ghanaian</t>
  </si>
  <si>
    <t>Greek</t>
  </si>
  <si>
    <t>Greek Cypriot</t>
  </si>
  <si>
    <t>Grenadian</t>
  </si>
  <si>
    <t>Guinean</t>
  </si>
  <si>
    <t>Guyanese</t>
  </si>
  <si>
    <t>Hungarian</t>
  </si>
  <si>
    <t>Iceland</t>
  </si>
  <si>
    <t>Indian</t>
  </si>
  <si>
    <t>Iranian</t>
  </si>
  <si>
    <t>Iraqi</t>
  </si>
  <si>
    <t>Irish</t>
  </si>
  <si>
    <t>Israeli</t>
  </si>
  <si>
    <t>Italian</t>
  </si>
  <si>
    <t>Ivorian</t>
  </si>
  <si>
    <t>Jamaican</t>
  </si>
  <si>
    <t>Japanese</t>
  </si>
  <si>
    <t>Kenyan</t>
  </si>
  <si>
    <t>Kosovan</t>
  </si>
  <si>
    <t>Kurdish</t>
  </si>
  <si>
    <t>Kuwait</t>
  </si>
  <si>
    <t>Latvia</t>
  </si>
  <si>
    <t>Lebanese</t>
  </si>
  <si>
    <t>Lithuanian</t>
  </si>
  <si>
    <t>Macedonian</t>
  </si>
  <si>
    <t>Malawian</t>
  </si>
  <si>
    <t>Malaysian</t>
  </si>
  <si>
    <t>Malta</t>
  </si>
  <si>
    <t>Mauritian</t>
  </si>
  <si>
    <t>Mexican</t>
  </si>
  <si>
    <t>Nepalese</t>
  </si>
  <si>
    <t>Netherlands</t>
  </si>
  <si>
    <t>New Zealand</t>
  </si>
  <si>
    <t>Nigerian</t>
  </si>
  <si>
    <t>North African</t>
  </si>
  <si>
    <t>Norwegian</t>
  </si>
  <si>
    <t>Pakistani</t>
  </si>
  <si>
    <t>Peru</t>
  </si>
  <si>
    <t>Philippino</t>
  </si>
  <si>
    <t>Polish</t>
  </si>
  <si>
    <t>Polynesian</t>
  </si>
  <si>
    <t>Portugal</t>
  </si>
  <si>
    <t>Rep. of Ireland</t>
  </si>
  <si>
    <t>Romanian</t>
  </si>
  <si>
    <t>Russian</t>
  </si>
  <si>
    <t>Samoan</t>
  </si>
  <si>
    <t>Seychellois</t>
  </si>
  <si>
    <t>Sierra Leonean</t>
  </si>
  <si>
    <t>Singapore</t>
  </si>
  <si>
    <t>Slovakian</t>
  </si>
  <si>
    <t>Slovenian</t>
  </si>
  <si>
    <t>Somali</t>
  </si>
  <si>
    <t>South Africa</t>
  </si>
  <si>
    <t>South American</t>
  </si>
  <si>
    <t>Spain</t>
  </si>
  <si>
    <t>Sri Lankan</t>
  </si>
  <si>
    <t>St. Lucian</t>
  </si>
  <si>
    <t>St. Vincent</t>
  </si>
  <si>
    <t>Swazi</t>
  </si>
  <si>
    <t>Swedish</t>
  </si>
  <si>
    <t>Swiss</t>
  </si>
  <si>
    <t>Syrian</t>
  </si>
  <si>
    <t>Taiwan</t>
  </si>
  <si>
    <t>Thai</t>
  </si>
  <si>
    <t>Tongan</t>
  </si>
  <si>
    <t>Trinidad</t>
  </si>
  <si>
    <t>Turkish</t>
  </si>
  <si>
    <t>Turkmenistan</t>
  </si>
  <si>
    <t>Ugandan</t>
  </si>
  <si>
    <t>UK</t>
  </si>
  <si>
    <t>UK / Irish</t>
  </si>
  <si>
    <t>UK / Portuguese</t>
  </si>
  <si>
    <t>UK/Australia dual</t>
  </si>
  <si>
    <t>UK/Canadian</t>
  </si>
  <si>
    <t>UK/New Zealand dual</t>
  </si>
  <si>
    <t>UK/South Africa dual</t>
  </si>
  <si>
    <t>UK/Spanish</t>
  </si>
  <si>
    <t>UK/US Dual</t>
  </si>
  <si>
    <t>Ukrainian</t>
  </si>
  <si>
    <t>US/ French dual</t>
  </si>
  <si>
    <t>USA</t>
  </si>
  <si>
    <t>Venezuela</t>
  </si>
  <si>
    <t>Vietnamese</t>
  </si>
  <si>
    <t>Vincentian</t>
  </si>
  <si>
    <t>Welsh</t>
  </si>
  <si>
    <t>Yugoslavia</t>
  </si>
  <si>
    <t>Zairian</t>
  </si>
  <si>
    <t>Zambian</t>
  </si>
  <si>
    <t>Zimbabwean</t>
  </si>
  <si>
    <t>Home telephone</t>
  </si>
  <si>
    <t>Mobile telephone</t>
  </si>
  <si>
    <t>Branch</t>
  </si>
  <si>
    <t>Gender</t>
  </si>
  <si>
    <t>Place of Birth</t>
  </si>
  <si>
    <t>Country of Birth</t>
  </si>
  <si>
    <t>Ethnic Origin</t>
  </si>
  <si>
    <t>Disability</t>
  </si>
  <si>
    <t>Address 1</t>
  </si>
  <si>
    <t>Address 2</t>
  </si>
  <si>
    <t>Address 3</t>
  </si>
  <si>
    <t>City</t>
  </si>
  <si>
    <t>Country</t>
  </si>
  <si>
    <t>County</t>
  </si>
  <si>
    <t>Surname</t>
  </si>
  <si>
    <t>Forename</t>
  </si>
  <si>
    <t>Title</t>
  </si>
  <si>
    <t>Month</t>
  </si>
  <si>
    <t>Sort Code</t>
  </si>
  <si>
    <t>Relationship</t>
  </si>
  <si>
    <t>Home Telephone</t>
  </si>
  <si>
    <t>Mobile Telephone</t>
  </si>
  <si>
    <t>Work Telephone</t>
  </si>
  <si>
    <t>-</t>
  </si>
  <si>
    <t>Medical Condition(s)</t>
  </si>
  <si>
    <t>A</t>
  </si>
  <si>
    <t>B</t>
  </si>
  <si>
    <t>C</t>
  </si>
  <si>
    <t>Student Loans</t>
  </si>
  <si>
    <t>Mr</t>
  </si>
  <si>
    <t>Mrs</t>
  </si>
  <si>
    <t>Miss</t>
  </si>
  <si>
    <t>Dr</t>
  </si>
  <si>
    <t>This is my first job since last 6 April and I have not been receiving taxable Jobseekers Allowance or taxable Incapacity Benefit or a state or occupational pension.</t>
  </si>
  <si>
    <t>This is now my only job, but since last 6 April I have had another job, or have received taxable Jobseeker's Allowance or Incapacity Benefit. I do not receive a state or occupational pension.</t>
  </si>
  <si>
    <t>I have another job or receive a state or occupational pension.</t>
  </si>
  <si>
    <t>If you left the course of higher educationbefore last 6 April and have received your first students loan installment on or after 1 september 1998 and you have not repaid your student loan, please place an X in the box next to this statement (Does not apply to bank loans)</t>
  </si>
  <si>
    <t>Argentina</t>
  </si>
  <si>
    <t>Austria</t>
  </si>
  <si>
    <t>Bangladesh</t>
  </si>
  <si>
    <t>Belarus</t>
  </si>
  <si>
    <t>Belgium</t>
  </si>
  <si>
    <t>Bulgaria</t>
  </si>
  <si>
    <t>Burma</t>
  </si>
  <si>
    <t>Channel Islands</t>
  </si>
  <si>
    <t>China</t>
  </si>
  <si>
    <t>Cyprus</t>
  </si>
  <si>
    <t>Czech Republic</t>
  </si>
  <si>
    <t>Dubai</t>
  </si>
  <si>
    <t>Egypt</t>
  </si>
  <si>
    <t>Ethiopia</t>
  </si>
  <si>
    <t>Fiji</t>
  </si>
  <si>
    <t>Gambia</t>
  </si>
  <si>
    <t>Germany</t>
  </si>
  <si>
    <t>Ghana</t>
  </si>
  <si>
    <t>Greece</t>
  </si>
  <si>
    <t>Grenada</t>
  </si>
  <si>
    <t>Guernsey</t>
  </si>
  <si>
    <t>Guyana</t>
  </si>
  <si>
    <t>Holland</t>
  </si>
  <si>
    <t>Hong Kong</t>
  </si>
  <si>
    <t>Hungary</t>
  </si>
  <si>
    <t>India</t>
  </si>
  <si>
    <t>Iraq</t>
  </si>
  <si>
    <t>Ireland</t>
  </si>
  <si>
    <t>Israel</t>
  </si>
  <si>
    <t>Italy</t>
  </si>
  <si>
    <t>Jamaica</t>
  </si>
  <si>
    <t>Japan</t>
  </si>
  <si>
    <t>Kenya</t>
  </si>
  <si>
    <t>Kuala Lumpur</t>
  </si>
  <si>
    <t>Lithuania</t>
  </si>
  <si>
    <t>Malaysia</t>
  </si>
  <si>
    <t>Mauritius</t>
  </si>
  <si>
    <t>Mexico</t>
  </si>
  <si>
    <t>Myanmar (Burma)</t>
  </si>
  <si>
    <t>N. Ireland</t>
  </si>
  <si>
    <t>Nigeria</t>
  </si>
  <si>
    <t>Pakistan</t>
  </si>
  <si>
    <t>Poland</t>
  </si>
  <si>
    <t>Qatar</t>
  </si>
  <si>
    <t>Romania</t>
  </si>
  <si>
    <t>Russia</t>
  </si>
  <si>
    <t>Saudia Arabia</t>
  </si>
  <si>
    <t>Scotland</t>
  </si>
  <si>
    <t>Slovenia</t>
  </si>
  <si>
    <t>St. Lucia</t>
  </si>
  <si>
    <t>Sweden</t>
  </si>
  <si>
    <t>Switzerland</t>
  </si>
  <si>
    <t>Thailand</t>
  </si>
  <si>
    <t>UAE</t>
  </si>
  <si>
    <t>Ukraine</t>
  </si>
  <si>
    <t>Wales</t>
  </si>
  <si>
    <t>Western Samoa</t>
  </si>
  <si>
    <t>Zimbabwe</t>
  </si>
  <si>
    <t>Expiry Date</t>
  </si>
  <si>
    <t>January</t>
  </si>
  <si>
    <t>February</t>
  </si>
  <si>
    <t>March</t>
  </si>
  <si>
    <t>April</t>
  </si>
  <si>
    <t>May</t>
  </si>
  <si>
    <t>June</t>
  </si>
  <si>
    <t>July</t>
  </si>
  <si>
    <t>August</t>
  </si>
  <si>
    <t>September</t>
  </si>
  <si>
    <t>October</t>
  </si>
  <si>
    <t>November</t>
  </si>
  <si>
    <t>December</t>
  </si>
  <si>
    <t>Lord</t>
  </si>
  <si>
    <t>Sir</t>
  </si>
  <si>
    <t>Lt Cdr</t>
  </si>
  <si>
    <t>Major</t>
  </si>
  <si>
    <t>Capt</t>
  </si>
  <si>
    <t>Fr</t>
  </si>
  <si>
    <t>Gen Sir</t>
  </si>
  <si>
    <t>Baroness</t>
  </si>
  <si>
    <t>Cmdr</t>
  </si>
  <si>
    <t>Rev</t>
  </si>
  <si>
    <t>Ms</t>
  </si>
  <si>
    <t>Prof</t>
  </si>
  <si>
    <t>Selection</t>
  </si>
  <si>
    <t>X</t>
  </si>
  <si>
    <t>E-mail</t>
  </si>
  <si>
    <t>A - White - British</t>
  </si>
  <si>
    <t>A - White - Irish</t>
  </si>
  <si>
    <t>A - White - Any Other (please specify)</t>
  </si>
  <si>
    <t>Ethnicity</t>
  </si>
  <si>
    <t>B - Mixed - White and Black Caribbean</t>
  </si>
  <si>
    <t>B - Mixed - White and Black African</t>
  </si>
  <si>
    <t>B - Mixed - White and Asian</t>
  </si>
  <si>
    <t>B - Mixed - Any Other (please specify)</t>
  </si>
  <si>
    <t>C - Asian or Asian British - Indian</t>
  </si>
  <si>
    <t>C - Asian or Asian British - Pakistani</t>
  </si>
  <si>
    <t>C - Asian or Asian British - Bangladeshi</t>
  </si>
  <si>
    <t>C - Asian or Asian British - Any Other (please specify)</t>
  </si>
  <si>
    <t>D - Black or Black British - Caribbean</t>
  </si>
  <si>
    <t>D - Black or Black British - African</t>
  </si>
  <si>
    <t>D - Black or Black British - Any Other (please specify)</t>
  </si>
  <si>
    <t>E - Chinese or other ethnic group - Chinese</t>
  </si>
  <si>
    <t>E - Chinese or other ethnic group - Any Other (please specify)</t>
  </si>
  <si>
    <t>F - Arab or Middle Eastern descent - Arab</t>
  </si>
  <si>
    <t>F - Arab or Middle Eastern descent - North African</t>
  </si>
  <si>
    <t>F - Arab or Middle Eastern descent - Iraqi</t>
  </si>
  <si>
    <t>F - Arab or Middle Eastern descent - Kurdish</t>
  </si>
  <si>
    <t>F - Arab or Middle Eastern descent - Any Other (please specify)</t>
  </si>
  <si>
    <t>Partner</t>
  </si>
  <si>
    <t>Unknown</t>
  </si>
  <si>
    <t>Natwest</t>
  </si>
  <si>
    <t>LLoyds TSB</t>
  </si>
  <si>
    <t>Abby National</t>
  </si>
  <si>
    <t>HSBC</t>
  </si>
  <si>
    <t>Barclays Bank</t>
  </si>
  <si>
    <t>Halifax</t>
  </si>
  <si>
    <t>Woolwich</t>
  </si>
  <si>
    <t>Nationwide</t>
  </si>
  <si>
    <t>Alliance &amp; Leicester</t>
  </si>
  <si>
    <t>First Direct</t>
  </si>
  <si>
    <t>Coutts</t>
  </si>
  <si>
    <t>Bank Name</t>
  </si>
  <si>
    <t>BS - Building Society</t>
  </si>
  <si>
    <t xml:space="preserve"> Personal Details Form</t>
  </si>
  <si>
    <t>Date of Birth</t>
  </si>
  <si>
    <t>UK Work Permit No</t>
  </si>
  <si>
    <t>Account Name</t>
  </si>
  <si>
    <t>Forename(s)</t>
  </si>
  <si>
    <t>Criminal Convictions</t>
  </si>
  <si>
    <t>Emergency Contact 2</t>
  </si>
  <si>
    <t>Emergency Contact 1</t>
  </si>
  <si>
    <t>NI Number</t>
  </si>
  <si>
    <t>Account/Roll No</t>
  </si>
  <si>
    <t>Bank/Building Soc.</t>
  </si>
  <si>
    <t>The post for which you have applied is exempt from the provisions of the Rehabilitation of Offenders Act 1974 by virtue of the Rehabilitation of Offenders Act 1974 (Exceptions) Order 1975. It is a condition of your agreement with the RFU that you answer the question below. Failure to do so honestly may result in the immediate termination of any agreement entered into with the RFU. Any past criminal history will not, by itself, necessarily preclude your engagement. This form will be retained in the strictest confidence and only viewed by the manager(s) concerned with your appointment. 
Have you ever been convicted of a criminal offence or been the subject of a Caution or Bound over Order? If Yes, please state the nature and date(s) of the offence(s) in the box below:</t>
  </si>
  <si>
    <t>Car/Cash Option</t>
  </si>
  <si>
    <t>Benefits</t>
  </si>
  <si>
    <t>Field</t>
  </si>
  <si>
    <t>Value</t>
  </si>
  <si>
    <t>Length</t>
  </si>
  <si>
    <t>Form Filled</t>
  </si>
  <si>
    <t>Error</t>
  </si>
  <si>
    <t>Town</t>
  </si>
  <si>
    <t>Form Status</t>
  </si>
  <si>
    <t>Right to work in the UK</t>
  </si>
  <si>
    <t>VISA Number</t>
  </si>
  <si>
    <t>VISA Expiry</t>
  </si>
  <si>
    <t>Diasbility</t>
  </si>
  <si>
    <t>Medical Condition</t>
  </si>
  <si>
    <t>Bank/Building Soc</t>
  </si>
  <si>
    <t>Oth Bank/Building Soc</t>
  </si>
  <si>
    <t>Oth Branch</t>
  </si>
  <si>
    <t>Oth Account/Roll No</t>
  </si>
  <si>
    <t>Oth Account Name</t>
  </si>
  <si>
    <t>E2 Surname</t>
  </si>
  <si>
    <t>E2 Forename</t>
  </si>
  <si>
    <t>E2 Ralationship</t>
  </si>
  <si>
    <t>E2 Home Telephone</t>
  </si>
  <si>
    <t>E2 Mobile Telephone</t>
  </si>
  <si>
    <t>E2 Work Telephone</t>
  </si>
  <si>
    <t>Ethnic Origin Descr</t>
  </si>
  <si>
    <t>Current Circumstances 1</t>
  </si>
  <si>
    <t>Current Circumstances 2</t>
  </si>
  <si>
    <t>Current Circumstances 3</t>
  </si>
  <si>
    <t xml:space="preserve">Current Circumstances - Please place an X in the box next to the statement that applies to you: </t>
  </si>
  <si>
    <t xml:space="preserve">Student Loans - Please place an X in the box next to the statement if it applies </t>
  </si>
  <si>
    <t>Conflict of Interests</t>
  </si>
  <si>
    <t>As an RFU employee, you should not place yourself in any position that may lead to your interests conflicting with those of the RFU.  As an employee, you are required to declare any activity which might bring or have brought you into a conflict of interest with the RFU.  It is not possible to define or describe all circumstances in which a conflict of interest (actual, apparent or potential) may arise. However, the following situations provide a non-exhaustive list of examples of such conflicts of interest:
 * Any activity that directly or indirectly competes with the existing, planned or potential interests of the RFU.
 * Any direct or indirect investment or other interest in any entity that either competes with the existing, planned or potential interests of the RFU, or that provides goods or services to the RFU.  For example, a rugby club (beyond standard membership) or a rugby equipment, rugby accessories or rugby clothing manufacturer and/or supplier and/or retailer.
 * Any payment, gifts (unless the aggregate value of such gifts is less than £50, please refer to our Gifts and Hospitality Policy) or other consideration which an employee may receive from a third party or which is offered in the capacity as an employee.
 * Any RFU business with a family member or friend.
 * Any fees or other benefits received from the following activities:
- publications of opinions, facts or materials
- delivery of any lecture or presentation
- participation in the making of any film, radio or television broadcast /commentating
- communication with any media representative – including TV, radio, newspapers and other journalists for written or online publications
 * Use of any RFU facilities other than for the proper performance of the RFU business and in accordance with the RFU Rules and Regulations from time to time governing the use of such RFU facilities.
All RFU employees must notify HR in writing immediately of any change in circumstances that affects the accuracy of the form that they have completed. Please state any actual, apparent or potential conflict of interest below:</t>
  </si>
  <si>
    <t>If Yes, please specify:</t>
  </si>
  <si>
    <t>Do you have the right to work in the UK?</t>
  </si>
  <si>
    <t>If you have a Visa please specify:</t>
  </si>
  <si>
    <t xml:space="preserve">Monitoring </t>
  </si>
  <si>
    <t>If you are using a separate account for expenses please enter your details below:</t>
  </si>
  <si>
    <t>Emergency Contact Information</t>
  </si>
  <si>
    <t>Banking Information</t>
  </si>
  <si>
    <t>Ethnic origin is not the same as national origin or race but is normally defined in relation to a people or a culture with which a person, or their forebears, are most strongly identified. Please select the category you feel best represents your ethnic origin (these categories are those recommended by the Equal Opportunities Commission). If other, please enter details in the box next to your selection</t>
  </si>
  <si>
    <t>Form Empty</t>
  </si>
  <si>
    <t>Sort Code 1</t>
  </si>
  <si>
    <t>Sort Code 2</t>
  </si>
  <si>
    <t>Sort Code 3</t>
  </si>
  <si>
    <t>Oth Sort Code 1</t>
  </si>
  <si>
    <t>Oth Sort Code 2</t>
  </si>
  <si>
    <t>Oth Sort Code 3</t>
  </si>
  <si>
    <t>E1 Surname</t>
  </si>
  <si>
    <t>E1 Forename</t>
  </si>
  <si>
    <t>E1 Ralationship</t>
  </si>
  <si>
    <t>E1 Home Telephone</t>
  </si>
  <si>
    <t>E1 Mobile Telephone</t>
  </si>
  <si>
    <t>E1 Work Telephone</t>
  </si>
  <si>
    <t>Mother</t>
  </si>
  <si>
    <t>Aunt</t>
  </si>
  <si>
    <t>Daughter</t>
  </si>
  <si>
    <t>Father</t>
  </si>
  <si>
    <t>Father-in-law</t>
  </si>
  <si>
    <t>Husband</t>
  </si>
  <si>
    <t>Mother-in-law</t>
  </si>
  <si>
    <t>Son</t>
  </si>
  <si>
    <t>Uncle</t>
  </si>
  <si>
    <t>Wife</t>
  </si>
  <si>
    <t>Right to work</t>
  </si>
  <si>
    <t>MALE</t>
  </si>
  <si>
    <t>FEMALE</t>
  </si>
  <si>
    <t>Do you have a disability that falls within the scope of the Equality Act 2010? If Yes, please specify. If none, then please leave the field blank</t>
  </si>
  <si>
    <t>The RFU strives to operate a policy of equal opportunity and does not discriminate on the  grounds of race, colour, religion, age, sex, nationality or disability with respect to employment, promotion or training.
To help us monitor this, will you please provide the optional information requested. The information you provide will only be used for monitoring purposes.</t>
  </si>
  <si>
    <t>EDUCATION, QUALIFICATIONS AND TRAINING</t>
  </si>
  <si>
    <t>Please list details of names of schools, colleges and universities attended and/or details of any professional or vocational qualifications that you have undertaken.</t>
  </si>
  <si>
    <t>Please give the name and address of your present or last employer</t>
  </si>
  <si>
    <t>Dates Employed:</t>
  </si>
  <si>
    <t>to</t>
  </si>
  <si>
    <t>Salary</t>
  </si>
  <si>
    <t>Post Held</t>
  </si>
  <si>
    <t>Notice Period</t>
  </si>
  <si>
    <t>Salary/Wage (p.a.)</t>
  </si>
  <si>
    <t>Duties</t>
  </si>
  <si>
    <t>Date Available</t>
  </si>
  <si>
    <t>Employer Name and Address</t>
  </si>
  <si>
    <t>If appointed, when could you start work</t>
  </si>
  <si>
    <t>Current Employment</t>
  </si>
  <si>
    <t>Please list other posts held (starting with the most recent)</t>
  </si>
  <si>
    <t>Employer</t>
  </si>
  <si>
    <t>Post held and reason for leaving</t>
  </si>
  <si>
    <t>Previous Employment</t>
  </si>
  <si>
    <t>Unspent Criminal Convictions</t>
  </si>
  <si>
    <t>Do you have any unspent criminal convictions?</t>
  </si>
  <si>
    <t>Interviews</t>
  </si>
  <si>
    <t>Interview</t>
  </si>
  <si>
    <t>Education</t>
  </si>
  <si>
    <t>Date Employed 1</t>
  </si>
  <si>
    <t>Date Employed 2</t>
  </si>
  <si>
    <t>Notice</t>
  </si>
  <si>
    <t>PE Name</t>
  </si>
  <si>
    <t>PE Position and Leave Reason</t>
  </si>
  <si>
    <t>PE Salary</t>
  </si>
  <si>
    <t>PE 2 Name</t>
  </si>
  <si>
    <t>PE 2 Position and Leave Reason</t>
  </si>
  <si>
    <t>PE 2 Salary</t>
  </si>
  <si>
    <t>PE 3 Name</t>
  </si>
  <si>
    <t>PE 3 Position and Leave Reason</t>
  </si>
  <si>
    <t>PE 3 Salary</t>
  </si>
  <si>
    <t>PE 4 Name</t>
  </si>
  <si>
    <t>PE 4 Position and Leave Reason</t>
  </si>
  <si>
    <t>PE 4 Salary</t>
  </si>
  <si>
    <t>Criminal Convictions Y/N</t>
  </si>
  <si>
    <t>In order for us to ascertain whether we need to make any adjustments or provide any auxiliary aids to enable you to do the job, please advise us whether you have a medical condition which might affect your fitness to safely perform this job without detriment to your health or that of others and which you would want us to be aware of? If none, then please leave the field blank</t>
  </si>
  <si>
    <t>It is our intention to run the majority of the interviews on the 16th of March, please indicate if you are available on this date:</t>
  </si>
  <si>
    <t xml:space="preserve">I certify that all the facts/details stated on this form are correct. I understand that the RFU reserves the right to verify all information contained in this application through the use of background checks before or after employment commences. I authorise the RFU to obtain references from any referees and all former employers and release the RFU and referees from any liabilities caused by giving and receiving information. I understand that my employment is contingent upon the accuracy of the information contained within this form and upon verification of my right to work in the UK. </t>
  </si>
  <si>
    <t>V04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</si>
</sst>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宋体"/>
      <family val="2"/>
      <scheme val="minor"/>
    </font>
    <font>
      <sz val="10"/>
      <color indexed="8"/>
      <name val="MS Sans Serif"/>
      <family val="2"/>
    </font>
    <font>
      <sz val="8.5"/>
      <color indexed="8"/>
      <name val="MS Sans Serif"/>
      <family val="2"/>
    </font>
    <font>
      <sz val="11"/>
      <color theme="0"/>
      <name val="宋体"/>
      <family val="2"/>
      <scheme val="minor"/>
    </font>
    <font>
      <b/>
      <sz val="11"/>
      <color theme="0"/>
      <name val="宋体"/>
      <family val="2"/>
      <scheme val="minor"/>
    </font>
    <font>
      <u/>
      <sz val="11"/>
      <color theme="10"/>
      <name val="宋体"/>
      <family val="2"/>
      <scheme val="minor"/>
    </font>
    <font>
      <sz val="11"/>
      <color rgb="FFFF0000"/>
      <name val="宋体"/>
      <family val="2"/>
      <scheme val="minor"/>
    </font>
    <font>
      <sz val="10"/>
      <color indexed="8"/>
      <name val="宋体"/>
      <family val="2"/>
      <scheme val="minor"/>
    </font>
    <font>
      <sz val="11"/>
      <color indexed="8"/>
      <name val="宋体"/>
      <family val="2"/>
      <scheme val="minor"/>
    </font>
    <font>
      <sz val="11"/>
      <name val="宋体"/>
      <family val="2"/>
      <scheme val="minor"/>
    </font>
    <font>
      <sz val="10"/>
      <color theme="1"/>
      <name val="宋体"/>
      <family val="2"/>
      <scheme val="minor"/>
    </font>
    <font>
      <sz val="9"/>
      <color indexed="8"/>
      <name val="宋体"/>
      <family val="2"/>
      <scheme val="minor"/>
    </font>
    <font>
      <sz val="9"/>
      <name val="宋体"/>
      <family val="2"/>
      <scheme val="minor"/>
    </font>
    <font>
      <sz val="10"/>
      <name val="宋体"/>
      <family val="2"/>
      <scheme val="minor"/>
    </font>
    <font>
      <b/>
      <sz val="11"/>
      <name val="宋体"/>
      <family val="2"/>
      <scheme val="minor"/>
    </font>
    <font>
      <sz val="8"/>
      <color indexed="8"/>
      <name val="宋体"/>
      <family val="2"/>
      <scheme val="minor"/>
    </font>
    <font>
      <sz val="9"/>
      <name val="宋体"/>
      <family val="3"/>
      <charset val="134"/>
      <scheme val="minor"/>
    </font>
  </fonts>
  <fills count="6">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00"/>
        <bgColor indexed="64"/>
      </patternFill>
    </fill>
    <fill>
      <patternFill patternType="solid">
        <fgColor rgb="FF00875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166">
    <xf numFmtId="0" fontId="0" fillId="0" borderId="0" xfId="0"/>
    <xf numFmtId="0" fontId="0" fillId="0" borderId="0" xfId="0" applyAlignment="1">
      <alignment vertical="center"/>
    </xf>
    <xf numFmtId="0" fontId="0" fillId="2" borderId="0" xfId="0" applyFill="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1" fillId="0" borderId="0" xfId="0" applyNumberFormat="1" applyFont="1" applyFill="1" applyBorder="1" applyAlignment="1" applyProtection="1">
      <alignment vertical="center"/>
    </xf>
    <xf numFmtId="0" fontId="1" fillId="2" borderId="0" xfId="0" applyNumberFormat="1" applyFont="1" applyFill="1" applyBorder="1" applyAlignment="1" applyProtection="1">
      <alignment vertical="center"/>
    </xf>
    <xf numFmtId="0" fontId="0" fillId="2" borderId="0" xfId="0" applyFill="1" applyBorder="1" applyAlignment="1">
      <alignment vertical="center"/>
    </xf>
    <xf numFmtId="0" fontId="0" fillId="0" borderId="0" xfId="0"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0" fillId="2" borderId="0" xfId="0" applyFill="1"/>
    <xf numFmtId="0" fontId="1"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xf>
    <xf numFmtId="0" fontId="0" fillId="2" borderId="0" xfId="0" applyFill="1" applyBorder="1" applyAlignment="1">
      <alignment horizontal="left" vertical="center"/>
    </xf>
    <xf numFmtId="0" fontId="0" fillId="2" borderId="0" xfId="0" applyFont="1" applyFill="1" applyAlignment="1">
      <alignment vertical="center"/>
    </xf>
    <xf numFmtId="0" fontId="0" fillId="2" borderId="0" xfId="0" applyFont="1" applyFill="1" applyBorder="1" applyAlignment="1">
      <alignment vertical="center"/>
    </xf>
    <xf numFmtId="0" fontId="0" fillId="0" borderId="0" xfId="0" applyFont="1" applyBorder="1" applyAlignment="1">
      <alignment vertical="center"/>
    </xf>
    <xf numFmtId="0" fontId="0" fillId="2" borderId="0" xfId="0" applyFont="1" applyFill="1" applyBorder="1" applyAlignment="1">
      <alignment horizontal="left" vertical="center"/>
    </xf>
    <xf numFmtId="0" fontId="0" fillId="2" borderId="0" xfId="0" applyFont="1" applyFill="1" applyAlignment="1">
      <alignment horizontal="left" vertical="center"/>
    </xf>
    <xf numFmtId="0" fontId="7" fillId="2" borderId="0" xfId="0" applyNumberFormat="1" applyFont="1" applyFill="1" applyBorder="1" applyAlignment="1" applyProtection="1">
      <alignment vertical="center"/>
    </xf>
    <xf numFmtId="0" fontId="0" fillId="2" borderId="0" xfId="0" applyFont="1" applyFill="1"/>
    <xf numFmtId="0" fontId="8" fillId="0" borderId="0" xfId="0" applyNumberFormat="1" applyFont="1" applyFill="1" applyBorder="1" applyAlignment="1" applyProtection="1">
      <alignment vertical="center"/>
    </xf>
    <xf numFmtId="0" fontId="8" fillId="2" borderId="0" xfId="0" applyNumberFormat="1" applyFont="1" applyFill="1" applyBorder="1" applyAlignment="1" applyProtection="1">
      <alignment horizontal="left" vertical="center"/>
    </xf>
    <xf numFmtId="49" fontId="8" fillId="2" borderId="0" xfId="0" applyNumberFormat="1" applyFont="1" applyFill="1" applyBorder="1" applyAlignment="1" applyProtection="1">
      <alignment horizontal="center" vertical="center"/>
    </xf>
    <xf numFmtId="0" fontId="0" fillId="2" borderId="0" xfId="0" applyFont="1" applyFill="1" applyBorder="1" applyAlignment="1">
      <alignment horizontal="center" vertical="center"/>
    </xf>
    <xf numFmtId="0" fontId="0" fillId="0" borderId="1" xfId="0" applyBorder="1" applyAlignment="1">
      <alignment horizontal="center" vertical="center"/>
    </xf>
    <xf numFmtId="0" fontId="0" fillId="2" borderId="0" xfId="0" applyFill="1" applyBorder="1" applyAlignment="1">
      <alignment horizontal="center" vertical="center"/>
    </xf>
    <xf numFmtId="0" fontId="8" fillId="2" borderId="0" xfId="0" applyNumberFormat="1" applyFont="1" applyFill="1" applyBorder="1" applyAlignment="1" applyProtection="1">
      <alignment horizontal="center" vertical="center"/>
    </xf>
    <xf numFmtId="0" fontId="0" fillId="0" borderId="0" xfId="0" applyBorder="1" applyAlignment="1">
      <alignment horizontal="left" vertical="center"/>
    </xf>
    <xf numFmtId="0" fontId="0" fillId="2" borderId="1" xfId="0" applyFont="1" applyFill="1" applyBorder="1" applyAlignment="1" applyProtection="1">
      <alignment horizontal="center" vertical="center"/>
      <protection locked="0"/>
    </xf>
    <xf numFmtId="0" fontId="6" fillId="0" borderId="0" xfId="0" applyNumberFormat="1" applyFont="1" applyFill="1" applyBorder="1" applyAlignment="1" applyProtection="1">
      <alignment horizontal="center" vertical="center"/>
    </xf>
    <xf numFmtId="0" fontId="6" fillId="0" borderId="0" xfId="0" applyFont="1" applyFill="1" applyAlignment="1">
      <alignment vertical="center"/>
    </xf>
    <xf numFmtId="0" fontId="6" fillId="2" borderId="0" xfId="0" applyFont="1" applyFill="1" applyAlignment="1">
      <alignment vertical="center"/>
    </xf>
    <xf numFmtId="0" fontId="6" fillId="2" borderId="0" xfId="0" applyNumberFormat="1" applyFont="1" applyFill="1" applyBorder="1" applyAlignment="1" applyProtection="1">
      <alignment vertical="center"/>
    </xf>
    <xf numFmtId="0" fontId="6" fillId="2" borderId="0" xfId="0" applyNumberFormat="1" applyFont="1" applyFill="1" applyBorder="1" applyAlignment="1" applyProtection="1">
      <alignment horizontal="center" vertical="center"/>
    </xf>
    <xf numFmtId="0" fontId="0" fillId="2" borderId="0" xfId="0" applyFill="1" applyAlignment="1">
      <alignment horizontal="left" vertical="center"/>
    </xf>
    <xf numFmtId="0" fontId="0" fillId="2" borderId="0" xfId="0" applyFill="1" applyAlignment="1">
      <alignment horizontal="center" vertical="center"/>
    </xf>
    <xf numFmtId="0" fontId="9" fillId="2" borderId="0" xfId="0" applyFont="1" applyFill="1" applyBorder="1" applyAlignment="1">
      <alignment vertical="center"/>
    </xf>
    <xf numFmtId="0" fontId="9" fillId="2" borderId="0" xfId="0" applyNumberFormat="1" applyFont="1" applyFill="1" applyBorder="1" applyAlignment="1" applyProtection="1">
      <alignment vertical="center"/>
    </xf>
    <xf numFmtId="0" fontId="6" fillId="0" borderId="0" xfId="0" applyNumberFormat="1" applyFont="1" applyFill="1" applyBorder="1" applyAlignment="1" applyProtection="1">
      <alignment vertical="center"/>
    </xf>
    <xf numFmtId="0" fontId="0" fillId="0" borderId="1" xfId="0" applyFont="1" applyBorder="1" applyAlignment="1" applyProtection="1">
      <alignment horizontal="center" vertical="center"/>
      <protection locked="0"/>
    </xf>
    <xf numFmtId="0" fontId="0" fillId="0" borderId="1" xfId="0" applyFill="1" applyBorder="1" applyAlignment="1">
      <alignment vertical="center"/>
    </xf>
    <xf numFmtId="0" fontId="0" fillId="3" borderId="1" xfId="0" applyFill="1" applyBorder="1" applyAlignment="1">
      <alignment vertical="center"/>
    </xf>
    <xf numFmtId="0" fontId="0" fillId="0" borderId="1" xfId="0" applyFill="1" applyBorder="1" applyAlignment="1">
      <alignment horizontal="left" vertical="center"/>
    </xf>
    <xf numFmtId="14" fontId="0" fillId="0" borderId="1" xfId="0" applyNumberFormat="1" applyFill="1" applyBorder="1" applyAlignment="1">
      <alignment horizontal="left" vertical="center"/>
    </xf>
    <xf numFmtId="0" fontId="0" fillId="4" borderId="1" xfId="0" applyFill="1" applyBorder="1" applyAlignment="1">
      <alignment vertical="center"/>
    </xf>
    <xf numFmtId="14" fontId="0" fillId="0" borderId="1" xfId="0" applyNumberFormat="1" applyFont="1" applyBorder="1" applyAlignment="1" applyProtection="1">
      <alignment horizontal="center" vertical="center"/>
      <protection locked="0"/>
    </xf>
    <xf numFmtId="0" fontId="9" fillId="2" borderId="1" xfId="0" applyNumberFormat="1" applyFont="1" applyFill="1" applyBorder="1" applyAlignment="1" applyProtection="1">
      <alignment horizontal="center" vertical="center"/>
      <protection locked="0"/>
    </xf>
    <xf numFmtId="14" fontId="9" fillId="0" borderId="1" xfId="0" applyNumberFormat="1"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 fillId="2" borderId="0" xfId="0" applyNumberFormat="1" applyFont="1" applyFill="1" applyBorder="1" applyAlignment="1" applyProtection="1">
      <alignment horizontal="left" vertical="center" wrapText="1"/>
    </xf>
    <xf numFmtId="0" fontId="0" fillId="2" borderId="0" xfId="0" applyFill="1" applyAlignment="1">
      <alignment horizontal="left" vertical="center"/>
    </xf>
    <xf numFmtId="0" fontId="0" fillId="0" borderId="1" xfId="0" applyBorder="1" applyAlignment="1" applyProtection="1">
      <alignment horizontal="center" vertical="center"/>
      <protection locked="0"/>
    </xf>
    <xf numFmtId="0" fontId="0" fillId="2" borderId="0" xfId="0" applyFont="1" applyFill="1" applyBorder="1"/>
    <xf numFmtId="0" fontId="8" fillId="2" borderId="0"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vertical="center" wrapText="1"/>
    </xf>
    <xf numFmtId="0" fontId="8" fillId="2" borderId="0" xfId="0" applyNumberFormat="1" applyFont="1" applyFill="1" applyBorder="1" applyAlignment="1" applyProtection="1">
      <alignment horizontal="center" vertical="center" wrapText="1"/>
    </xf>
    <xf numFmtId="0" fontId="8" fillId="0" borderId="0" xfId="0" applyNumberFormat="1" applyFont="1" applyFill="1" applyBorder="1" applyAlignment="1" applyProtection="1">
      <alignment vertical="center" wrapText="1"/>
    </xf>
    <xf numFmtId="0" fontId="0" fillId="2" borderId="0" xfId="0" applyFont="1" applyFill="1" applyBorder="1" applyAlignment="1" applyProtection="1">
      <alignment horizontal="left" vertical="center"/>
    </xf>
    <xf numFmtId="0" fontId="0" fillId="2" borderId="0" xfId="0" applyFont="1" applyFill="1" applyBorder="1" applyAlignment="1" applyProtection="1">
      <alignment vertical="center"/>
    </xf>
    <xf numFmtId="14" fontId="0" fillId="2" borderId="0" xfId="0" applyNumberFormat="1" applyFont="1" applyFill="1" applyBorder="1" applyAlignment="1" applyProtection="1">
      <alignment horizontal="center" vertical="center"/>
    </xf>
    <xf numFmtId="0" fontId="8" fillId="0" borderId="1" xfId="0" applyNumberFormat="1" applyFont="1" applyFill="1" applyBorder="1" applyAlignment="1" applyProtection="1">
      <alignment horizontal="center" vertical="center" wrapText="1"/>
    </xf>
    <xf numFmtId="0" fontId="0" fillId="2" borderId="0" xfId="0" applyFill="1" applyBorder="1" applyAlignment="1" applyProtection="1">
      <alignment horizontal="left" vertical="center"/>
    </xf>
    <xf numFmtId="0" fontId="0" fillId="2" borderId="0" xfId="0" applyFill="1" applyProtection="1"/>
    <xf numFmtId="0" fontId="0" fillId="0" borderId="1" xfId="0" applyBorder="1" applyAlignment="1" applyProtection="1">
      <alignment horizontal="center" vertical="center"/>
      <protection locked="0"/>
    </xf>
    <xf numFmtId="49" fontId="8" fillId="0" borderId="1" xfId="0" applyNumberFormat="1" applyFont="1" applyFill="1" applyBorder="1" applyAlignment="1" applyProtection="1">
      <alignment horizontal="center" vertical="center"/>
      <protection locked="0"/>
    </xf>
    <xf numFmtId="0" fontId="0" fillId="0" borderId="0" xfId="0" applyFill="1" applyBorder="1" applyAlignment="1">
      <alignment vertical="center"/>
    </xf>
    <xf numFmtId="49" fontId="0" fillId="0" borderId="1" xfId="0" applyNumberFormat="1" applyBorder="1" applyAlignment="1" applyProtection="1">
      <alignment horizontal="center" vertical="center"/>
      <protection locked="0"/>
    </xf>
    <xf numFmtId="0" fontId="3" fillId="2" borderId="0" xfId="0" applyFont="1" applyFill="1" applyAlignment="1">
      <alignment vertical="center"/>
    </xf>
    <xf numFmtId="0" fontId="15" fillId="2" borderId="1" xfId="0" applyNumberFormat="1" applyFont="1" applyFill="1" applyBorder="1" applyAlignment="1" applyProtection="1">
      <alignment horizontal="center" vertical="center" wrapText="1"/>
    </xf>
    <xf numFmtId="14" fontId="0" fillId="0" borderId="1" xfId="0" applyNumberFormat="1" applyFont="1" applyBorder="1" applyAlignment="1" applyProtection="1">
      <alignment horizontal="center" vertical="center"/>
      <protection locked="0"/>
    </xf>
    <xf numFmtId="0" fontId="2" fillId="2" borderId="0" xfId="0" applyNumberFormat="1" applyFont="1" applyFill="1" applyBorder="1" applyAlignment="1" applyProtection="1">
      <alignment horizontal="left" vertical="center" wrapText="1"/>
    </xf>
    <xf numFmtId="0" fontId="7" fillId="2" borderId="0" xfId="0" applyNumberFormat="1" applyFont="1" applyFill="1" applyBorder="1" applyAlignment="1" applyProtection="1">
      <alignment horizontal="left" vertical="center" wrapText="1"/>
    </xf>
    <xf numFmtId="0" fontId="4" fillId="5" borderId="0" xfId="0" applyFont="1" applyFill="1" applyBorder="1" applyAlignment="1">
      <alignment horizontal="left" vertical="center"/>
    </xf>
    <xf numFmtId="0" fontId="8" fillId="2" borderId="2" xfId="0" applyNumberFormat="1" applyFont="1" applyFill="1" applyBorder="1" applyAlignment="1" applyProtection="1">
      <alignment horizontal="left" vertical="center" wrapText="1"/>
    </xf>
    <xf numFmtId="0" fontId="8" fillId="2" borderId="4" xfId="0" applyNumberFormat="1" applyFont="1" applyFill="1" applyBorder="1" applyAlignment="1" applyProtection="1">
      <alignment horizontal="left" vertical="center" wrapText="1"/>
    </xf>
    <xf numFmtId="0" fontId="0" fillId="0" borderId="1" xfId="0" applyBorder="1" applyAlignment="1" applyProtection="1">
      <alignment horizontal="center" vertical="center"/>
      <protection locked="0"/>
    </xf>
    <xf numFmtId="0" fontId="8" fillId="2" borderId="0" xfId="0" applyNumberFormat="1" applyFont="1" applyFill="1" applyBorder="1" applyAlignment="1" applyProtection="1">
      <alignment horizontal="left" vertical="center" wrapText="1"/>
    </xf>
    <xf numFmtId="14" fontId="0" fillId="0" borderId="2" xfId="0" applyNumberFormat="1" applyFont="1" applyBorder="1" applyAlignment="1" applyProtection="1">
      <alignment horizontal="left" vertical="center"/>
      <protection locked="0"/>
    </xf>
    <xf numFmtId="14" fontId="0" fillId="0" borderId="3" xfId="0" applyNumberFormat="1" applyFont="1" applyBorder="1" applyAlignment="1" applyProtection="1">
      <alignment horizontal="left" vertical="center"/>
      <protection locked="0"/>
    </xf>
    <xf numFmtId="0" fontId="8" fillId="2" borderId="1" xfId="0" applyNumberFormat="1" applyFont="1" applyFill="1" applyBorder="1" applyAlignment="1" applyProtection="1">
      <alignment horizontal="left" vertical="center" wrapText="1"/>
    </xf>
    <xf numFmtId="14" fontId="0" fillId="0" borderId="4" xfId="0" applyNumberFormat="1" applyFont="1" applyBorder="1" applyAlignment="1" applyProtection="1">
      <alignment horizontal="left" vertical="center"/>
      <protection locked="0"/>
    </xf>
    <xf numFmtId="0" fontId="8" fillId="0" borderId="1" xfId="0" applyNumberFormat="1" applyFont="1" applyFill="1" applyBorder="1" applyAlignment="1" applyProtection="1">
      <alignment horizontal="left" vertical="center" wrapText="1"/>
    </xf>
    <xf numFmtId="14" fontId="0" fillId="0" borderId="2" xfId="0" applyNumberFormat="1"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8" fillId="0" borderId="0" xfId="0" applyNumberFormat="1" applyFont="1" applyFill="1" applyBorder="1" applyAlignment="1" applyProtection="1">
      <alignment horizontal="center" vertical="center" wrapText="1"/>
    </xf>
    <xf numFmtId="0" fontId="8" fillId="0" borderId="1" xfId="0" applyNumberFormat="1" applyFont="1" applyFill="1" applyBorder="1" applyAlignment="1" applyProtection="1">
      <alignment horizontal="left" vertical="center"/>
      <protection locked="0"/>
    </xf>
    <xf numFmtId="0" fontId="4" fillId="5" borderId="0" xfId="0" applyFont="1" applyFill="1" applyBorder="1" applyAlignment="1" applyProtection="1">
      <alignment horizontal="left" vertical="center"/>
    </xf>
    <xf numFmtId="0" fontId="11" fillId="2" borderId="0" xfId="0" applyNumberFormat="1" applyFont="1" applyFill="1" applyBorder="1" applyAlignment="1" applyProtection="1">
      <alignment horizontal="left" vertical="center" wrapText="1"/>
    </xf>
    <xf numFmtId="0" fontId="0" fillId="0" borderId="2" xfId="0" applyBorder="1" applyAlignment="1" applyProtection="1">
      <alignment horizontal="left" vertical="top"/>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2" borderId="0" xfId="0" applyFill="1" applyAlignment="1">
      <alignment horizontal="center" vertical="center"/>
    </xf>
    <xf numFmtId="0" fontId="0" fillId="0" borderId="1" xfId="0" applyBorder="1" applyAlignment="1">
      <alignment vertical="center"/>
    </xf>
    <xf numFmtId="0" fontId="9" fillId="0" borderId="1" xfId="0" applyNumberFormat="1" applyFont="1" applyFill="1" applyBorder="1" applyAlignment="1" applyProtection="1">
      <alignment horizontal="center" vertical="center"/>
      <protection locked="0"/>
    </xf>
    <xf numFmtId="0" fontId="5" fillId="0" borderId="2" xfId="1" applyNumberFormat="1" applyFill="1" applyBorder="1" applyAlignment="1" applyProtection="1">
      <alignment horizontal="left" vertical="center"/>
      <protection locked="0"/>
    </xf>
    <xf numFmtId="0" fontId="8" fillId="0" borderId="3" xfId="0" applyNumberFormat="1" applyFont="1" applyFill="1" applyBorder="1" applyAlignment="1" applyProtection="1">
      <alignment horizontal="left" vertical="center"/>
      <protection locked="0"/>
    </xf>
    <xf numFmtId="0" fontId="8" fillId="0" borderId="4" xfId="0" applyNumberFormat="1" applyFont="1" applyFill="1" applyBorder="1" applyAlignment="1" applyProtection="1">
      <alignment horizontal="left" vertical="center"/>
      <protection locked="0"/>
    </xf>
    <xf numFmtId="0" fontId="0" fillId="0" borderId="2" xfId="0" applyFont="1" applyBorder="1" applyAlignment="1" applyProtection="1">
      <alignment horizontal="center" vertical="center"/>
      <protection locked="0"/>
    </xf>
    <xf numFmtId="0" fontId="0" fillId="0" borderId="3" xfId="0" applyFont="1" applyBorder="1" applyAlignment="1" applyProtection="1">
      <alignment horizontal="center" vertical="center"/>
      <protection locked="0"/>
    </xf>
    <xf numFmtId="0" fontId="0" fillId="0" borderId="4" xfId="0" applyFont="1" applyBorder="1" applyAlignment="1" applyProtection="1">
      <alignment horizontal="center" vertical="center"/>
      <protection locked="0"/>
    </xf>
    <xf numFmtId="0" fontId="0" fillId="0" borderId="1" xfId="0" applyFont="1" applyBorder="1" applyAlignment="1" applyProtection="1">
      <alignment horizontal="center" vertical="center"/>
      <protection locked="0"/>
    </xf>
    <xf numFmtId="0" fontId="0" fillId="0" borderId="1" xfId="0" applyFont="1" applyBorder="1" applyAlignment="1">
      <alignment horizontal="left" vertical="center"/>
    </xf>
    <xf numFmtId="0" fontId="0" fillId="0" borderId="2" xfId="0" applyFont="1" applyBorder="1" applyAlignment="1">
      <alignment horizontal="left" vertical="center"/>
    </xf>
    <xf numFmtId="0" fontId="0" fillId="0" borderId="4" xfId="0" applyFont="1" applyBorder="1" applyAlignment="1">
      <alignment horizontal="left" vertical="center"/>
    </xf>
    <xf numFmtId="0" fontId="0" fillId="2" borderId="0" xfId="0" applyFont="1" applyFill="1"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2" borderId="0" xfId="0" applyFill="1" applyBorder="1" applyAlignment="1">
      <alignment horizontal="center" vertical="center"/>
    </xf>
    <xf numFmtId="0" fontId="0" fillId="0" borderId="1" xfId="0" applyBorder="1" applyAlignment="1">
      <alignment horizontal="left" vertical="center"/>
    </xf>
    <xf numFmtId="0" fontId="0" fillId="2" borderId="0" xfId="0" applyFill="1" applyAlignment="1">
      <alignment horizontal="left" vertical="center"/>
    </xf>
    <xf numFmtId="49" fontId="0" fillId="0" borderId="1" xfId="0" applyNumberFormat="1" applyBorder="1" applyAlignment="1" applyProtection="1">
      <alignment horizontal="center" vertical="center"/>
      <protection locked="0"/>
    </xf>
    <xf numFmtId="0" fontId="0" fillId="0" borderId="2" xfId="0" applyBorder="1" applyAlignment="1">
      <alignment vertical="center"/>
    </xf>
    <xf numFmtId="0" fontId="0" fillId="0" borderId="4" xfId="0" applyBorder="1" applyAlignment="1">
      <alignment vertical="center"/>
    </xf>
    <xf numFmtId="0" fontId="8" fillId="0" borderId="1" xfId="0" applyNumberFormat="1" applyFont="1" applyFill="1" applyBorder="1" applyAlignment="1" applyProtection="1">
      <alignment horizontal="left" vertical="center"/>
    </xf>
    <xf numFmtId="0" fontId="9" fillId="0" borderId="1" xfId="0" applyNumberFormat="1" applyFont="1" applyFill="1" applyBorder="1" applyAlignment="1" applyProtection="1">
      <alignment horizontal="left" vertical="center"/>
    </xf>
    <xf numFmtId="0" fontId="8" fillId="2" borderId="1" xfId="0" applyNumberFormat="1" applyFont="1" applyFill="1" applyBorder="1" applyAlignment="1" applyProtection="1">
      <alignment horizontal="left" vertical="center"/>
    </xf>
    <xf numFmtId="0" fontId="8" fillId="0" borderId="1" xfId="0" applyNumberFormat="1" applyFont="1" applyFill="1" applyBorder="1" applyAlignment="1" applyProtection="1">
      <alignment horizontal="center" vertical="center"/>
      <protection locked="0"/>
    </xf>
    <xf numFmtId="0" fontId="13" fillId="0" borderId="0" xfId="0" applyNumberFormat="1" applyFont="1" applyFill="1" applyBorder="1" applyAlignment="1" applyProtection="1">
      <alignment horizontal="left" vertical="center"/>
    </xf>
    <xf numFmtId="0" fontId="7" fillId="2" borderId="5" xfId="0" applyNumberFormat="1" applyFont="1" applyFill="1" applyBorder="1" applyAlignment="1" applyProtection="1">
      <alignment horizontal="left" vertical="center"/>
    </xf>
    <xf numFmtId="0" fontId="6" fillId="0" borderId="0" xfId="0" applyNumberFormat="1" applyFont="1" applyFill="1" applyBorder="1" applyAlignment="1" applyProtection="1">
      <alignment horizontal="center" vertical="center"/>
    </xf>
    <xf numFmtId="0" fontId="9" fillId="0" borderId="2" xfId="0" applyNumberFormat="1" applyFont="1" applyFill="1" applyBorder="1" applyAlignment="1" applyProtection="1">
      <alignment horizontal="left" vertical="center"/>
    </xf>
    <xf numFmtId="0" fontId="9" fillId="0" borderId="4" xfId="0" applyNumberFormat="1" applyFont="1" applyFill="1" applyBorder="1" applyAlignment="1" applyProtection="1">
      <alignment horizontal="left" vertical="center"/>
    </xf>
    <xf numFmtId="0" fontId="9" fillId="0" borderId="2" xfId="0" applyNumberFormat="1" applyFont="1" applyFill="1" applyBorder="1" applyAlignment="1" applyProtection="1">
      <alignment horizontal="center" vertical="center"/>
      <protection locked="0"/>
    </xf>
    <xf numFmtId="0" fontId="9" fillId="0" borderId="3" xfId="0" applyNumberFormat="1" applyFont="1" applyFill="1" applyBorder="1" applyAlignment="1" applyProtection="1">
      <alignment horizontal="center" vertical="center"/>
      <protection locked="0"/>
    </xf>
    <xf numFmtId="0" fontId="9" fillId="0" borderId="4" xfId="0" applyNumberFormat="1" applyFont="1" applyFill="1" applyBorder="1" applyAlignment="1" applyProtection="1">
      <alignment horizontal="center" vertical="center"/>
      <protection locked="0"/>
    </xf>
    <xf numFmtId="0" fontId="13" fillId="2" borderId="0" xfId="0" applyNumberFormat="1" applyFont="1" applyFill="1" applyBorder="1" applyAlignment="1" applyProtection="1">
      <alignment horizontal="left" vertical="center"/>
    </xf>
    <xf numFmtId="0" fontId="10" fillId="2" borderId="0" xfId="0" applyFont="1" applyFill="1" applyAlignment="1">
      <alignment horizontal="left" vertical="center"/>
    </xf>
    <xf numFmtId="0" fontId="10" fillId="0" borderId="0" xfId="0" applyFont="1" applyBorder="1" applyAlignment="1">
      <alignment horizontal="left" vertical="center"/>
    </xf>
    <xf numFmtId="0" fontId="9" fillId="0" borderId="0" xfId="0" applyFont="1" applyBorder="1" applyAlignment="1">
      <alignment horizontal="left" vertical="center"/>
    </xf>
    <xf numFmtId="49" fontId="8" fillId="0" borderId="1" xfId="0" applyNumberFormat="1" applyFont="1" applyFill="1" applyBorder="1" applyAlignment="1" applyProtection="1">
      <alignment horizontal="center" vertical="center"/>
      <protection locked="0"/>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9" fillId="2" borderId="1" xfId="0" applyNumberFormat="1" applyFont="1" applyFill="1" applyBorder="1" applyAlignment="1" applyProtection="1">
      <alignment horizontal="center" vertical="center"/>
    </xf>
    <xf numFmtId="0" fontId="9" fillId="2" borderId="1" xfId="0" applyNumberFormat="1" applyFont="1" applyFill="1" applyBorder="1" applyAlignment="1" applyProtection="1">
      <alignment horizontal="center" vertical="center"/>
      <protection locked="0"/>
    </xf>
    <xf numFmtId="0" fontId="8" fillId="2" borderId="1" xfId="0" applyNumberFormat="1" applyFont="1" applyFill="1" applyBorder="1" applyAlignment="1" applyProtection="1">
      <alignment horizontal="center" vertical="center"/>
      <protection locked="0"/>
    </xf>
    <xf numFmtId="0" fontId="7" fillId="2" borderId="2" xfId="0" applyNumberFormat="1" applyFont="1" applyFill="1" applyBorder="1" applyAlignment="1" applyProtection="1">
      <alignment horizontal="center" vertical="center"/>
      <protection locked="0"/>
    </xf>
    <xf numFmtId="0" fontId="7" fillId="2" borderId="3" xfId="0" applyNumberFormat="1" applyFont="1" applyFill="1" applyBorder="1" applyAlignment="1" applyProtection="1">
      <alignment horizontal="center" vertical="center"/>
      <protection locked="0"/>
    </xf>
    <xf numFmtId="0" fontId="7" fillId="2" borderId="4" xfId="0" applyNumberFormat="1" applyFont="1" applyFill="1" applyBorder="1" applyAlignment="1" applyProtection="1">
      <alignment horizontal="center" vertical="center"/>
      <protection locked="0"/>
    </xf>
    <xf numFmtId="0" fontId="13" fillId="2" borderId="0" xfId="0" applyFont="1" applyFill="1" applyBorder="1" applyAlignment="1">
      <alignment horizontal="left" vertical="center" wrapText="1"/>
    </xf>
    <xf numFmtId="0" fontId="14" fillId="2" borderId="0" xfId="0" applyFont="1" applyFill="1" applyBorder="1" applyAlignment="1">
      <alignment horizontal="left" vertical="center"/>
    </xf>
    <xf numFmtId="0" fontId="9" fillId="2" borderId="2" xfId="0" applyFont="1" applyFill="1" applyBorder="1" applyAlignment="1">
      <alignment horizontal="left" vertical="center"/>
    </xf>
    <xf numFmtId="0" fontId="9" fillId="2" borderId="4" xfId="0" applyFont="1" applyFill="1" applyBorder="1" applyAlignment="1">
      <alignment horizontal="left" vertical="center"/>
    </xf>
    <xf numFmtId="0" fontId="9" fillId="2" borderId="0" xfId="0" applyNumberFormat="1" applyFont="1" applyFill="1" applyBorder="1" applyAlignment="1" applyProtection="1">
      <alignment horizontal="center" vertical="center"/>
    </xf>
    <xf numFmtId="0" fontId="7" fillId="0" borderId="5" xfId="0" applyNumberFormat="1" applyFont="1" applyFill="1" applyBorder="1" applyAlignment="1" applyProtection="1">
      <alignment horizontal="left" vertical="center"/>
    </xf>
    <xf numFmtId="0" fontId="7" fillId="0" borderId="3" xfId="0" applyNumberFormat="1" applyFont="1" applyFill="1" applyBorder="1" applyAlignment="1" applyProtection="1">
      <alignment horizontal="left" vertical="center" wrapText="1"/>
    </xf>
    <xf numFmtId="0" fontId="0" fillId="2" borderId="1" xfId="0" applyFill="1" applyBorder="1" applyAlignment="1">
      <alignment horizontal="left" vertical="center"/>
    </xf>
    <xf numFmtId="0" fontId="12" fillId="2" borderId="0" xfId="0" applyNumberFormat="1" applyFont="1" applyFill="1" applyBorder="1" applyAlignment="1" applyProtection="1">
      <alignment horizontal="left" vertical="center" wrapText="1"/>
    </xf>
    <xf numFmtId="0" fontId="0" fillId="2" borderId="1"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1" xfId="0" applyFill="1" applyBorder="1" applyAlignment="1" applyProtection="1">
      <alignment horizontal="center" vertical="center"/>
      <protection locked="0"/>
    </xf>
    <xf numFmtId="0" fontId="1" fillId="2" borderId="1" xfId="0" applyNumberFormat="1" applyFont="1" applyFill="1" applyBorder="1" applyAlignment="1" applyProtection="1">
      <alignment horizontal="center" vertical="center"/>
      <protection locked="0"/>
    </xf>
    <xf numFmtId="0" fontId="10" fillId="2" borderId="0" xfId="0" applyFont="1" applyFill="1" applyAlignment="1">
      <alignment horizontal="left"/>
    </xf>
    <xf numFmtId="0" fontId="0" fillId="0" borderId="1" xfId="0" applyFont="1" applyBorder="1" applyAlignment="1" applyProtection="1">
      <alignment horizontal="left" vertical="center"/>
    </xf>
    <xf numFmtId="0" fontId="0" fillId="2" borderId="0" xfId="0" applyFont="1" applyFill="1" applyBorder="1" applyAlignment="1" applyProtection="1">
      <alignment horizontal="left" vertical="center"/>
    </xf>
    <xf numFmtId="0" fontId="8" fillId="2" borderId="0" xfId="0" applyNumberFormat="1" applyFont="1" applyFill="1" applyBorder="1" applyAlignment="1" applyProtection="1">
      <alignment horizontal="left" vertical="center"/>
    </xf>
    <xf numFmtId="0" fontId="10" fillId="0" borderId="0" xfId="0" applyFont="1" applyBorder="1" applyAlignment="1" applyProtection="1">
      <alignment horizontal="left" vertical="center"/>
    </xf>
  </cellXfs>
  <cellStyles count="2">
    <cellStyle name="常规" xfId="0" builtinId="0"/>
    <cellStyle name="超链接" xfId="1" builtinId="8"/>
  </cellStyles>
  <dxfs count="140">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
      <font>
        <color rgb="FF00B050"/>
      </font>
      <fill>
        <patternFill>
          <bgColor theme="6"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00B050"/>
      </font>
      <fill>
        <patternFill>
          <bgColor theme="6"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71998</xdr:colOff>
      <xdr:row>0</xdr:row>
      <xdr:rowOff>302559</xdr:rowOff>
    </xdr:from>
    <xdr:to>
      <xdr:col>20</xdr:col>
      <xdr:colOff>110377</xdr:colOff>
      <xdr:row>105</xdr:row>
      <xdr:rowOff>67235</xdr:rowOff>
    </xdr:to>
    <xdr:sp macro="" textlink="">
      <xdr:nvSpPr>
        <xdr:cNvPr id="3" name="Rectangle 2">
          <a:extLst>
            <a:ext uri="{FF2B5EF4-FFF2-40B4-BE49-F238E27FC236}">
              <a16:creationId xmlns:a16="http://schemas.microsoft.com/office/drawing/2014/main" id="{38E9C3AB-A135-B47C-8287-97D0611CCEF9}"/>
            </a:ext>
          </a:extLst>
        </xdr:cNvPr>
        <xdr:cNvSpPr/>
      </xdr:nvSpPr>
      <xdr:spPr>
        <a:xfrm>
          <a:off x="67235" y="302559"/>
          <a:ext cx="8438030" cy="15307235"/>
        </a:xfrm>
        <a:prstGeom prst="rect">
          <a:avLst/>
        </a:prstGeom>
        <a:noFill/>
        <a:ln w="38100" cmpd="sng">
          <a:solidFill>
            <a:schemeClr val="accent2">
              <a:lumMod val="40000"/>
              <a:lumOff val="6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zh-CN" altLang="en-US"/>
        </a:p>
      </xdr:txBody>
    </xdr:sp>
    <xdr:clientData/>
  </xdr:twoCellAnchor>
  <xdr:twoCellAnchor editAs="oneCell">
    <xdr:from>
      <xdr:col>9</xdr:col>
      <xdr:colOff>223838</xdr:colOff>
      <xdr:row>0</xdr:row>
      <xdr:rowOff>57150</xdr:rowOff>
    </xdr:from>
    <xdr:to>
      <xdr:col>14</xdr:col>
      <xdr:colOff>1328738</xdr:colOff>
      <xdr:row>1</xdr:row>
      <xdr:rowOff>9525</xdr:rowOff>
    </xdr:to>
    <xdr:pic>
      <xdr:nvPicPr>
        <xdr:cNvPr id="1074" name="Picture 1" descr="30688-1[1]">
          <a:extLst>
            <a:ext uri="{FF2B5EF4-FFF2-40B4-BE49-F238E27FC236}">
              <a16:creationId xmlns:a16="http://schemas.microsoft.com/office/drawing/2014/main" id="{168AD499-2020-7A27-BCFD-C54A3D8BB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00450" y="57150"/>
          <a:ext cx="3081338"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EE35-C922-4316-9EFE-32E326EE76A8}">
  <sheetPr codeName="Sheet1">
    <pageSetUpPr fitToPage="1"/>
  </sheetPr>
  <dimension ref="A1:AS192"/>
  <sheetViews>
    <sheetView tabSelected="1" zoomScale="85" zoomScaleNormal="85" workbookViewId="0">
      <selection activeCell="D5" sqref="D5:K5"/>
    </sheetView>
  </sheetViews>
  <sheetFormatPr defaultColWidth="0" defaultRowHeight="13.5" zeroHeight="1" x14ac:dyDescent="0.3"/>
  <cols>
    <col min="1" max="1" width="2.73046875" style="1" customWidth="1"/>
    <col min="2" max="2" width="4.73046875" style="1" customWidth="1"/>
    <col min="3" max="3" width="17.3984375" style="1" customWidth="1"/>
    <col min="4" max="11" width="3.73046875" style="1" customWidth="1"/>
    <col min="12" max="12" width="1.73046875" style="1" customWidth="1"/>
    <col min="13" max="13" width="3.73046875" style="1" customWidth="1"/>
    <col min="14" max="14" width="14.73046875" style="1" customWidth="1"/>
    <col min="15" max="15" width="21.73046875" style="1" customWidth="1"/>
    <col min="16" max="16" width="1.73046875" style="1" customWidth="1"/>
    <col min="17" max="17" width="3.73046875" style="1" customWidth="1"/>
    <col min="18" max="18" width="14.3984375" style="1" customWidth="1"/>
    <col min="19" max="19" width="16.1328125" style="1" customWidth="1"/>
    <col min="20" max="20" width="7.59765625" style="1" customWidth="1"/>
    <col min="21" max="21" width="2.73046875" style="4" customWidth="1"/>
    <col min="22" max="22" width="2.59765625" style="9" hidden="1" customWidth="1"/>
    <col min="23" max="23" width="29" style="9" hidden="1" customWidth="1"/>
    <col min="24" max="24" width="27.73046875" style="9" hidden="1" customWidth="1"/>
    <col min="25" max="25" width="8.265625" style="9" hidden="1" customWidth="1"/>
    <col min="26" max="27" width="9.59765625" style="9" hidden="1" customWidth="1"/>
    <col min="28" max="28" width="21.73046875" hidden="1" customWidth="1"/>
    <col min="29" max="29" width="2" hidden="1" customWidth="1"/>
    <col min="30" max="30" width="12" hidden="1" customWidth="1"/>
    <col min="31" max="31" width="1.3984375" hidden="1" customWidth="1"/>
    <col min="32" max="32" width="9.1328125" hidden="1" customWidth="1"/>
    <col min="33" max="33" width="1.73046875" hidden="1" customWidth="1"/>
    <col min="34" max="34" width="17" hidden="1" customWidth="1"/>
    <col min="35" max="35" width="1.73046875" hidden="1" customWidth="1"/>
    <col min="36" max="36" width="10.86328125" hidden="1" customWidth="1"/>
    <col min="37" max="37" width="2.59765625" hidden="1" customWidth="1"/>
    <col min="38" max="38" width="9.1328125" hidden="1" customWidth="1"/>
    <col min="39" max="39" width="2.1328125" hidden="1" customWidth="1"/>
    <col min="40" max="40" width="56.3984375" hidden="1" customWidth="1"/>
    <col min="41" max="41" width="3.265625" hidden="1" customWidth="1"/>
    <col min="42" max="42" width="17" hidden="1" customWidth="1"/>
    <col min="43" max="43" width="2.265625" hidden="1" customWidth="1"/>
    <col min="44" max="44" width="18.73046875" hidden="1" customWidth="1"/>
    <col min="45" max="45" width="5.1328125" style="9" hidden="1" customWidth="1"/>
    <col min="46" max="16384" width="9.1328125" style="9" hidden="1"/>
  </cols>
  <sheetData>
    <row r="1" spans="1:44" ht="51.75" customHeight="1" x14ac:dyDescent="0.3">
      <c r="A1" s="70" t="s">
        <v>450</v>
      </c>
      <c r="B1" s="96"/>
      <c r="C1" s="96"/>
      <c r="D1" s="96"/>
      <c r="E1" s="96"/>
      <c r="F1" s="96"/>
      <c r="G1" s="96"/>
      <c r="H1" s="96"/>
      <c r="I1" s="96"/>
      <c r="J1" s="96"/>
      <c r="K1" s="96"/>
      <c r="L1" s="96"/>
      <c r="M1" s="96"/>
      <c r="N1" s="96"/>
      <c r="O1" s="96"/>
      <c r="P1" s="96"/>
      <c r="Q1" s="96"/>
      <c r="R1" s="96"/>
      <c r="S1" s="96"/>
      <c r="T1" s="96"/>
      <c r="AB1" t="s">
        <v>1</v>
      </c>
      <c r="AD1" t="s">
        <v>183</v>
      </c>
      <c r="AF1" t="s">
        <v>170</v>
      </c>
      <c r="AH1" t="s">
        <v>179</v>
      </c>
      <c r="AJ1" t="s">
        <v>184</v>
      </c>
      <c r="AL1" t="s">
        <v>287</v>
      </c>
      <c r="AN1" t="s">
        <v>293</v>
      </c>
      <c r="AP1" t="s">
        <v>186</v>
      </c>
      <c r="AR1" t="s">
        <v>325</v>
      </c>
    </row>
    <row r="2" spans="1:44" ht="5.0999999999999996" customHeight="1" x14ac:dyDescent="0.3">
      <c r="A2" s="4"/>
      <c r="B2" s="4"/>
      <c r="C2" s="4"/>
      <c r="D2" s="4"/>
      <c r="E2" s="4"/>
      <c r="F2" s="4"/>
      <c r="G2" s="4"/>
      <c r="H2" s="4"/>
      <c r="I2" s="4"/>
      <c r="J2" s="4"/>
      <c r="K2" s="4"/>
      <c r="L2" s="4"/>
      <c r="M2" s="4"/>
      <c r="N2" s="4"/>
      <c r="O2" s="4"/>
      <c r="P2" s="4"/>
      <c r="Q2" s="4"/>
      <c r="R2" s="4"/>
      <c r="S2" s="4"/>
      <c r="T2" s="4"/>
      <c r="AB2" t="s">
        <v>2</v>
      </c>
      <c r="AD2" t="s">
        <v>282</v>
      </c>
      <c r="AF2" t="s">
        <v>404</v>
      </c>
      <c r="AH2" t="s">
        <v>204</v>
      </c>
      <c r="AJ2" t="s">
        <v>263</v>
      </c>
      <c r="AL2" t="s">
        <v>288</v>
      </c>
      <c r="AN2" t="s">
        <v>290</v>
      </c>
      <c r="AP2" t="s">
        <v>394</v>
      </c>
      <c r="AR2" t="s">
        <v>314</v>
      </c>
    </row>
    <row r="3" spans="1:44" s="10" customFormat="1" ht="24.95" customHeight="1" x14ac:dyDescent="0.3">
      <c r="A3" s="2"/>
      <c r="B3" s="75" t="s">
        <v>327</v>
      </c>
      <c r="C3" s="75"/>
      <c r="D3" s="75"/>
      <c r="E3" s="75"/>
      <c r="F3" s="75"/>
      <c r="G3" s="75"/>
      <c r="H3" s="75"/>
      <c r="I3" s="75"/>
      <c r="J3" s="75"/>
      <c r="K3" s="75"/>
      <c r="L3" s="75"/>
      <c r="M3" s="75"/>
      <c r="N3" s="75"/>
      <c r="O3" s="75"/>
      <c r="P3" s="75"/>
      <c r="Q3" s="75"/>
      <c r="R3" s="75"/>
      <c r="S3" s="75"/>
      <c r="T3" s="75"/>
      <c r="U3" s="38"/>
      <c r="AB3" t="s">
        <v>3</v>
      </c>
      <c r="AC3"/>
      <c r="AD3" t="s">
        <v>279</v>
      </c>
      <c r="AE3"/>
      <c r="AF3" t="s">
        <v>405</v>
      </c>
      <c r="AG3"/>
      <c r="AH3" t="s">
        <v>13</v>
      </c>
      <c r="AI3"/>
      <c r="AJ3" t="s">
        <v>264</v>
      </c>
      <c r="AK3"/>
      <c r="AL3"/>
      <c r="AM3"/>
      <c r="AN3" t="s">
        <v>291</v>
      </c>
      <c r="AO3"/>
      <c r="AP3" t="s">
        <v>395</v>
      </c>
      <c r="AQ3"/>
      <c r="AR3" t="s">
        <v>315</v>
      </c>
    </row>
    <row r="4" spans="1:44" ht="5.0999999999999996" customHeight="1" x14ac:dyDescent="0.3">
      <c r="A4" s="4"/>
      <c r="B4" s="16"/>
      <c r="C4" s="16"/>
      <c r="D4" s="16"/>
      <c r="E4" s="16"/>
      <c r="F4" s="16"/>
      <c r="G4" s="16"/>
      <c r="H4" s="16"/>
      <c r="I4" s="16"/>
      <c r="J4" s="16"/>
      <c r="K4" s="16"/>
      <c r="L4" s="16"/>
      <c r="M4" s="16"/>
      <c r="N4" s="16"/>
      <c r="O4" s="16"/>
      <c r="P4" s="16"/>
      <c r="Q4" s="16"/>
      <c r="R4" s="16"/>
      <c r="S4" s="16"/>
      <c r="T4" s="16"/>
      <c r="AB4" t="s">
        <v>4</v>
      </c>
      <c r="AD4" t="s">
        <v>283</v>
      </c>
      <c r="AH4" t="s">
        <v>205</v>
      </c>
      <c r="AJ4" t="s">
        <v>265</v>
      </c>
      <c r="AN4" t="s">
        <v>292</v>
      </c>
      <c r="AP4" t="s">
        <v>396</v>
      </c>
      <c r="AR4" t="s">
        <v>316</v>
      </c>
    </row>
    <row r="5" spans="1:44" ht="18" customHeight="1" x14ac:dyDescent="0.3">
      <c r="A5" s="4"/>
      <c r="B5" s="106" t="s">
        <v>181</v>
      </c>
      <c r="C5" s="106"/>
      <c r="D5" s="102"/>
      <c r="E5" s="103"/>
      <c r="F5" s="103"/>
      <c r="G5" s="103"/>
      <c r="H5" s="103"/>
      <c r="I5" s="103"/>
      <c r="J5" s="103"/>
      <c r="K5" s="104"/>
      <c r="L5" s="17"/>
      <c r="M5" s="107" t="s">
        <v>331</v>
      </c>
      <c r="N5" s="108"/>
      <c r="O5" s="31"/>
      <c r="P5" s="18"/>
      <c r="Q5" s="107" t="s">
        <v>183</v>
      </c>
      <c r="R5" s="108"/>
      <c r="S5" s="102"/>
      <c r="T5" s="104"/>
      <c r="AB5" t="s">
        <v>5</v>
      </c>
      <c r="AD5" t="s">
        <v>199</v>
      </c>
      <c r="AH5" t="s">
        <v>206</v>
      </c>
      <c r="AJ5" t="s">
        <v>266</v>
      </c>
      <c r="AN5" t="s">
        <v>294</v>
      </c>
      <c r="AP5" t="s">
        <v>397</v>
      </c>
      <c r="AR5" t="s">
        <v>317</v>
      </c>
    </row>
    <row r="6" spans="1:44" ht="3.95" customHeight="1" x14ac:dyDescent="0.3">
      <c r="A6" s="4"/>
      <c r="B6" s="17"/>
      <c r="C6" s="19"/>
      <c r="D6" s="19"/>
      <c r="E6" s="19"/>
      <c r="F6" s="19"/>
      <c r="G6" s="19"/>
      <c r="H6" s="19"/>
      <c r="I6" s="19"/>
      <c r="J6" s="19"/>
      <c r="K6" s="17"/>
      <c r="L6" s="17"/>
      <c r="M6" s="19"/>
      <c r="N6" s="19"/>
      <c r="O6" s="17"/>
      <c r="P6" s="17"/>
      <c r="Q6" s="17"/>
      <c r="R6" s="17"/>
      <c r="S6" s="17"/>
      <c r="T6" s="17"/>
      <c r="AB6" t="s">
        <v>6</v>
      </c>
      <c r="AD6" t="s">
        <v>280</v>
      </c>
      <c r="AH6" t="s">
        <v>207</v>
      </c>
      <c r="AJ6" t="s">
        <v>267</v>
      </c>
      <c r="AN6" t="s">
        <v>295</v>
      </c>
      <c r="AP6" t="s">
        <v>398</v>
      </c>
      <c r="AR6" t="s">
        <v>318</v>
      </c>
    </row>
    <row r="7" spans="1:44" ht="18" customHeight="1" x14ac:dyDescent="0.3">
      <c r="A7" s="4"/>
      <c r="B7" s="106" t="s">
        <v>175</v>
      </c>
      <c r="C7" s="106"/>
      <c r="D7" s="105"/>
      <c r="E7" s="105"/>
      <c r="F7" s="105"/>
      <c r="G7" s="105"/>
      <c r="H7" s="105"/>
      <c r="I7" s="105"/>
      <c r="J7" s="105"/>
      <c r="K7" s="105"/>
      <c r="L7" s="17"/>
      <c r="M7" s="106" t="s">
        <v>178</v>
      </c>
      <c r="N7" s="106"/>
      <c r="O7" s="42"/>
      <c r="P7" s="17"/>
      <c r="Q7" s="106" t="s">
        <v>0</v>
      </c>
      <c r="R7" s="106"/>
      <c r="S7" s="102"/>
      <c r="T7" s="104"/>
      <c r="AB7" t="s">
        <v>7</v>
      </c>
      <c r="AD7" t="s">
        <v>281</v>
      </c>
      <c r="AH7" t="s">
        <v>18</v>
      </c>
      <c r="AJ7" t="s">
        <v>268</v>
      </c>
      <c r="AN7" t="s">
        <v>296</v>
      </c>
      <c r="AP7" t="s">
        <v>393</v>
      </c>
      <c r="AR7" t="s">
        <v>319</v>
      </c>
    </row>
    <row r="8" spans="1:44" ht="18" customHeight="1" x14ac:dyDescent="0.3">
      <c r="A8" s="4"/>
      <c r="B8" s="106" t="s">
        <v>176</v>
      </c>
      <c r="C8" s="106"/>
      <c r="D8" s="105"/>
      <c r="E8" s="105"/>
      <c r="F8" s="105"/>
      <c r="G8" s="105"/>
      <c r="H8" s="105"/>
      <c r="I8" s="105"/>
      <c r="J8" s="105"/>
      <c r="K8" s="105"/>
      <c r="L8" s="17"/>
      <c r="M8" s="106" t="s">
        <v>180</v>
      </c>
      <c r="N8" s="106"/>
      <c r="O8" s="42"/>
      <c r="P8" s="17"/>
      <c r="Q8" s="109"/>
      <c r="R8" s="109"/>
      <c r="S8" s="26"/>
      <c r="T8" s="17"/>
      <c r="AB8" t="s">
        <v>8</v>
      </c>
      <c r="AD8" t="s">
        <v>275</v>
      </c>
      <c r="AH8" t="s">
        <v>208</v>
      </c>
      <c r="AJ8" t="s">
        <v>269</v>
      </c>
      <c r="AN8" t="s">
        <v>297</v>
      </c>
      <c r="AP8" t="s">
        <v>399</v>
      </c>
      <c r="AR8" t="s">
        <v>320</v>
      </c>
    </row>
    <row r="9" spans="1:44" ht="18" customHeight="1" x14ac:dyDescent="0.3">
      <c r="A9" s="4"/>
      <c r="B9" s="106" t="s">
        <v>177</v>
      </c>
      <c r="C9" s="106"/>
      <c r="D9" s="105"/>
      <c r="E9" s="105"/>
      <c r="F9" s="105"/>
      <c r="G9" s="105"/>
      <c r="H9" s="105"/>
      <c r="I9" s="105"/>
      <c r="J9" s="105"/>
      <c r="K9" s="105"/>
      <c r="L9" s="17"/>
      <c r="M9" s="106" t="s">
        <v>179</v>
      </c>
      <c r="N9" s="106"/>
      <c r="O9" s="42"/>
      <c r="P9" s="17"/>
      <c r="Q9" s="109"/>
      <c r="R9" s="109"/>
      <c r="S9" s="26"/>
      <c r="T9" s="17"/>
      <c r="AB9" t="s">
        <v>9</v>
      </c>
      <c r="AD9" t="s">
        <v>277</v>
      </c>
      <c r="AH9" t="s">
        <v>209</v>
      </c>
      <c r="AJ9" t="s">
        <v>270</v>
      </c>
      <c r="AN9" t="s">
        <v>298</v>
      </c>
      <c r="AP9" t="s">
        <v>312</v>
      </c>
      <c r="AR9" t="s">
        <v>321</v>
      </c>
    </row>
    <row r="10" spans="1:44" ht="3.95" customHeight="1" x14ac:dyDescent="0.3">
      <c r="A10" s="4"/>
      <c r="B10" s="19"/>
      <c r="C10" s="19"/>
      <c r="D10" s="19"/>
      <c r="E10" s="19"/>
      <c r="F10" s="19"/>
      <c r="G10" s="19"/>
      <c r="H10" s="19"/>
      <c r="I10" s="17"/>
      <c r="J10" s="17"/>
      <c r="K10" s="17"/>
      <c r="L10" s="17"/>
      <c r="M10" s="17"/>
      <c r="N10" s="17"/>
      <c r="O10" s="17"/>
      <c r="P10" s="17"/>
      <c r="Q10" s="17"/>
      <c r="R10" s="17"/>
      <c r="S10" s="17"/>
      <c r="T10" s="17"/>
      <c r="AB10" t="s">
        <v>10</v>
      </c>
      <c r="AD10" t="s">
        <v>278</v>
      </c>
      <c r="AH10" t="s">
        <v>210</v>
      </c>
      <c r="AJ10" t="s">
        <v>271</v>
      </c>
      <c r="AN10" t="s">
        <v>299</v>
      </c>
      <c r="AP10" t="s">
        <v>400</v>
      </c>
      <c r="AR10" t="s">
        <v>322</v>
      </c>
    </row>
    <row r="11" spans="1:44" ht="18" customHeight="1" x14ac:dyDescent="0.3">
      <c r="A11" s="4"/>
      <c r="B11" s="106" t="s">
        <v>170</v>
      </c>
      <c r="C11" s="106"/>
      <c r="D11" s="105"/>
      <c r="E11" s="105"/>
      <c r="F11" s="105"/>
      <c r="G11" s="105"/>
      <c r="H11" s="105"/>
      <c r="I11" s="105"/>
      <c r="J11" s="105"/>
      <c r="K11" s="105"/>
      <c r="L11" s="17"/>
      <c r="M11" s="106" t="s">
        <v>328</v>
      </c>
      <c r="N11" s="106"/>
      <c r="O11" s="48"/>
      <c r="P11" s="18"/>
      <c r="Q11" s="123" t="str">
        <f ca="1">IF(ABS(O11-TODAY())&gt;=6575,"","You must be 18 or older to apply for this position")</f>
        <v/>
      </c>
      <c r="R11" s="123"/>
      <c r="S11" s="123"/>
      <c r="T11" s="123"/>
      <c r="AB11" t="s">
        <v>11</v>
      </c>
      <c r="AD11" t="s">
        <v>198</v>
      </c>
      <c r="AH11" t="s">
        <v>25</v>
      </c>
      <c r="AJ11" t="s">
        <v>272</v>
      </c>
      <c r="AN11" t="s">
        <v>300</v>
      </c>
      <c r="AP11" t="s">
        <v>401</v>
      </c>
      <c r="AR11" t="s">
        <v>323</v>
      </c>
    </row>
    <row r="12" spans="1:44" ht="18" customHeight="1" x14ac:dyDescent="0.3">
      <c r="A12" s="4"/>
      <c r="B12" s="118" t="s">
        <v>335</v>
      </c>
      <c r="C12" s="118"/>
      <c r="D12" s="121"/>
      <c r="E12" s="121"/>
      <c r="F12" s="121"/>
      <c r="G12" s="121"/>
      <c r="H12" s="121"/>
      <c r="I12" s="121"/>
      <c r="J12" s="121"/>
      <c r="K12" s="121"/>
      <c r="L12" s="17"/>
      <c r="M12" s="118" t="s">
        <v>167</v>
      </c>
      <c r="N12" s="118"/>
      <c r="O12" s="67"/>
      <c r="P12" s="23"/>
      <c r="Q12" s="118" t="s">
        <v>168</v>
      </c>
      <c r="R12" s="118"/>
      <c r="S12" s="134"/>
      <c r="T12" s="134"/>
      <c r="AB12" t="s">
        <v>12</v>
      </c>
      <c r="AD12" t="s">
        <v>196</v>
      </c>
      <c r="AH12" t="s">
        <v>211</v>
      </c>
      <c r="AJ12" t="s">
        <v>273</v>
      </c>
      <c r="AN12" t="s">
        <v>301</v>
      </c>
      <c r="AP12" t="s">
        <v>313</v>
      </c>
      <c r="AR12" t="s">
        <v>324</v>
      </c>
    </row>
    <row r="13" spans="1:44" ht="5.0999999999999996" customHeight="1" x14ac:dyDescent="0.3">
      <c r="A13" s="4"/>
      <c r="B13" s="24"/>
      <c r="C13" s="24"/>
      <c r="D13" s="25"/>
      <c r="E13" s="25"/>
      <c r="F13" s="25"/>
      <c r="G13" s="25"/>
      <c r="H13" s="25"/>
      <c r="I13" s="25"/>
      <c r="J13" s="25"/>
      <c r="K13" s="25"/>
      <c r="L13" s="17"/>
      <c r="M13" s="24"/>
      <c r="N13" s="24"/>
      <c r="O13" s="29"/>
      <c r="P13" s="29"/>
      <c r="Q13" s="29"/>
      <c r="R13" s="29"/>
      <c r="S13" s="29"/>
      <c r="T13" s="29"/>
      <c r="AB13" t="s">
        <v>13</v>
      </c>
      <c r="AD13" t="s">
        <v>197</v>
      </c>
      <c r="AH13" t="s">
        <v>212</v>
      </c>
      <c r="AJ13" t="s">
        <v>274</v>
      </c>
      <c r="AN13" t="s">
        <v>302</v>
      </c>
      <c r="AP13" t="s">
        <v>402</v>
      </c>
      <c r="AR13" t="s">
        <v>326</v>
      </c>
    </row>
    <row r="14" spans="1:44" ht="20.100000000000001" customHeight="1" x14ac:dyDescent="0.3">
      <c r="A14" s="4"/>
      <c r="B14" s="118" t="s">
        <v>289</v>
      </c>
      <c r="C14" s="118"/>
      <c r="D14" s="99"/>
      <c r="E14" s="100"/>
      <c r="F14" s="100"/>
      <c r="G14" s="100"/>
      <c r="H14" s="100"/>
      <c r="I14" s="100"/>
      <c r="J14" s="100"/>
      <c r="K14" s="100"/>
      <c r="L14" s="100"/>
      <c r="M14" s="100"/>
      <c r="N14" s="100"/>
      <c r="O14" s="100"/>
      <c r="P14" s="100"/>
      <c r="Q14" s="100"/>
      <c r="R14" s="100"/>
      <c r="S14" s="100"/>
      <c r="T14" s="101"/>
      <c r="AB14" t="s">
        <v>14</v>
      </c>
      <c r="AD14" t="s">
        <v>285</v>
      </c>
      <c r="AH14" t="s">
        <v>179</v>
      </c>
      <c r="AN14" t="s">
        <v>303</v>
      </c>
    </row>
    <row r="15" spans="1:44" ht="5.0999999999999996" customHeight="1" x14ac:dyDescent="0.3">
      <c r="A15" s="4"/>
      <c r="B15" s="20"/>
      <c r="C15" s="20"/>
      <c r="D15" s="20"/>
      <c r="E15" s="20"/>
      <c r="F15" s="20"/>
      <c r="G15" s="20"/>
      <c r="H15" s="20"/>
      <c r="I15" s="16"/>
      <c r="J15" s="16"/>
      <c r="K15" s="16"/>
      <c r="L15" s="16"/>
      <c r="M15" s="16"/>
      <c r="N15" s="16"/>
      <c r="O15" s="16"/>
      <c r="P15" s="16"/>
      <c r="Q15" s="16"/>
      <c r="R15" s="16"/>
      <c r="S15" s="16"/>
      <c r="T15" s="16"/>
      <c r="AB15" t="s">
        <v>15</v>
      </c>
      <c r="AD15" t="s">
        <v>286</v>
      </c>
      <c r="AH15" t="s">
        <v>213</v>
      </c>
      <c r="AN15" t="s">
        <v>304</v>
      </c>
    </row>
    <row r="16" spans="1:44" ht="24.95" customHeight="1" x14ac:dyDescent="0.3">
      <c r="A16" s="4"/>
      <c r="B16" s="75" t="s">
        <v>348</v>
      </c>
      <c r="C16" s="75"/>
      <c r="D16" s="75"/>
      <c r="E16" s="75"/>
      <c r="F16" s="75"/>
      <c r="G16" s="75"/>
      <c r="H16" s="75"/>
      <c r="I16" s="75"/>
      <c r="J16" s="75"/>
      <c r="K16" s="75"/>
      <c r="L16" s="75"/>
      <c r="M16" s="75"/>
      <c r="N16" s="75"/>
      <c r="O16" s="75"/>
      <c r="P16" s="75"/>
      <c r="Q16" s="75"/>
      <c r="R16" s="75"/>
      <c r="S16" s="75"/>
      <c r="T16" s="75"/>
      <c r="AB16" t="s">
        <v>16</v>
      </c>
      <c r="AD16" t="s">
        <v>284</v>
      </c>
      <c r="AH16" t="s">
        <v>214</v>
      </c>
      <c r="AN16" t="s">
        <v>305</v>
      </c>
    </row>
    <row r="17" spans="1:40" ht="18.75" customHeight="1" x14ac:dyDescent="0.3">
      <c r="A17" s="4"/>
      <c r="B17" s="122" t="s">
        <v>373</v>
      </c>
      <c r="C17" s="122"/>
      <c r="D17" s="122"/>
      <c r="E17" s="122"/>
      <c r="F17" s="122"/>
      <c r="G17" s="122"/>
      <c r="H17" s="122"/>
      <c r="I17" s="122"/>
      <c r="J17" s="122"/>
      <c r="K17" s="122"/>
      <c r="L17" s="122"/>
      <c r="M17" s="122"/>
      <c r="N17" s="122"/>
      <c r="O17" s="122"/>
      <c r="P17" s="122"/>
      <c r="Q17" s="122"/>
      <c r="R17" s="122"/>
      <c r="S17" s="122"/>
      <c r="T17" s="122"/>
      <c r="AB17" t="s">
        <v>17</v>
      </c>
      <c r="AD17" t="s">
        <v>276</v>
      </c>
      <c r="AH17" t="s">
        <v>215</v>
      </c>
      <c r="AN17" t="s">
        <v>306</v>
      </c>
    </row>
    <row r="18" spans="1:40" ht="17.45" customHeight="1" x14ac:dyDescent="0.3">
      <c r="A18" s="4"/>
      <c r="B18" s="125" t="s">
        <v>403</v>
      </c>
      <c r="C18" s="126"/>
      <c r="D18" s="127"/>
      <c r="E18" s="128"/>
      <c r="F18" s="128"/>
      <c r="G18" s="128"/>
      <c r="H18" s="128"/>
      <c r="I18" s="128"/>
      <c r="J18" s="128"/>
      <c r="K18" s="129"/>
      <c r="L18" s="40"/>
      <c r="M18" s="130" t="str">
        <f>IF(D18="NO","You need to be able to legally work in the UK to apply for this position","")</f>
        <v/>
      </c>
      <c r="N18" s="130"/>
      <c r="O18" s="130"/>
      <c r="P18" s="130"/>
      <c r="Q18" s="130"/>
      <c r="R18" s="130"/>
      <c r="S18" s="130"/>
      <c r="T18" s="130"/>
      <c r="U18" s="35"/>
      <c r="V18" s="41"/>
      <c r="AB18" t="s">
        <v>18</v>
      </c>
      <c r="AH18" t="s">
        <v>216</v>
      </c>
      <c r="AN18" t="s">
        <v>307</v>
      </c>
    </row>
    <row r="19" spans="1:40" ht="17.45" customHeight="1" x14ac:dyDescent="0.3">
      <c r="A19" s="4"/>
      <c r="B19" s="122" t="s">
        <v>372</v>
      </c>
      <c r="C19" s="122"/>
      <c r="D19" s="122"/>
      <c r="E19" s="122"/>
      <c r="F19" s="122"/>
      <c r="G19" s="122"/>
      <c r="H19" s="122"/>
      <c r="I19" s="122"/>
      <c r="J19" s="122"/>
      <c r="K19" s="122"/>
      <c r="L19" s="122"/>
      <c r="M19" s="122"/>
      <c r="N19" s="122"/>
      <c r="O19" s="122"/>
      <c r="P19" s="122"/>
      <c r="Q19" s="122"/>
      <c r="R19" s="122"/>
      <c r="S19" s="122"/>
      <c r="T19" s="122"/>
      <c r="U19" s="36"/>
      <c r="V19" s="32"/>
      <c r="AB19" t="s">
        <v>19</v>
      </c>
      <c r="AH19" t="s">
        <v>217</v>
      </c>
      <c r="AN19" t="s">
        <v>308</v>
      </c>
    </row>
    <row r="20" spans="1:40" ht="18" customHeight="1" x14ac:dyDescent="0.3">
      <c r="A20" s="4"/>
      <c r="B20" s="119" t="s">
        <v>172</v>
      </c>
      <c r="C20" s="119"/>
      <c r="D20" s="98"/>
      <c r="E20" s="98"/>
      <c r="F20" s="98"/>
      <c r="G20" s="98"/>
      <c r="H20" s="98"/>
      <c r="I20" s="98"/>
      <c r="J20" s="98"/>
      <c r="K20" s="98"/>
      <c r="L20" s="39"/>
      <c r="M20" s="149" t="s">
        <v>171</v>
      </c>
      <c r="N20" s="150"/>
      <c r="O20" s="49"/>
      <c r="P20" s="40"/>
      <c r="Q20" s="141" t="s">
        <v>1</v>
      </c>
      <c r="R20" s="141"/>
      <c r="S20" s="142"/>
      <c r="T20" s="142"/>
      <c r="U20" s="34"/>
      <c r="V20" s="33"/>
      <c r="AB20" t="s">
        <v>20</v>
      </c>
      <c r="AH20" t="s">
        <v>218</v>
      </c>
      <c r="AN20" t="s">
        <v>309</v>
      </c>
    </row>
    <row r="21" spans="1:40" ht="17.45" customHeight="1" x14ac:dyDescent="0.3">
      <c r="A21" s="4"/>
      <c r="B21" s="122" t="s">
        <v>374</v>
      </c>
      <c r="C21" s="122"/>
      <c r="D21" s="122"/>
      <c r="E21" s="122"/>
      <c r="F21" s="122"/>
      <c r="G21" s="122"/>
      <c r="H21" s="122"/>
      <c r="I21" s="122"/>
      <c r="J21" s="122"/>
      <c r="K21" s="122"/>
      <c r="L21" s="122"/>
      <c r="M21" s="122"/>
      <c r="N21" s="122"/>
      <c r="O21" s="122"/>
      <c r="P21" s="122"/>
      <c r="Q21" s="122"/>
      <c r="R21" s="122"/>
      <c r="S21" s="122"/>
      <c r="T21" s="122"/>
      <c r="U21" s="36"/>
      <c r="V21" s="32"/>
      <c r="AB21" t="s">
        <v>21</v>
      </c>
      <c r="AH21" t="s">
        <v>74</v>
      </c>
      <c r="AN21" t="s">
        <v>310</v>
      </c>
    </row>
    <row r="22" spans="1:40" ht="18" customHeight="1" x14ac:dyDescent="0.3">
      <c r="A22" s="4"/>
      <c r="B22" s="119" t="s">
        <v>329</v>
      </c>
      <c r="C22" s="119"/>
      <c r="D22" s="127"/>
      <c r="E22" s="128"/>
      <c r="F22" s="128"/>
      <c r="G22" s="128"/>
      <c r="H22" s="128"/>
      <c r="I22" s="128"/>
      <c r="J22" s="128"/>
      <c r="K22" s="129"/>
      <c r="L22" s="40"/>
      <c r="M22" s="119" t="s">
        <v>262</v>
      </c>
      <c r="N22" s="119"/>
      <c r="O22" s="50"/>
      <c r="P22" s="151"/>
      <c r="Q22" s="151"/>
      <c r="R22" s="151"/>
      <c r="S22" s="151"/>
      <c r="T22" s="151"/>
      <c r="U22" s="34"/>
      <c r="V22" s="33"/>
      <c r="AB22" t="s">
        <v>22</v>
      </c>
      <c r="AH22" t="s">
        <v>219</v>
      </c>
      <c r="AN22" t="s">
        <v>311</v>
      </c>
    </row>
    <row r="23" spans="1:40" ht="9.9499999999999993" customHeight="1" x14ac:dyDescent="0.3">
      <c r="A23" s="4"/>
      <c r="B23" s="124"/>
      <c r="C23" s="124"/>
      <c r="D23" s="124"/>
      <c r="E23" s="124"/>
      <c r="F23" s="124"/>
      <c r="G23" s="124"/>
      <c r="H23" s="124"/>
      <c r="I23" s="124"/>
      <c r="J23" s="124"/>
      <c r="K23" s="124"/>
      <c r="L23" s="124"/>
      <c r="M23" s="124"/>
      <c r="N23" s="124"/>
      <c r="O23" s="124"/>
      <c r="P23" s="124"/>
      <c r="Q23" s="124"/>
      <c r="R23" s="124"/>
      <c r="S23" s="124"/>
      <c r="T23" s="124"/>
      <c r="U23" s="34"/>
      <c r="V23" s="33"/>
      <c r="AB23" t="s">
        <v>23</v>
      </c>
      <c r="AH23" t="s">
        <v>220</v>
      </c>
    </row>
    <row r="24" spans="1:40" ht="24.95" customHeight="1" x14ac:dyDescent="0.3">
      <c r="A24" s="4"/>
      <c r="B24" s="75" t="s">
        <v>375</v>
      </c>
      <c r="C24" s="75"/>
      <c r="D24" s="75"/>
      <c r="E24" s="75"/>
      <c r="F24" s="75"/>
      <c r="G24" s="75"/>
      <c r="H24" s="75"/>
      <c r="I24" s="75"/>
      <c r="J24" s="75"/>
      <c r="K24" s="75"/>
      <c r="L24" s="75"/>
      <c r="M24" s="75"/>
      <c r="N24" s="75"/>
      <c r="O24" s="75"/>
      <c r="P24" s="75"/>
      <c r="Q24" s="75"/>
      <c r="R24" s="75"/>
      <c r="S24" s="75"/>
      <c r="T24" s="75"/>
      <c r="AB24" t="s">
        <v>24</v>
      </c>
      <c r="AH24" t="s">
        <v>221</v>
      </c>
    </row>
    <row r="25" spans="1:40" ht="60" customHeight="1" x14ac:dyDescent="0.3">
      <c r="A25" s="9"/>
      <c r="B25" s="147" t="s">
        <v>407</v>
      </c>
      <c r="C25" s="148"/>
      <c r="D25" s="148"/>
      <c r="E25" s="148"/>
      <c r="F25" s="148"/>
      <c r="G25" s="148"/>
      <c r="H25" s="148"/>
      <c r="I25" s="148"/>
      <c r="J25" s="148"/>
      <c r="K25" s="148"/>
      <c r="L25" s="148"/>
      <c r="M25" s="148"/>
      <c r="N25" s="148"/>
      <c r="O25" s="148"/>
      <c r="P25" s="148"/>
      <c r="Q25" s="148"/>
      <c r="R25" s="148"/>
      <c r="S25" s="148"/>
      <c r="T25" s="148"/>
      <c r="AB25" t="s">
        <v>25</v>
      </c>
      <c r="AH25" t="s">
        <v>222</v>
      </c>
    </row>
    <row r="26" spans="1:40" ht="21" customHeight="1" x14ac:dyDescent="0.3">
      <c r="A26" s="4"/>
      <c r="B26" s="152" t="s">
        <v>406</v>
      </c>
      <c r="C26" s="152"/>
      <c r="D26" s="152"/>
      <c r="E26" s="152"/>
      <c r="F26" s="152"/>
      <c r="G26" s="152"/>
      <c r="H26" s="152"/>
      <c r="I26" s="152"/>
      <c r="J26" s="152"/>
      <c r="K26" s="152"/>
      <c r="L26" s="152"/>
      <c r="M26" s="152"/>
      <c r="N26" s="152"/>
      <c r="O26" s="152"/>
      <c r="P26" s="152"/>
      <c r="Q26" s="152"/>
      <c r="R26" s="152"/>
      <c r="S26" s="152"/>
      <c r="T26" s="152"/>
      <c r="AB26" t="s">
        <v>26</v>
      </c>
      <c r="AH26" t="s">
        <v>223</v>
      </c>
    </row>
    <row r="27" spans="1:40" ht="23.25" customHeight="1" x14ac:dyDescent="0.3">
      <c r="A27" s="4"/>
      <c r="B27" s="118" t="s">
        <v>174</v>
      </c>
      <c r="C27" s="118"/>
      <c r="D27" s="90"/>
      <c r="E27" s="90"/>
      <c r="F27" s="90"/>
      <c r="G27" s="90"/>
      <c r="H27" s="90"/>
      <c r="I27" s="90"/>
      <c r="J27" s="90"/>
      <c r="K27" s="90"/>
      <c r="L27" s="90"/>
      <c r="M27" s="90"/>
      <c r="N27" s="90"/>
      <c r="O27" s="90"/>
      <c r="P27" s="90"/>
      <c r="Q27" s="90"/>
      <c r="R27" s="90"/>
      <c r="S27" s="90"/>
      <c r="T27" s="90"/>
      <c r="AB27" t="s">
        <v>27</v>
      </c>
      <c r="AH27" t="s">
        <v>224</v>
      </c>
    </row>
    <row r="28" spans="1:40" ht="41.25" customHeight="1" x14ac:dyDescent="0.3">
      <c r="A28" s="4"/>
      <c r="B28" s="153" t="s">
        <v>447</v>
      </c>
      <c r="C28" s="153"/>
      <c r="D28" s="153"/>
      <c r="E28" s="153"/>
      <c r="F28" s="153"/>
      <c r="G28" s="153"/>
      <c r="H28" s="153"/>
      <c r="I28" s="153"/>
      <c r="J28" s="153"/>
      <c r="K28" s="153"/>
      <c r="L28" s="153"/>
      <c r="M28" s="153"/>
      <c r="N28" s="153"/>
      <c r="O28" s="153"/>
      <c r="P28" s="153"/>
      <c r="Q28" s="153"/>
      <c r="R28" s="153"/>
      <c r="S28" s="153"/>
      <c r="T28" s="153"/>
      <c r="AB28" t="s">
        <v>28</v>
      </c>
      <c r="AH28" t="s">
        <v>225</v>
      </c>
    </row>
    <row r="29" spans="1:40" ht="23.25" customHeight="1" x14ac:dyDescent="0.3">
      <c r="A29" s="4"/>
      <c r="B29" s="154" t="s">
        <v>191</v>
      </c>
      <c r="C29" s="154"/>
      <c r="D29" s="90"/>
      <c r="E29" s="90"/>
      <c r="F29" s="90"/>
      <c r="G29" s="90"/>
      <c r="H29" s="90"/>
      <c r="I29" s="90"/>
      <c r="J29" s="90"/>
      <c r="K29" s="90"/>
      <c r="L29" s="90"/>
      <c r="M29" s="90"/>
      <c r="N29" s="90"/>
      <c r="O29" s="90"/>
      <c r="P29" s="90"/>
      <c r="Q29" s="90"/>
      <c r="R29" s="90"/>
      <c r="S29" s="90"/>
      <c r="T29" s="90"/>
      <c r="AB29" t="s">
        <v>29</v>
      </c>
      <c r="AH29" t="s">
        <v>226</v>
      </c>
    </row>
    <row r="30" spans="1:40" customFormat="1" ht="5.0999999999999996" customHeight="1" x14ac:dyDescent="0.3">
      <c r="A30" s="12"/>
      <c r="B30" s="22"/>
      <c r="C30" s="22"/>
      <c r="D30" s="22"/>
      <c r="E30" s="22"/>
      <c r="F30" s="22"/>
      <c r="G30" s="22"/>
      <c r="H30" s="22"/>
      <c r="I30" s="22"/>
      <c r="J30" s="22"/>
      <c r="K30" s="22"/>
      <c r="L30" s="22"/>
      <c r="M30" s="22"/>
      <c r="N30" s="22"/>
      <c r="O30" s="22"/>
      <c r="P30" s="22"/>
      <c r="Q30" s="22"/>
      <c r="R30" s="22"/>
      <c r="S30" s="22"/>
      <c r="T30" s="22"/>
      <c r="U30" s="12"/>
      <c r="AB30" t="s">
        <v>30</v>
      </c>
      <c r="AH30" t="s">
        <v>227</v>
      </c>
    </row>
    <row r="31" spans="1:40" ht="40.5" customHeight="1" x14ac:dyDescent="0.3">
      <c r="A31" s="4"/>
      <c r="B31" s="74" t="s">
        <v>379</v>
      </c>
      <c r="C31" s="74"/>
      <c r="D31" s="74"/>
      <c r="E31" s="74"/>
      <c r="F31" s="74"/>
      <c r="G31" s="74"/>
      <c r="H31" s="74"/>
      <c r="I31" s="74"/>
      <c r="J31" s="74"/>
      <c r="K31" s="74"/>
      <c r="L31" s="74"/>
      <c r="M31" s="74"/>
      <c r="N31" s="74"/>
      <c r="O31" s="74"/>
      <c r="P31" s="74"/>
      <c r="Q31" s="74"/>
      <c r="R31" s="74"/>
      <c r="S31" s="74"/>
      <c r="T31" s="74"/>
      <c r="AB31" t="s">
        <v>31</v>
      </c>
      <c r="AH31" t="s">
        <v>228</v>
      </c>
    </row>
    <row r="32" spans="1:40" ht="20.100000000000001" customHeight="1" x14ac:dyDescent="0.3">
      <c r="A32" s="4"/>
      <c r="B32" s="120" t="s">
        <v>173</v>
      </c>
      <c r="C32" s="120"/>
      <c r="D32" s="143"/>
      <c r="E32" s="143"/>
      <c r="F32" s="143"/>
      <c r="G32" s="143"/>
      <c r="H32" s="143"/>
      <c r="I32" s="143"/>
      <c r="J32" s="143"/>
      <c r="K32" s="143"/>
      <c r="L32" s="143"/>
      <c r="M32" s="143"/>
      <c r="N32" s="143"/>
      <c r="O32" s="143"/>
      <c r="P32" s="21"/>
      <c r="Q32" s="144"/>
      <c r="R32" s="145"/>
      <c r="S32" s="145"/>
      <c r="T32" s="146"/>
      <c r="AB32" t="s">
        <v>32</v>
      </c>
      <c r="AH32" t="s">
        <v>229</v>
      </c>
    </row>
    <row r="33" spans="1:34" ht="9.9499999999999993" customHeight="1" x14ac:dyDescent="0.3">
      <c r="A33" s="4"/>
      <c r="B33" s="13"/>
      <c r="C33" s="13"/>
      <c r="D33" s="14"/>
      <c r="E33" s="14"/>
      <c r="F33" s="14"/>
      <c r="G33" s="14"/>
      <c r="H33" s="14"/>
      <c r="I33" s="14"/>
      <c r="J33" s="14"/>
      <c r="K33" s="14"/>
      <c r="L33" s="6"/>
      <c r="M33" s="14"/>
      <c r="N33" s="14"/>
      <c r="O33" s="14"/>
      <c r="P33" s="14"/>
      <c r="Q33" s="14"/>
      <c r="R33" s="14"/>
      <c r="S33" s="14"/>
      <c r="T33" s="14"/>
      <c r="AB33" t="s">
        <v>33</v>
      </c>
      <c r="AH33" t="s">
        <v>230</v>
      </c>
    </row>
    <row r="34" spans="1:34" ht="24.95" customHeight="1" x14ac:dyDescent="0.3">
      <c r="A34" s="4"/>
      <c r="B34" s="75" t="s">
        <v>368</v>
      </c>
      <c r="C34" s="75"/>
      <c r="D34" s="75"/>
      <c r="E34" s="75"/>
      <c r="F34" s="75"/>
      <c r="G34" s="75"/>
      <c r="H34" s="75"/>
      <c r="I34" s="75"/>
      <c r="J34" s="75"/>
      <c r="K34" s="75"/>
      <c r="L34" s="75"/>
      <c r="M34" s="75"/>
      <c r="N34" s="75"/>
      <c r="O34" s="75"/>
      <c r="P34" s="75"/>
      <c r="Q34" s="75"/>
      <c r="R34" s="75"/>
      <c r="S34" s="75"/>
      <c r="T34" s="75"/>
      <c r="AB34" t="s">
        <v>34</v>
      </c>
      <c r="AH34" t="s">
        <v>231</v>
      </c>
    </row>
    <row r="35" spans="1:34" ht="5.0999999999999996" customHeight="1" x14ac:dyDescent="0.3">
      <c r="A35" s="4"/>
      <c r="B35" s="15"/>
      <c r="C35" s="15"/>
      <c r="D35" s="15"/>
      <c r="E35" s="15"/>
      <c r="F35" s="15"/>
      <c r="G35" s="15"/>
      <c r="H35" s="15"/>
      <c r="I35" s="15"/>
      <c r="J35" s="15"/>
      <c r="K35" s="15"/>
      <c r="L35" s="15"/>
      <c r="M35" s="15"/>
      <c r="N35" s="15"/>
      <c r="O35" s="15"/>
      <c r="P35" s="15"/>
      <c r="Q35" s="15"/>
      <c r="R35" s="15"/>
      <c r="S35" s="15"/>
      <c r="T35" s="15"/>
      <c r="AB35" t="s">
        <v>35</v>
      </c>
      <c r="AH35" t="s">
        <v>232</v>
      </c>
    </row>
    <row r="36" spans="1:34" ht="26.25" customHeight="1" x14ac:dyDescent="0.3">
      <c r="A36" s="4"/>
      <c r="B36" s="27" t="s">
        <v>192</v>
      </c>
      <c r="C36" s="135" t="s">
        <v>200</v>
      </c>
      <c r="D36" s="136"/>
      <c r="E36" s="136"/>
      <c r="F36" s="136"/>
      <c r="G36" s="136"/>
      <c r="H36" s="136"/>
      <c r="I36" s="136"/>
      <c r="J36" s="136"/>
      <c r="K36" s="136"/>
      <c r="L36" s="136"/>
      <c r="M36" s="136"/>
      <c r="N36" s="136"/>
      <c r="O36" s="136"/>
      <c r="P36" s="136"/>
      <c r="Q36" s="136"/>
      <c r="R36" s="136"/>
      <c r="S36" s="137"/>
      <c r="T36" s="51"/>
      <c r="AB36" t="s">
        <v>36</v>
      </c>
      <c r="AH36" t="s">
        <v>233</v>
      </c>
    </row>
    <row r="37" spans="1:34" ht="26.25" customHeight="1" x14ac:dyDescent="0.3">
      <c r="A37" s="4"/>
      <c r="B37" s="27" t="s">
        <v>193</v>
      </c>
      <c r="C37" s="135" t="s">
        <v>201</v>
      </c>
      <c r="D37" s="136"/>
      <c r="E37" s="136"/>
      <c r="F37" s="136"/>
      <c r="G37" s="136"/>
      <c r="H37" s="136"/>
      <c r="I37" s="136"/>
      <c r="J37" s="136"/>
      <c r="K37" s="136"/>
      <c r="L37" s="136"/>
      <c r="M37" s="136"/>
      <c r="N37" s="136"/>
      <c r="O37" s="136"/>
      <c r="P37" s="136"/>
      <c r="Q37" s="136"/>
      <c r="R37" s="136"/>
      <c r="S37" s="137"/>
      <c r="T37" s="66"/>
      <c r="AB37" t="s">
        <v>37</v>
      </c>
      <c r="AH37" t="s">
        <v>234</v>
      </c>
    </row>
    <row r="38" spans="1:34" ht="26.25" customHeight="1" x14ac:dyDescent="0.3">
      <c r="A38" s="4"/>
      <c r="B38" s="27" t="s">
        <v>194</v>
      </c>
      <c r="C38" s="138" t="s">
        <v>202</v>
      </c>
      <c r="D38" s="139"/>
      <c r="E38" s="139"/>
      <c r="F38" s="139"/>
      <c r="G38" s="139"/>
      <c r="H38" s="139"/>
      <c r="I38" s="139"/>
      <c r="J38" s="139"/>
      <c r="K38" s="139"/>
      <c r="L38" s="139"/>
      <c r="M38" s="139"/>
      <c r="N38" s="139"/>
      <c r="O38" s="139"/>
      <c r="P38" s="139"/>
      <c r="Q38" s="139"/>
      <c r="R38" s="139"/>
      <c r="S38" s="140"/>
      <c r="T38" s="66"/>
      <c r="AB38" t="s">
        <v>38</v>
      </c>
      <c r="AH38" t="s">
        <v>235</v>
      </c>
    </row>
    <row r="39" spans="1:34" ht="5.0999999999999996" customHeight="1" x14ac:dyDescent="0.3">
      <c r="A39" s="4"/>
      <c r="B39" s="15"/>
      <c r="C39" s="28"/>
      <c r="D39" s="28"/>
      <c r="E39" s="28"/>
      <c r="F39" s="28"/>
      <c r="G39" s="28"/>
      <c r="H39" s="28"/>
      <c r="I39" s="28"/>
      <c r="J39" s="28"/>
      <c r="K39" s="28"/>
      <c r="L39" s="28"/>
      <c r="M39" s="28"/>
      <c r="N39" s="28"/>
      <c r="O39" s="28"/>
      <c r="P39" s="28"/>
      <c r="Q39" s="28"/>
      <c r="R39" s="28"/>
      <c r="S39" s="28"/>
      <c r="T39" s="15"/>
      <c r="AB39" t="s">
        <v>39</v>
      </c>
      <c r="AH39" t="s">
        <v>236</v>
      </c>
    </row>
    <row r="40" spans="1:34" ht="24.95" customHeight="1" x14ac:dyDescent="0.3">
      <c r="A40" s="4"/>
      <c r="B40" s="75" t="s">
        <v>369</v>
      </c>
      <c r="C40" s="75"/>
      <c r="D40" s="75"/>
      <c r="E40" s="75"/>
      <c r="F40" s="75"/>
      <c r="G40" s="75"/>
      <c r="H40" s="75"/>
      <c r="I40" s="75"/>
      <c r="J40" s="75"/>
      <c r="K40" s="75"/>
      <c r="L40" s="75"/>
      <c r="M40" s="75"/>
      <c r="N40" s="75"/>
      <c r="O40" s="75"/>
      <c r="P40" s="75"/>
      <c r="Q40" s="75"/>
      <c r="R40" s="75"/>
      <c r="S40" s="75"/>
      <c r="T40" s="75"/>
      <c r="AB40" t="s">
        <v>40</v>
      </c>
      <c r="AH40" t="s">
        <v>237</v>
      </c>
    </row>
    <row r="41" spans="1:34" ht="5.0999999999999996" customHeight="1" x14ac:dyDescent="0.3">
      <c r="A41" s="4"/>
      <c r="B41" s="15"/>
      <c r="C41" s="15"/>
      <c r="D41" s="15"/>
      <c r="E41" s="15"/>
      <c r="F41" s="15"/>
      <c r="G41" s="15"/>
      <c r="H41" s="15"/>
      <c r="I41" s="15"/>
      <c r="J41" s="15"/>
      <c r="K41" s="15"/>
      <c r="L41" s="15"/>
      <c r="M41" s="15"/>
      <c r="N41" s="15"/>
      <c r="O41" s="15"/>
      <c r="P41" s="15"/>
      <c r="Q41" s="15"/>
      <c r="R41" s="15"/>
      <c r="S41" s="15"/>
      <c r="T41" s="15"/>
      <c r="AB41" t="s">
        <v>41</v>
      </c>
      <c r="AH41" t="s">
        <v>99</v>
      </c>
    </row>
    <row r="42" spans="1:34" ht="30" customHeight="1" x14ac:dyDescent="0.3">
      <c r="A42" s="4"/>
      <c r="B42" s="135" t="s">
        <v>203</v>
      </c>
      <c r="C42" s="136"/>
      <c r="D42" s="136"/>
      <c r="E42" s="136"/>
      <c r="F42" s="136"/>
      <c r="G42" s="136"/>
      <c r="H42" s="136"/>
      <c r="I42" s="136"/>
      <c r="J42" s="136"/>
      <c r="K42" s="136"/>
      <c r="L42" s="136"/>
      <c r="M42" s="136"/>
      <c r="N42" s="136"/>
      <c r="O42" s="136"/>
      <c r="P42" s="136"/>
      <c r="Q42" s="136"/>
      <c r="R42" s="136"/>
      <c r="S42" s="137"/>
      <c r="T42" s="66"/>
      <c r="AB42" t="s">
        <v>42</v>
      </c>
      <c r="AH42" t="s">
        <v>238</v>
      </c>
    </row>
    <row r="43" spans="1:34" ht="5.0999999999999996" customHeight="1" x14ac:dyDescent="0.3">
      <c r="A43" s="4"/>
      <c r="B43" s="15"/>
      <c r="C43" s="15"/>
      <c r="D43" s="15"/>
      <c r="E43" s="15"/>
      <c r="F43" s="15"/>
      <c r="G43" s="15"/>
      <c r="H43" s="15"/>
      <c r="I43" s="15"/>
      <c r="J43" s="15"/>
      <c r="K43" s="15"/>
      <c r="L43" s="15"/>
      <c r="M43" s="15"/>
      <c r="N43" s="15"/>
      <c r="O43" s="15"/>
      <c r="P43" s="15"/>
      <c r="Q43" s="15"/>
      <c r="R43" s="15"/>
      <c r="S43" s="15"/>
      <c r="T43" s="15"/>
      <c r="AB43" t="s">
        <v>43</v>
      </c>
      <c r="AH43" t="s">
        <v>239</v>
      </c>
    </row>
    <row r="44" spans="1:34" ht="24.95" customHeight="1" x14ac:dyDescent="0.3">
      <c r="A44" s="4"/>
      <c r="B44" s="75" t="s">
        <v>378</v>
      </c>
      <c r="C44" s="75"/>
      <c r="D44" s="75"/>
      <c r="E44" s="75"/>
      <c r="F44" s="75"/>
      <c r="G44" s="75"/>
      <c r="H44" s="75"/>
      <c r="I44" s="75"/>
      <c r="J44" s="75"/>
      <c r="K44" s="75"/>
      <c r="L44" s="75"/>
      <c r="M44" s="75"/>
      <c r="N44" s="75"/>
      <c r="O44" s="75"/>
      <c r="P44" s="75"/>
      <c r="Q44" s="75"/>
      <c r="R44" s="75"/>
      <c r="S44" s="75"/>
      <c r="T44" s="75"/>
      <c r="AB44" t="s">
        <v>44</v>
      </c>
      <c r="AH44" t="s">
        <v>105</v>
      </c>
    </row>
    <row r="45" spans="1:34" ht="5.0999999999999996" customHeight="1" x14ac:dyDescent="0.3">
      <c r="A45" s="4"/>
      <c r="B45" s="15"/>
      <c r="C45" s="15"/>
      <c r="D45" s="15"/>
      <c r="E45" s="15"/>
      <c r="F45" s="15"/>
      <c r="G45" s="15"/>
      <c r="H45" s="15"/>
      <c r="I45" s="15"/>
      <c r="J45" s="15"/>
      <c r="K45" s="15"/>
      <c r="L45" s="15"/>
      <c r="M45" s="15"/>
      <c r="N45" s="15"/>
      <c r="O45" s="15"/>
      <c r="P45" s="15"/>
      <c r="Q45" s="15"/>
      <c r="R45" s="15"/>
      <c r="S45" s="15"/>
      <c r="T45" s="15"/>
      <c r="AB45" t="s">
        <v>45</v>
      </c>
      <c r="AH45" t="s">
        <v>240</v>
      </c>
    </row>
    <row r="46" spans="1:34" ht="18" customHeight="1" x14ac:dyDescent="0.3">
      <c r="A46" s="4"/>
      <c r="B46" s="113" t="s">
        <v>185</v>
      </c>
      <c r="C46" s="113"/>
      <c r="D46" s="115"/>
      <c r="E46" s="115"/>
      <c r="F46" s="27" t="s">
        <v>190</v>
      </c>
      <c r="G46" s="115"/>
      <c r="H46" s="115"/>
      <c r="I46" s="27" t="s">
        <v>190</v>
      </c>
      <c r="J46" s="115"/>
      <c r="K46" s="115"/>
      <c r="L46" s="7"/>
      <c r="M46" s="113" t="s">
        <v>337</v>
      </c>
      <c r="N46" s="113"/>
      <c r="O46" s="51"/>
      <c r="P46" s="8"/>
      <c r="Q46" s="113" t="s">
        <v>169</v>
      </c>
      <c r="R46" s="113"/>
      <c r="S46" s="78"/>
      <c r="T46" s="78"/>
      <c r="AB46" t="s">
        <v>46</v>
      </c>
      <c r="AH46" t="s">
        <v>241</v>
      </c>
    </row>
    <row r="47" spans="1:34" ht="18" customHeight="1" x14ac:dyDescent="0.3">
      <c r="A47" s="4"/>
      <c r="B47" s="113" t="s">
        <v>336</v>
      </c>
      <c r="C47" s="113"/>
      <c r="D47" s="115"/>
      <c r="E47" s="115"/>
      <c r="F47" s="115"/>
      <c r="G47" s="115"/>
      <c r="H47" s="115"/>
      <c r="I47" s="115"/>
      <c r="J47" s="115"/>
      <c r="K47" s="115"/>
      <c r="L47" s="7"/>
      <c r="M47" s="113" t="s">
        <v>330</v>
      </c>
      <c r="N47" s="113"/>
      <c r="O47" s="51"/>
      <c r="P47" s="8"/>
      <c r="Q47" s="112"/>
      <c r="R47" s="112"/>
      <c r="S47" s="112"/>
      <c r="T47" s="112"/>
      <c r="AB47" t="s">
        <v>47</v>
      </c>
      <c r="AH47" t="s">
        <v>242</v>
      </c>
    </row>
    <row r="48" spans="1:34" ht="20.100000000000001" hidden="1" customHeight="1" x14ac:dyDescent="0.3">
      <c r="A48" s="4"/>
      <c r="B48" s="133" t="s">
        <v>376</v>
      </c>
      <c r="C48" s="133"/>
      <c r="D48" s="133"/>
      <c r="E48" s="133"/>
      <c r="F48" s="133"/>
      <c r="G48" s="133"/>
      <c r="H48" s="133"/>
      <c r="I48" s="133"/>
      <c r="J48" s="133"/>
      <c r="K48" s="133"/>
      <c r="L48" s="133"/>
      <c r="M48" s="133"/>
      <c r="N48" s="133"/>
      <c r="O48" s="133"/>
      <c r="P48" s="133"/>
      <c r="Q48" s="133"/>
      <c r="R48" s="133"/>
      <c r="S48" s="133"/>
      <c r="T48" s="133"/>
      <c r="AB48" t="s">
        <v>48</v>
      </c>
      <c r="AH48" t="s">
        <v>243</v>
      </c>
    </row>
    <row r="49" spans="1:44" ht="20.100000000000001" hidden="1" customHeight="1" x14ac:dyDescent="0.3">
      <c r="A49" s="4"/>
      <c r="B49" s="113" t="s">
        <v>185</v>
      </c>
      <c r="C49" s="113"/>
      <c r="D49" s="78"/>
      <c r="E49" s="78"/>
      <c r="F49" s="27" t="s">
        <v>190</v>
      </c>
      <c r="G49" s="78"/>
      <c r="H49" s="78"/>
      <c r="I49" s="27" t="s">
        <v>190</v>
      </c>
      <c r="J49" s="78"/>
      <c r="K49" s="78"/>
      <c r="L49" s="7"/>
      <c r="M49" s="113" t="s">
        <v>337</v>
      </c>
      <c r="N49" s="113"/>
      <c r="O49" s="51"/>
      <c r="P49" s="7"/>
      <c r="Q49" s="113" t="s">
        <v>169</v>
      </c>
      <c r="R49" s="113"/>
      <c r="S49" s="78"/>
      <c r="T49" s="78"/>
      <c r="AB49" t="s">
        <v>49</v>
      </c>
      <c r="AH49" t="s">
        <v>109</v>
      </c>
    </row>
    <row r="50" spans="1:44" ht="20.100000000000001" hidden="1" customHeight="1" x14ac:dyDescent="0.3">
      <c r="A50" s="4"/>
      <c r="B50" s="110" t="s">
        <v>336</v>
      </c>
      <c r="C50" s="111"/>
      <c r="D50" s="78"/>
      <c r="E50" s="78"/>
      <c r="F50" s="78"/>
      <c r="G50" s="78"/>
      <c r="H50" s="78"/>
      <c r="I50" s="78"/>
      <c r="J50" s="78"/>
      <c r="K50" s="78"/>
      <c r="L50" s="7"/>
      <c r="M50" s="113" t="s">
        <v>330</v>
      </c>
      <c r="N50" s="113"/>
      <c r="O50" s="51"/>
      <c r="P50" s="7"/>
      <c r="Q50" s="112"/>
      <c r="R50" s="112"/>
      <c r="S50" s="112"/>
      <c r="T50" s="112"/>
      <c r="AB50" t="s">
        <v>50</v>
      </c>
      <c r="AH50" t="s">
        <v>110</v>
      </c>
    </row>
    <row r="51" spans="1:44" ht="5.0999999999999996" customHeight="1" x14ac:dyDescent="0.3">
      <c r="A51" s="4"/>
      <c r="B51" s="4"/>
      <c r="C51" s="4"/>
      <c r="D51" s="4"/>
      <c r="E51" s="4"/>
      <c r="F51" s="4"/>
      <c r="G51" s="4"/>
      <c r="H51" s="4"/>
      <c r="I51" s="4"/>
      <c r="J51" s="4"/>
      <c r="K51" s="4"/>
      <c r="L51" s="4"/>
      <c r="M51" s="4"/>
      <c r="N51" s="4"/>
      <c r="O51" s="4"/>
      <c r="P51" s="4"/>
      <c r="Q51" s="4"/>
      <c r="R51" s="4"/>
      <c r="S51" s="4"/>
      <c r="T51" s="4"/>
      <c r="AB51" t="s">
        <v>51</v>
      </c>
      <c r="AH51" t="s">
        <v>244</v>
      </c>
    </row>
    <row r="52" spans="1:44" ht="24.95" hidden="1" customHeight="1" x14ac:dyDescent="0.3">
      <c r="A52" s="4"/>
      <c r="B52" s="75" t="s">
        <v>340</v>
      </c>
      <c r="C52" s="75"/>
      <c r="D52" s="75"/>
      <c r="E52" s="75"/>
      <c r="F52" s="75"/>
      <c r="G52" s="75"/>
      <c r="H52" s="75"/>
      <c r="I52" s="75"/>
      <c r="J52" s="75"/>
      <c r="K52" s="75"/>
      <c r="L52" s="75"/>
      <c r="M52" s="75"/>
      <c r="N52" s="75"/>
      <c r="O52" s="75"/>
      <c r="P52" s="75"/>
      <c r="Q52" s="75"/>
      <c r="R52" s="75"/>
      <c r="S52" s="75"/>
      <c r="T52" s="75"/>
      <c r="AB52" t="s">
        <v>52</v>
      </c>
      <c r="AH52" t="s">
        <v>245</v>
      </c>
    </row>
    <row r="53" spans="1:44" ht="15" hidden="1" customHeight="1" x14ac:dyDescent="0.3">
      <c r="A53" s="4"/>
      <c r="B53" s="161" t="s">
        <v>340</v>
      </c>
      <c r="C53" s="161"/>
      <c r="D53" s="161"/>
      <c r="E53" s="161"/>
      <c r="F53" s="161"/>
      <c r="G53" s="161"/>
      <c r="H53" s="161"/>
      <c r="I53" s="161"/>
      <c r="J53" s="161"/>
      <c r="K53" s="161"/>
      <c r="L53" s="161"/>
      <c r="M53" s="161"/>
      <c r="N53" s="161"/>
      <c r="O53" s="161"/>
      <c r="P53" s="161"/>
      <c r="Q53" s="161"/>
      <c r="R53" s="161"/>
      <c r="S53" s="161"/>
      <c r="T53" s="161"/>
      <c r="AB53" t="s">
        <v>53</v>
      </c>
      <c r="AH53" t="s">
        <v>115</v>
      </c>
    </row>
    <row r="54" spans="1:44" ht="18" hidden="1" customHeight="1" x14ac:dyDescent="0.3">
      <c r="A54" s="4"/>
      <c r="B54" s="156" t="s">
        <v>339</v>
      </c>
      <c r="C54" s="156"/>
      <c r="D54" s="160"/>
      <c r="E54" s="160"/>
      <c r="F54" s="160"/>
      <c r="G54" s="160"/>
      <c r="H54" s="160"/>
      <c r="I54" s="160"/>
      <c r="J54" s="160"/>
      <c r="K54" s="160"/>
      <c r="L54" s="4"/>
      <c r="M54" s="114"/>
      <c r="N54" s="114"/>
      <c r="O54" s="114"/>
      <c r="P54" s="114"/>
      <c r="Q54" s="114"/>
      <c r="R54" s="114"/>
      <c r="S54" s="114"/>
      <c r="T54" s="114"/>
      <c r="AB54" t="s">
        <v>54</v>
      </c>
      <c r="AH54" t="s">
        <v>246</v>
      </c>
    </row>
    <row r="55" spans="1:44" ht="5.0999999999999996" hidden="1" customHeight="1" x14ac:dyDescent="0.3">
      <c r="A55" s="4"/>
      <c r="B55" s="4"/>
      <c r="C55" s="6"/>
      <c r="D55" s="6"/>
      <c r="E55" s="6"/>
      <c r="F55" s="6"/>
      <c r="G55" s="6"/>
      <c r="H55" s="6"/>
      <c r="I55" s="6"/>
      <c r="J55" s="6"/>
      <c r="K55" s="4"/>
      <c r="L55" s="4"/>
      <c r="M55" s="4"/>
      <c r="N55" s="4"/>
      <c r="O55" s="4"/>
      <c r="P55" s="4"/>
      <c r="Q55" s="4"/>
      <c r="R55" s="4"/>
      <c r="S55" s="4"/>
      <c r="T55" s="4"/>
      <c r="AB55" t="s">
        <v>55</v>
      </c>
      <c r="AH55" t="s">
        <v>119</v>
      </c>
    </row>
    <row r="56" spans="1:44" s="11" customFormat="1" ht="24.95" customHeight="1" x14ac:dyDescent="0.3">
      <c r="A56" s="3"/>
      <c r="B56" s="75" t="s">
        <v>377</v>
      </c>
      <c r="C56" s="75"/>
      <c r="D56" s="75"/>
      <c r="E56" s="75"/>
      <c r="F56" s="75"/>
      <c r="G56" s="75"/>
      <c r="H56" s="75"/>
      <c r="I56" s="75"/>
      <c r="J56" s="75"/>
      <c r="K56" s="75"/>
      <c r="L56" s="75"/>
      <c r="M56" s="75"/>
      <c r="N56" s="75"/>
      <c r="O56" s="75"/>
      <c r="P56" s="75"/>
      <c r="Q56" s="75"/>
      <c r="R56" s="75"/>
      <c r="S56" s="75"/>
      <c r="T56" s="75"/>
      <c r="U56" s="37"/>
      <c r="AB56" t="s">
        <v>56</v>
      </c>
      <c r="AC56"/>
      <c r="AD56"/>
      <c r="AE56"/>
      <c r="AF56"/>
      <c r="AG56"/>
      <c r="AH56" t="s">
        <v>247</v>
      </c>
      <c r="AI56"/>
      <c r="AJ56"/>
      <c r="AK56"/>
      <c r="AL56"/>
      <c r="AM56"/>
      <c r="AN56"/>
      <c r="AO56"/>
      <c r="AP56"/>
      <c r="AQ56"/>
      <c r="AR56"/>
    </row>
    <row r="57" spans="1:44" s="11" customFormat="1" ht="18" customHeight="1" x14ac:dyDescent="0.3">
      <c r="A57" s="3"/>
      <c r="B57" s="132" t="s">
        <v>334</v>
      </c>
      <c r="C57" s="132"/>
      <c r="D57" s="132"/>
      <c r="E57" s="132"/>
      <c r="F57" s="132"/>
      <c r="G57" s="132"/>
      <c r="H57" s="132"/>
      <c r="I57" s="132"/>
      <c r="J57" s="132"/>
      <c r="K57" s="132"/>
      <c r="L57" s="132"/>
      <c r="M57" s="132"/>
      <c r="N57" s="132"/>
      <c r="O57" s="132"/>
      <c r="P57" s="132"/>
      <c r="Q57" s="132"/>
      <c r="R57" s="132"/>
      <c r="S57" s="132"/>
      <c r="T57" s="132"/>
      <c r="U57" s="37"/>
      <c r="AB57" t="s">
        <v>57</v>
      </c>
      <c r="AC57"/>
      <c r="AD57"/>
      <c r="AE57"/>
      <c r="AF57"/>
      <c r="AG57"/>
      <c r="AH57" t="s">
        <v>120</v>
      </c>
      <c r="AI57"/>
      <c r="AJ57"/>
      <c r="AK57"/>
      <c r="AL57"/>
      <c r="AM57"/>
      <c r="AN57"/>
      <c r="AO57"/>
      <c r="AP57"/>
      <c r="AQ57"/>
      <c r="AR57"/>
    </row>
    <row r="58" spans="1:44" ht="20.100000000000001" customHeight="1" x14ac:dyDescent="0.3">
      <c r="A58" s="4"/>
      <c r="B58" s="97" t="s">
        <v>181</v>
      </c>
      <c r="C58" s="97"/>
      <c r="D58" s="78"/>
      <c r="E58" s="78"/>
      <c r="F58" s="78"/>
      <c r="G58" s="78"/>
      <c r="H58" s="78"/>
      <c r="I58" s="78"/>
      <c r="J58" s="78"/>
      <c r="K58" s="78"/>
      <c r="L58" s="30"/>
      <c r="M58" s="97" t="s">
        <v>182</v>
      </c>
      <c r="N58" s="97"/>
      <c r="O58" s="51"/>
      <c r="P58" s="8"/>
      <c r="Q58" s="116" t="s">
        <v>186</v>
      </c>
      <c r="R58" s="117"/>
      <c r="S58" s="78"/>
      <c r="T58" s="78"/>
      <c r="AB58" t="s">
        <v>58</v>
      </c>
      <c r="AH58" t="s">
        <v>248</v>
      </c>
    </row>
    <row r="59" spans="1:44" ht="20.100000000000001" customHeight="1" x14ac:dyDescent="0.3">
      <c r="A59" s="4"/>
      <c r="B59" s="97" t="s">
        <v>187</v>
      </c>
      <c r="C59" s="97"/>
      <c r="D59" s="115"/>
      <c r="E59" s="115"/>
      <c r="F59" s="115"/>
      <c r="G59" s="115"/>
      <c r="H59" s="115"/>
      <c r="I59" s="115"/>
      <c r="J59" s="115"/>
      <c r="K59" s="115"/>
      <c r="L59" s="8"/>
      <c r="M59" s="97" t="s">
        <v>188</v>
      </c>
      <c r="N59" s="97"/>
      <c r="O59" s="69"/>
      <c r="P59" s="8"/>
      <c r="Q59" s="116" t="s">
        <v>189</v>
      </c>
      <c r="R59" s="117"/>
      <c r="S59" s="115"/>
      <c r="T59" s="115"/>
      <c r="AB59" t="s">
        <v>59</v>
      </c>
      <c r="AH59" t="s">
        <v>249</v>
      </c>
    </row>
    <row r="60" spans="1:44" customFormat="1" ht="18" customHeight="1" x14ac:dyDescent="0.3">
      <c r="B60" s="131" t="s">
        <v>333</v>
      </c>
      <c r="C60" s="131"/>
      <c r="D60" s="131"/>
      <c r="E60" s="131"/>
      <c r="F60" s="131"/>
      <c r="G60" s="131"/>
      <c r="H60" s="131"/>
      <c r="I60" s="131"/>
      <c r="J60" s="131"/>
      <c r="K60" s="131"/>
      <c r="L60" s="131"/>
      <c r="M60" s="131"/>
      <c r="N60" s="131"/>
      <c r="O60" s="131"/>
      <c r="P60" s="131"/>
      <c r="Q60" s="131"/>
      <c r="R60" s="131"/>
      <c r="S60" s="131"/>
      <c r="T60" s="131"/>
      <c r="U60" s="12"/>
      <c r="W60" s="9"/>
      <c r="X60" s="9"/>
      <c r="AB60" t="s">
        <v>60</v>
      </c>
      <c r="AH60" t="s">
        <v>250</v>
      </c>
    </row>
    <row r="61" spans="1:44" ht="20.100000000000001" customHeight="1" x14ac:dyDescent="0.3">
      <c r="A61" s="4"/>
      <c r="B61" s="97" t="s">
        <v>181</v>
      </c>
      <c r="C61" s="97"/>
      <c r="D61" s="78"/>
      <c r="E61" s="78"/>
      <c r="F61" s="78"/>
      <c r="G61" s="78"/>
      <c r="H61" s="78"/>
      <c r="I61" s="78"/>
      <c r="J61" s="78"/>
      <c r="K61" s="78"/>
      <c r="L61" s="30"/>
      <c r="M61" s="97" t="s">
        <v>182</v>
      </c>
      <c r="N61" s="97"/>
      <c r="O61" s="51"/>
      <c r="P61" s="8"/>
      <c r="Q61" s="97" t="s">
        <v>186</v>
      </c>
      <c r="R61" s="97"/>
      <c r="S61" s="78"/>
      <c r="T61" s="78"/>
      <c r="AB61" t="s">
        <v>61</v>
      </c>
      <c r="AH61" t="s">
        <v>251</v>
      </c>
    </row>
    <row r="62" spans="1:44" ht="20.100000000000001" customHeight="1" x14ac:dyDescent="0.3">
      <c r="A62" s="4"/>
      <c r="B62" s="97" t="s">
        <v>187</v>
      </c>
      <c r="C62" s="97"/>
      <c r="D62" s="115"/>
      <c r="E62" s="115"/>
      <c r="F62" s="115"/>
      <c r="G62" s="115"/>
      <c r="H62" s="115"/>
      <c r="I62" s="115"/>
      <c r="J62" s="115"/>
      <c r="K62" s="115"/>
      <c r="L62" s="8"/>
      <c r="M62" s="97" t="s">
        <v>188</v>
      </c>
      <c r="N62" s="97"/>
      <c r="O62" s="69"/>
      <c r="P62" s="8"/>
      <c r="Q62" s="116" t="s">
        <v>189</v>
      </c>
      <c r="R62" s="117"/>
      <c r="S62" s="115"/>
      <c r="T62" s="115"/>
      <c r="AB62" t="s">
        <v>62</v>
      </c>
      <c r="AH62" t="s">
        <v>126</v>
      </c>
    </row>
    <row r="63" spans="1:44" ht="9.9499999999999993" customHeight="1" x14ac:dyDescent="0.3">
      <c r="A63" s="4"/>
      <c r="B63" s="4"/>
      <c r="C63" s="6"/>
      <c r="D63" s="6"/>
      <c r="E63" s="6"/>
      <c r="F63" s="6"/>
      <c r="G63" s="6"/>
      <c r="H63" s="6"/>
      <c r="I63" s="6"/>
      <c r="J63" s="6"/>
      <c r="K63" s="4"/>
      <c r="L63" s="4"/>
      <c r="M63" s="4"/>
      <c r="N63" s="4"/>
      <c r="O63" s="4"/>
      <c r="P63" s="4"/>
      <c r="Q63" s="4"/>
      <c r="R63" s="4"/>
      <c r="S63" s="4"/>
      <c r="T63" s="4"/>
      <c r="AB63" t="s">
        <v>63</v>
      </c>
      <c r="AH63" t="s">
        <v>252</v>
      </c>
    </row>
    <row r="64" spans="1:44" ht="24.95" customHeight="1" x14ac:dyDescent="0.3">
      <c r="A64" s="4"/>
      <c r="B64" s="75" t="s">
        <v>428</v>
      </c>
      <c r="C64" s="75"/>
      <c r="D64" s="75"/>
      <c r="E64" s="75"/>
      <c r="F64" s="75"/>
      <c r="G64" s="75"/>
      <c r="H64" s="75"/>
      <c r="I64" s="75"/>
      <c r="J64" s="75"/>
      <c r="K64" s="75"/>
      <c r="L64" s="75"/>
      <c r="M64" s="75"/>
      <c r="N64" s="75"/>
      <c r="O64" s="75"/>
      <c r="P64" s="75"/>
      <c r="Q64" s="75"/>
      <c r="R64" s="75"/>
      <c r="S64" s="75"/>
      <c r="T64" s="75"/>
      <c r="AB64" t="s">
        <v>64</v>
      </c>
      <c r="AH64" t="s">
        <v>130</v>
      </c>
    </row>
    <row r="65" spans="1:34" ht="18" customHeight="1" x14ac:dyDescent="0.3">
      <c r="A65" s="4"/>
      <c r="B65" s="74" t="s">
        <v>448</v>
      </c>
      <c r="C65" s="74"/>
      <c r="D65" s="74"/>
      <c r="E65" s="74"/>
      <c r="F65" s="74"/>
      <c r="G65" s="74"/>
      <c r="H65" s="74"/>
      <c r="I65" s="74"/>
      <c r="J65" s="74"/>
      <c r="K65" s="74"/>
      <c r="L65" s="74"/>
      <c r="M65" s="74"/>
      <c r="N65" s="74"/>
      <c r="O65" s="74"/>
      <c r="P65" s="74"/>
      <c r="Q65" s="74"/>
      <c r="R65" s="74"/>
      <c r="S65" s="74"/>
      <c r="T65" s="74"/>
      <c r="AB65" t="s">
        <v>65</v>
      </c>
      <c r="AH65" t="s">
        <v>132</v>
      </c>
    </row>
    <row r="66" spans="1:34" ht="18" customHeight="1" x14ac:dyDescent="0.3">
      <c r="A66" s="4"/>
      <c r="B66" s="76" t="s">
        <v>429</v>
      </c>
      <c r="C66" s="77"/>
      <c r="D66" s="78"/>
      <c r="E66" s="78"/>
      <c r="F66" s="78"/>
      <c r="G66" s="78"/>
      <c r="H66" s="78"/>
      <c r="I66" s="78"/>
      <c r="J66" s="78"/>
      <c r="K66" s="78"/>
      <c r="L66" s="57"/>
      <c r="M66" s="79"/>
      <c r="N66" s="79"/>
      <c r="O66" s="79"/>
      <c r="P66" s="79"/>
      <c r="Q66" s="79"/>
      <c r="R66" s="79"/>
      <c r="S66" s="79"/>
      <c r="T66" s="79"/>
      <c r="AB66" t="s">
        <v>66</v>
      </c>
      <c r="AH66" t="s">
        <v>253</v>
      </c>
    </row>
    <row r="67" spans="1:34" ht="5.0999999999999996" customHeight="1" x14ac:dyDescent="0.3">
      <c r="A67" s="4"/>
      <c r="B67" s="58"/>
      <c r="C67" s="58"/>
      <c r="D67" s="58"/>
      <c r="E67" s="58"/>
      <c r="F67" s="58"/>
      <c r="G67" s="58"/>
      <c r="H67" s="58"/>
      <c r="I67" s="58"/>
      <c r="J67" s="58"/>
      <c r="K67" s="58"/>
      <c r="L67" s="57"/>
      <c r="M67" s="57"/>
      <c r="N67" s="57"/>
      <c r="O67" s="57"/>
      <c r="P67" s="57"/>
      <c r="Q67" s="57"/>
      <c r="R67" s="57"/>
      <c r="S67" s="57"/>
      <c r="T67" s="57"/>
      <c r="AB67" t="s">
        <v>67</v>
      </c>
      <c r="AH67" t="s">
        <v>135</v>
      </c>
    </row>
    <row r="68" spans="1:34" ht="24.95" customHeight="1" x14ac:dyDescent="0.3">
      <c r="A68" s="4"/>
      <c r="B68" s="75" t="s">
        <v>408</v>
      </c>
      <c r="C68" s="75"/>
      <c r="D68" s="75"/>
      <c r="E68" s="75"/>
      <c r="F68" s="75"/>
      <c r="G68" s="75"/>
      <c r="H68" s="75"/>
      <c r="I68" s="75"/>
      <c r="J68" s="75"/>
      <c r="K68" s="75"/>
      <c r="L68" s="75"/>
      <c r="M68" s="75"/>
      <c r="N68" s="75"/>
      <c r="O68" s="75"/>
      <c r="P68" s="75"/>
      <c r="Q68" s="75"/>
      <c r="R68" s="75"/>
      <c r="S68" s="75"/>
      <c r="T68" s="75"/>
      <c r="AB68" t="s">
        <v>68</v>
      </c>
      <c r="AH68" t="s">
        <v>254</v>
      </c>
    </row>
    <row r="69" spans="1:34" ht="32.25" customHeight="1" x14ac:dyDescent="0.3">
      <c r="A69" s="4"/>
      <c r="B69" s="74" t="s">
        <v>409</v>
      </c>
      <c r="C69" s="74"/>
      <c r="D69" s="74"/>
      <c r="E69" s="74"/>
      <c r="F69" s="74"/>
      <c r="G69" s="74"/>
      <c r="H69" s="74"/>
      <c r="I69" s="74"/>
      <c r="J69" s="74"/>
      <c r="K69" s="74"/>
      <c r="L69" s="74"/>
      <c r="M69" s="74"/>
      <c r="N69" s="74"/>
      <c r="O69" s="74"/>
      <c r="P69" s="74"/>
      <c r="Q69" s="74"/>
      <c r="R69" s="74"/>
      <c r="S69" s="74"/>
      <c r="T69" s="74"/>
      <c r="AB69" t="s">
        <v>69</v>
      </c>
      <c r="AH69" t="s">
        <v>255</v>
      </c>
    </row>
    <row r="70" spans="1:34" ht="155.25" customHeight="1" x14ac:dyDescent="0.3">
      <c r="A70" s="4"/>
      <c r="B70" s="93"/>
      <c r="C70" s="94"/>
      <c r="D70" s="94"/>
      <c r="E70" s="94"/>
      <c r="F70" s="94"/>
      <c r="G70" s="94"/>
      <c r="H70" s="94"/>
      <c r="I70" s="94"/>
      <c r="J70" s="94"/>
      <c r="K70" s="94"/>
      <c r="L70" s="94"/>
      <c r="M70" s="94"/>
      <c r="N70" s="94"/>
      <c r="O70" s="94"/>
      <c r="P70" s="94"/>
      <c r="Q70" s="94"/>
      <c r="R70" s="94"/>
      <c r="S70" s="94"/>
      <c r="T70" s="95"/>
      <c r="AB70" t="s">
        <v>70</v>
      </c>
      <c r="AH70" t="s">
        <v>256</v>
      </c>
    </row>
    <row r="71" spans="1:34" ht="5.0999999999999996" customHeight="1" x14ac:dyDescent="0.3">
      <c r="A71" s="4"/>
      <c r="B71" s="19"/>
      <c r="C71" s="19"/>
      <c r="D71" s="19"/>
      <c r="E71" s="19"/>
      <c r="F71" s="19"/>
      <c r="G71" s="19"/>
      <c r="H71" s="19"/>
      <c r="I71" s="19"/>
      <c r="J71" s="19"/>
      <c r="K71" s="19"/>
      <c r="L71" s="19"/>
      <c r="M71" s="19"/>
      <c r="N71" s="19"/>
      <c r="O71" s="19"/>
      <c r="P71" s="19"/>
      <c r="Q71" s="19"/>
      <c r="R71" s="19"/>
      <c r="S71" s="19"/>
      <c r="T71" s="19"/>
      <c r="AB71" t="s">
        <v>71</v>
      </c>
      <c r="AH71" t="s">
        <v>257</v>
      </c>
    </row>
    <row r="72" spans="1:34" ht="24.95" customHeight="1" x14ac:dyDescent="0.3">
      <c r="A72" s="4"/>
      <c r="B72" s="75" t="s">
        <v>421</v>
      </c>
      <c r="C72" s="75"/>
      <c r="D72" s="75"/>
      <c r="E72" s="75"/>
      <c r="F72" s="75"/>
      <c r="G72" s="75"/>
      <c r="H72" s="75"/>
      <c r="I72" s="75"/>
      <c r="J72" s="75"/>
      <c r="K72" s="75"/>
      <c r="L72" s="75"/>
      <c r="M72" s="75"/>
      <c r="N72" s="75"/>
      <c r="O72" s="75"/>
      <c r="P72" s="75"/>
      <c r="Q72" s="75"/>
      <c r="R72" s="75"/>
      <c r="S72" s="75"/>
      <c r="T72" s="75"/>
      <c r="AB72" t="s">
        <v>72</v>
      </c>
      <c r="AH72" t="s">
        <v>147</v>
      </c>
    </row>
    <row r="73" spans="1:34" ht="19.5" customHeight="1" x14ac:dyDescent="0.3">
      <c r="A73" s="4"/>
      <c r="B73" s="74" t="s">
        <v>410</v>
      </c>
      <c r="C73" s="74"/>
      <c r="D73" s="74"/>
      <c r="E73" s="74"/>
      <c r="F73" s="74"/>
      <c r="G73" s="74"/>
      <c r="H73" s="74"/>
      <c r="I73" s="74"/>
      <c r="J73" s="74"/>
      <c r="K73" s="74"/>
      <c r="L73" s="74"/>
      <c r="M73" s="74"/>
      <c r="N73" s="74"/>
      <c r="O73" s="74"/>
      <c r="P73" s="74"/>
      <c r="Q73" s="74"/>
      <c r="R73" s="74"/>
      <c r="S73" s="74"/>
      <c r="T73" s="74"/>
      <c r="AB73" t="s">
        <v>73</v>
      </c>
      <c r="AH73" t="s">
        <v>258</v>
      </c>
    </row>
    <row r="74" spans="1:34" ht="32.25" customHeight="1" x14ac:dyDescent="0.3">
      <c r="A74" s="4"/>
      <c r="B74" s="82" t="s">
        <v>419</v>
      </c>
      <c r="C74" s="82"/>
      <c r="D74" s="90"/>
      <c r="E74" s="90"/>
      <c r="F74" s="90"/>
      <c r="G74" s="90"/>
      <c r="H74" s="90"/>
      <c r="I74" s="90"/>
      <c r="J74" s="90"/>
      <c r="K74" s="90"/>
      <c r="L74" s="90"/>
      <c r="M74" s="90"/>
      <c r="N74" s="90"/>
      <c r="O74" s="90"/>
      <c r="P74" s="90"/>
      <c r="Q74" s="90"/>
      <c r="R74" s="90"/>
      <c r="S74" s="90"/>
      <c r="T74" s="90"/>
      <c r="AB74" t="s">
        <v>74</v>
      </c>
      <c r="AH74" t="s">
        <v>158</v>
      </c>
    </row>
    <row r="75" spans="1:34" customFormat="1" ht="5.0999999999999996" customHeight="1" x14ac:dyDescent="0.3">
      <c r="B75" s="55"/>
      <c r="C75" s="55"/>
      <c r="D75" s="55"/>
      <c r="E75" s="55"/>
      <c r="F75" s="55"/>
      <c r="G75" s="55"/>
      <c r="H75" s="55"/>
      <c r="I75" s="55"/>
      <c r="J75" s="55"/>
      <c r="K75" s="55"/>
      <c r="L75" s="55"/>
      <c r="M75" s="55"/>
      <c r="N75" s="55"/>
      <c r="O75" s="55"/>
      <c r="P75" s="55"/>
      <c r="Q75" s="55"/>
      <c r="R75" s="55"/>
      <c r="S75" s="55"/>
      <c r="T75" s="55"/>
      <c r="AB75" t="s">
        <v>75</v>
      </c>
      <c r="AH75" t="s">
        <v>259</v>
      </c>
    </row>
    <row r="76" spans="1:34" ht="18" customHeight="1" x14ac:dyDescent="0.3">
      <c r="A76" s="4"/>
      <c r="B76" s="82" t="s">
        <v>414</v>
      </c>
      <c r="C76" s="82"/>
      <c r="D76" s="90"/>
      <c r="E76" s="90"/>
      <c r="F76" s="90"/>
      <c r="G76" s="90"/>
      <c r="H76" s="90"/>
      <c r="I76" s="90"/>
      <c r="J76" s="90"/>
      <c r="K76" s="90"/>
      <c r="L76" s="90"/>
      <c r="M76" s="90"/>
      <c r="N76" s="90"/>
      <c r="O76" s="90"/>
      <c r="P76" s="90"/>
      <c r="Q76" s="90"/>
      <c r="R76" s="90"/>
      <c r="S76" s="90"/>
      <c r="T76" s="90"/>
      <c r="AB76" t="s">
        <v>76</v>
      </c>
      <c r="AH76" t="s">
        <v>260</v>
      </c>
    </row>
    <row r="77" spans="1:34" customFormat="1" ht="5.0999999999999996" customHeight="1" x14ac:dyDescent="0.3">
      <c r="B77" s="55"/>
      <c r="C77" s="55"/>
      <c r="D77" s="55"/>
      <c r="E77" s="55"/>
      <c r="F77" s="55"/>
      <c r="G77" s="55"/>
      <c r="H77" s="55"/>
      <c r="I77" s="55"/>
      <c r="J77" s="55"/>
      <c r="K77" s="55"/>
      <c r="L77" s="55"/>
      <c r="M77" s="55"/>
      <c r="N77" s="55"/>
      <c r="O77" s="55"/>
      <c r="P77" s="55"/>
      <c r="Q77" s="55"/>
      <c r="R77" s="55"/>
      <c r="S77" s="55"/>
      <c r="T77" s="55"/>
      <c r="AB77" t="s">
        <v>77</v>
      </c>
      <c r="AH77" t="s">
        <v>261</v>
      </c>
    </row>
    <row r="78" spans="1:34" ht="34.5" customHeight="1" x14ac:dyDescent="0.3">
      <c r="A78" s="4"/>
      <c r="B78" s="82" t="s">
        <v>417</v>
      </c>
      <c r="C78" s="82"/>
      <c r="D78" s="90"/>
      <c r="E78" s="90"/>
      <c r="F78" s="90"/>
      <c r="G78" s="90"/>
      <c r="H78" s="90"/>
      <c r="I78" s="90"/>
      <c r="J78" s="90"/>
      <c r="K78" s="90"/>
      <c r="L78" s="90"/>
      <c r="M78" s="90"/>
      <c r="N78" s="90"/>
      <c r="O78" s="90"/>
      <c r="P78" s="90"/>
      <c r="Q78" s="90"/>
      <c r="R78" s="90"/>
      <c r="S78" s="90"/>
      <c r="T78" s="90"/>
      <c r="AB78" t="s">
        <v>78</v>
      </c>
    </row>
    <row r="79" spans="1:34" customFormat="1" ht="5.0999999999999996" customHeight="1" x14ac:dyDescent="0.3">
      <c r="B79" s="55"/>
      <c r="C79" s="55"/>
      <c r="D79" s="55"/>
      <c r="E79" s="55"/>
      <c r="F79" s="55"/>
      <c r="G79" s="55"/>
      <c r="H79" s="55"/>
      <c r="I79" s="55"/>
      <c r="J79" s="55"/>
      <c r="K79" s="55"/>
      <c r="L79" s="55"/>
      <c r="M79" s="55"/>
      <c r="N79" s="55"/>
      <c r="O79" s="55"/>
      <c r="P79" s="55"/>
      <c r="Q79" s="55"/>
      <c r="R79" s="55"/>
      <c r="S79" s="55"/>
      <c r="T79" s="55"/>
      <c r="AB79" t="s">
        <v>79</v>
      </c>
    </row>
    <row r="80" spans="1:34" ht="18" customHeight="1" x14ac:dyDescent="0.3">
      <c r="A80" s="4"/>
      <c r="B80" s="84" t="s">
        <v>411</v>
      </c>
      <c r="C80" s="84"/>
      <c r="D80" s="88"/>
      <c r="E80" s="86"/>
      <c r="F80" s="87"/>
      <c r="G80" s="89" t="s">
        <v>412</v>
      </c>
      <c r="H80" s="89"/>
      <c r="I80" s="85"/>
      <c r="J80" s="86"/>
      <c r="K80" s="87"/>
      <c r="L80" s="59"/>
      <c r="M80" s="84" t="s">
        <v>415</v>
      </c>
      <c r="N80" s="84"/>
      <c r="O80" s="54"/>
      <c r="P80" s="59"/>
      <c r="Q80" s="84" t="s">
        <v>416</v>
      </c>
      <c r="R80" s="84"/>
      <c r="S80" s="78"/>
      <c r="T80" s="78"/>
      <c r="AB80" t="s">
        <v>80</v>
      </c>
    </row>
    <row r="81" spans="1:44" ht="5.0999999999999996" customHeight="1" x14ac:dyDescent="0.3">
      <c r="A81" s="4"/>
      <c r="B81" s="60"/>
      <c r="C81" s="60"/>
      <c r="D81" s="60"/>
      <c r="E81" s="60"/>
      <c r="F81" s="60"/>
      <c r="G81" s="60"/>
      <c r="H81" s="60"/>
      <c r="I81" s="60"/>
      <c r="J81" s="60"/>
      <c r="K81" s="60"/>
      <c r="L81" s="60"/>
      <c r="M81" s="60"/>
      <c r="N81" s="60"/>
      <c r="O81" s="60"/>
      <c r="P81" s="60"/>
      <c r="Q81" s="60"/>
      <c r="R81" s="60"/>
      <c r="S81" s="60"/>
      <c r="T81" s="60"/>
      <c r="AB81" t="s">
        <v>81</v>
      </c>
    </row>
    <row r="82" spans="1:44" ht="18" customHeight="1" x14ac:dyDescent="0.3">
      <c r="A82" s="4"/>
      <c r="B82" s="165" t="s">
        <v>420</v>
      </c>
      <c r="C82" s="165"/>
      <c r="D82" s="165"/>
      <c r="E82" s="165"/>
      <c r="F82" s="165"/>
      <c r="G82" s="165"/>
      <c r="H82" s="165"/>
      <c r="I82" s="165"/>
      <c r="J82" s="165"/>
      <c r="K82" s="165"/>
      <c r="L82" s="165"/>
      <c r="M82" s="165"/>
      <c r="N82" s="165"/>
      <c r="O82" s="165"/>
      <c r="P82" s="165"/>
      <c r="Q82" s="165"/>
      <c r="R82" s="165"/>
      <c r="S82" s="165"/>
      <c r="T82" s="165"/>
      <c r="AB82" t="s">
        <v>82</v>
      </c>
    </row>
    <row r="83" spans="1:44" ht="18" customHeight="1" x14ac:dyDescent="0.3">
      <c r="A83" s="4"/>
      <c r="B83" s="162" t="s">
        <v>418</v>
      </c>
      <c r="C83" s="162"/>
      <c r="D83" s="72"/>
      <c r="E83" s="72"/>
      <c r="F83" s="72"/>
      <c r="G83" s="72"/>
      <c r="H83" s="72"/>
      <c r="I83" s="72"/>
      <c r="J83" s="72"/>
      <c r="K83" s="72"/>
      <c r="L83" s="61"/>
      <c r="M83" s="163"/>
      <c r="N83" s="163"/>
      <c r="O83" s="62"/>
      <c r="P83" s="61"/>
      <c r="Q83" s="164" t="str">
        <f ca="1">IF(ABS(O83-TODAY())&gt;=6575,"","You must be 18 to apply")</f>
        <v/>
      </c>
      <c r="R83" s="164"/>
      <c r="S83" s="164"/>
      <c r="T83" s="164"/>
      <c r="AB83" t="s">
        <v>83</v>
      </c>
    </row>
    <row r="84" spans="1:44" ht="5.0999999999999996" customHeight="1" x14ac:dyDescent="0.3">
      <c r="A84" s="4"/>
      <c r="B84" s="60"/>
      <c r="C84" s="60"/>
      <c r="D84" s="60"/>
      <c r="E84" s="60"/>
      <c r="F84" s="60"/>
      <c r="G84" s="60"/>
      <c r="H84" s="60"/>
      <c r="I84" s="60"/>
      <c r="J84" s="60"/>
      <c r="K84" s="60"/>
      <c r="L84" s="60"/>
      <c r="M84" s="60"/>
      <c r="N84" s="60"/>
      <c r="O84" s="60"/>
      <c r="P84" s="60"/>
      <c r="Q84" s="60"/>
      <c r="R84" s="60"/>
      <c r="S84" s="60"/>
      <c r="T84" s="60"/>
      <c r="AB84" t="s">
        <v>84</v>
      </c>
    </row>
    <row r="85" spans="1:44" ht="24.95" customHeight="1" x14ac:dyDescent="0.3">
      <c r="A85" s="4"/>
      <c r="B85" s="91" t="s">
        <v>425</v>
      </c>
      <c r="C85" s="91"/>
      <c r="D85" s="91"/>
      <c r="E85" s="91"/>
      <c r="F85" s="91"/>
      <c r="G85" s="91"/>
      <c r="H85" s="91"/>
      <c r="I85" s="91"/>
      <c r="J85" s="91"/>
      <c r="K85" s="91"/>
      <c r="L85" s="91"/>
      <c r="M85" s="91"/>
      <c r="N85" s="91"/>
      <c r="O85" s="91"/>
      <c r="P85" s="91"/>
      <c r="Q85" s="91"/>
      <c r="R85" s="91"/>
      <c r="S85" s="91"/>
      <c r="T85" s="91"/>
      <c r="AB85" t="s">
        <v>85</v>
      </c>
    </row>
    <row r="86" spans="1:44" ht="27" customHeight="1" x14ac:dyDescent="0.3">
      <c r="A86" s="4"/>
      <c r="B86" s="74" t="s">
        <v>422</v>
      </c>
      <c r="C86" s="74"/>
      <c r="D86" s="74"/>
      <c r="E86" s="74"/>
      <c r="F86" s="74"/>
      <c r="G86" s="74"/>
      <c r="H86" s="74"/>
      <c r="I86" s="74"/>
      <c r="J86" s="74"/>
      <c r="K86" s="74"/>
      <c r="L86" s="74"/>
      <c r="M86" s="74"/>
      <c r="N86" s="74"/>
      <c r="O86" s="74"/>
      <c r="P86" s="74"/>
      <c r="Q86" s="74"/>
      <c r="R86" s="74"/>
      <c r="S86" s="74"/>
      <c r="T86" s="74"/>
      <c r="AB86" t="s">
        <v>86</v>
      </c>
    </row>
    <row r="87" spans="1:44" s="11" customFormat="1" ht="18" customHeight="1" x14ac:dyDescent="0.3">
      <c r="A87" s="53"/>
      <c r="B87" s="74" t="s">
        <v>423</v>
      </c>
      <c r="C87" s="74"/>
      <c r="D87" s="74"/>
      <c r="E87" s="74"/>
      <c r="F87" s="74"/>
      <c r="G87" s="74"/>
      <c r="H87" s="74"/>
      <c r="I87" s="74"/>
      <c r="J87" s="74"/>
      <c r="K87" s="74"/>
      <c r="L87" s="56"/>
      <c r="M87" s="74" t="s">
        <v>424</v>
      </c>
      <c r="N87" s="74"/>
      <c r="O87" s="74"/>
      <c r="P87" s="56"/>
      <c r="Q87" s="74" t="s">
        <v>413</v>
      </c>
      <c r="R87" s="74"/>
      <c r="S87" s="74"/>
      <c r="T87" s="74"/>
      <c r="U87" s="53"/>
      <c r="AB87" t="s">
        <v>87</v>
      </c>
      <c r="AC87"/>
      <c r="AD87"/>
      <c r="AE87"/>
      <c r="AF87"/>
      <c r="AG87"/>
      <c r="AH87"/>
      <c r="AI87"/>
      <c r="AJ87"/>
      <c r="AK87"/>
      <c r="AL87"/>
      <c r="AM87"/>
      <c r="AN87"/>
      <c r="AO87"/>
      <c r="AP87"/>
      <c r="AQ87"/>
      <c r="AR87"/>
    </row>
    <row r="88" spans="1:44" ht="18" customHeight="1" x14ac:dyDescent="0.3">
      <c r="A88" s="4"/>
      <c r="B88" s="63">
        <v>1</v>
      </c>
      <c r="C88" s="80"/>
      <c r="D88" s="81"/>
      <c r="E88" s="81"/>
      <c r="F88" s="81"/>
      <c r="G88" s="81"/>
      <c r="H88" s="81"/>
      <c r="I88" s="81"/>
      <c r="J88" s="81"/>
      <c r="K88" s="81"/>
      <c r="L88" s="83"/>
      <c r="M88" s="80"/>
      <c r="N88" s="81"/>
      <c r="O88" s="81"/>
      <c r="P88" s="81"/>
      <c r="Q88" s="80"/>
      <c r="R88" s="81"/>
      <c r="S88" s="81"/>
      <c r="T88" s="81"/>
      <c r="AB88" t="s">
        <v>88</v>
      </c>
    </row>
    <row r="89" spans="1:44" ht="18" customHeight="1" x14ac:dyDescent="0.3">
      <c r="A89" s="4"/>
      <c r="B89" s="63">
        <v>2</v>
      </c>
      <c r="C89" s="80"/>
      <c r="D89" s="81"/>
      <c r="E89" s="81"/>
      <c r="F89" s="81"/>
      <c r="G89" s="81"/>
      <c r="H89" s="81"/>
      <c r="I89" s="81"/>
      <c r="J89" s="81"/>
      <c r="K89" s="81"/>
      <c r="L89" s="83"/>
      <c r="M89" s="80"/>
      <c r="N89" s="81"/>
      <c r="O89" s="81"/>
      <c r="P89" s="81"/>
      <c r="Q89" s="80"/>
      <c r="R89" s="81"/>
      <c r="S89" s="81"/>
      <c r="T89" s="81"/>
      <c r="AB89" t="s">
        <v>89</v>
      </c>
    </row>
    <row r="90" spans="1:44" ht="18" customHeight="1" x14ac:dyDescent="0.3">
      <c r="A90" s="4"/>
      <c r="B90" s="63">
        <v>3</v>
      </c>
      <c r="C90" s="80"/>
      <c r="D90" s="81"/>
      <c r="E90" s="81"/>
      <c r="F90" s="81"/>
      <c r="G90" s="81"/>
      <c r="H90" s="81"/>
      <c r="I90" s="81"/>
      <c r="J90" s="81"/>
      <c r="K90" s="81"/>
      <c r="L90" s="83"/>
      <c r="M90" s="80"/>
      <c r="N90" s="81"/>
      <c r="O90" s="81"/>
      <c r="P90" s="81"/>
      <c r="Q90" s="80"/>
      <c r="R90" s="81"/>
      <c r="S90" s="81"/>
      <c r="T90" s="81"/>
      <c r="AB90" t="s">
        <v>90</v>
      </c>
    </row>
    <row r="91" spans="1:44" ht="18" customHeight="1" x14ac:dyDescent="0.3">
      <c r="A91" s="4"/>
      <c r="B91" s="63">
        <v>4</v>
      </c>
      <c r="C91" s="80"/>
      <c r="D91" s="81"/>
      <c r="E91" s="81"/>
      <c r="F91" s="81"/>
      <c r="G91" s="81"/>
      <c r="H91" s="81"/>
      <c r="I91" s="81"/>
      <c r="J91" s="81"/>
      <c r="K91" s="81"/>
      <c r="L91" s="83"/>
      <c r="M91" s="80"/>
      <c r="N91" s="81"/>
      <c r="O91" s="81"/>
      <c r="P91" s="81"/>
      <c r="Q91" s="80"/>
      <c r="R91" s="81"/>
      <c r="S91" s="81"/>
      <c r="T91" s="81"/>
      <c r="AB91" t="s">
        <v>91</v>
      </c>
    </row>
    <row r="92" spans="1:44" ht="5.0999999999999996" customHeight="1" x14ac:dyDescent="0.3">
      <c r="A92" s="4"/>
      <c r="B92" s="64"/>
      <c r="C92" s="64"/>
      <c r="D92" s="64"/>
      <c r="E92" s="64"/>
      <c r="F92" s="64"/>
      <c r="G92" s="64"/>
      <c r="H92" s="64"/>
      <c r="I92" s="64"/>
      <c r="J92" s="64"/>
      <c r="K92" s="64"/>
      <c r="L92" s="64"/>
      <c r="M92" s="64"/>
      <c r="N92" s="64"/>
      <c r="O92" s="64"/>
      <c r="P92" s="64"/>
      <c r="Q92" s="64"/>
      <c r="R92" s="64"/>
      <c r="S92" s="64"/>
      <c r="T92" s="64"/>
      <c r="AB92" t="s">
        <v>92</v>
      </c>
    </row>
    <row r="93" spans="1:44" ht="24.95" customHeight="1" x14ac:dyDescent="0.3">
      <c r="A93" s="4"/>
      <c r="B93" s="91" t="s">
        <v>332</v>
      </c>
      <c r="C93" s="91"/>
      <c r="D93" s="91"/>
      <c r="E93" s="91"/>
      <c r="F93" s="91"/>
      <c r="G93" s="91"/>
      <c r="H93" s="91"/>
      <c r="I93" s="91"/>
      <c r="J93" s="91"/>
      <c r="K93" s="91"/>
      <c r="L93" s="91"/>
      <c r="M93" s="91"/>
      <c r="N93" s="91"/>
      <c r="O93" s="91"/>
      <c r="P93" s="91"/>
      <c r="Q93" s="91"/>
      <c r="R93" s="91"/>
      <c r="S93" s="91"/>
      <c r="T93" s="91"/>
      <c r="AB93" t="s">
        <v>93</v>
      </c>
    </row>
    <row r="94" spans="1:44" ht="93" customHeight="1" x14ac:dyDescent="0.3">
      <c r="A94" s="4"/>
      <c r="B94" s="92" t="s">
        <v>338</v>
      </c>
      <c r="C94" s="92"/>
      <c r="D94" s="92"/>
      <c r="E94" s="92"/>
      <c r="F94" s="92"/>
      <c r="G94" s="92"/>
      <c r="H94" s="92"/>
      <c r="I94" s="92"/>
      <c r="J94" s="92"/>
      <c r="K94" s="92"/>
      <c r="L94" s="92"/>
      <c r="M94" s="92"/>
      <c r="N94" s="92"/>
      <c r="O94" s="92"/>
      <c r="P94" s="92"/>
      <c r="Q94" s="92"/>
      <c r="R94" s="92"/>
      <c r="S94" s="92"/>
      <c r="T94" s="92"/>
      <c r="AB94" t="s">
        <v>94</v>
      </c>
    </row>
    <row r="95" spans="1:44" ht="43.5" customHeight="1" x14ac:dyDescent="0.3">
      <c r="A95" s="4"/>
      <c r="B95" s="93"/>
      <c r="C95" s="94"/>
      <c r="D95" s="94"/>
      <c r="E95" s="94"/>
      <c r="F95" s="94"/>
      <c r="G95" s="94"/>
      <c r="H95" s="94"/>
      <c r="I95" s="94"/>
      <c r="J95" s="94"/>
      <c r="K95" s="94"/>
      <c r="L95" s="94"/>
      <c r="M95" s="94"/>
      <c r="N95" s="94"/>
      <c r="O95" s="94"/>
      <c r="P95" s="94"/>
      <c r="Q95" s="94"/>
      <c r="R95" s="94"/>
      <c r="S95" s="94"/>
      <c r="T95" s="95"/>
      <c r="AB95" t="s">
        <v>95</v>
      </c>
    </row>
    <row r="96" spans="1:44" ht="5.0999999999999996" customHeight="1" x14ac:dyDescent="0.3">
      <c r="A96" s="4"/>
      <c r="B96" s="64"/>
      <c r="C96" s="64"/>
      <c r="D96" s="64"/>
      <c r="E96" s="64"/>
      <c r="F96" s="64"/>
      <c r="G96" s="64"/>
      <c r="H96" s="64"/>
      <c r="I96" s="64"/>
      <c r="J96" s="64"/>
      <c r="K96" s="64"/>
      <c r="L96" s="64"/>
      <c r="M96" s="64"/>
      <c r="N96" s="64"/>
      <c r="O96" s="64"/>
      <c r="P96" s="64"/>
      <c r="Q96" s="64"/>
      <c r="R96" s="64"/>
      <c r="S96" s="64"/>
      <c r="T96" s="64"/>
      <c r="AB96" t="s">
        <v>96</v>
      </c>
    </row>
    <row r="97" spans="1:28" ht="18" customHeight="1" x14ac:dyDescent="0.3">
      <c r="A97" s="4"/>
      <c r="B97" s="74" t="s">
        <v>427</v>
      </c>
      <c r="C97" s="74"/>
      <c r="D97" s="74"/>
      <c r="E97" s="74"/>
      <c r="F97" s="74"/>
      <c r="G97" s="74"/>
      <c r="H97" s="74"/>
      <c r="I97" s="74"/>
      <c r="J97" s="74"/>
      <c r="K97" s="74"/>
      <c r="L97" s="74"/>
      <c r="M97" s="74"/>
      <c r="N97" s="74"/>
      <c r="O97" s="74"/>
      <c r="P97" s="74"/>
      <c r="Q97" s="74"/>
      <c r="R97" s="74"/>
      <c r="S97" s="74"/>
      <c r="T97" s="74"/>
      <c r="AB97" t="s">
        <v>97</v>
      </c>
    </row>
    <row r="98" spans="1:28" ht="18" customHeight="1" x14ac:dyDescent="0.3">
      <c r="A98" s="4"/>
      <c r="B98" s="71" t="s">
        <v>426</v>
      </c>
      <c r="C98" s="71"/>
      <c r="D98" s="72"/>
      <c r="E98" s="72"/>
      <c r="F98" s="72"/>
      <c r="G98" s="72"/>
      <c r="H98" s="72"/>
      <c r="I98" s="72"/>
      <c r="J98" s="72"/>
      <c r="K98" s="72"/>
      <c r="L98" s="52"/>
      <c r="M98" s="73" t="str">
        <f>IF(D98="YES","In order to apply for this role, you must not have any unspent criminal convictions","")</f>
        <v/>
      </c>
      <c r="N98" s="73"/>
      <c r="O98" s="73"/>
      <c r="P98" s="73"/>
      <c r="Q98" s="73"/>
      <c r="R98" s="73"/>
      <c r="S98" s="73"/>
      <c r="T98" s="73"/>
      <c r="AB98" t="s">
        <v>98</v>
      </c>
    </row>
    <row r="99" spans="1:28" customFormat="1" ht="9.9499999999999993" customHeight="1" x14ac:dyDescent="0.3">
      <c r="B99" s="65"/>
      <c r="C99" s="65"/>
      <c r="D99" s="65"/>
      <c r="E99" s="65"/>
      <c r="F99" s="65"/>
      <c r="G99" s="65"/>
      <c r="H99" s="65"/>
      <c r="I99" s="65"/>
      <c r="J99" s="65"/>
      <c r="K99" s="65"/>
      <c r="L99" s="65"/>
      <c r="M99" s="65"/>
      <c r="N99" s="65"/>
      <c r="O99" s="65"/>
      <c r="P99" s="65"/>
      <c r="Q99" s="65"/>
      <c r="R99" s="65"/>
      <c r="S99" s="65"/>
      <c r="T99" s="65"/>
      <c r="AB99" t="s">
        <v>99</v>
      </c>
    </row>
    <row r="100" spans="1:28" ht="24.95" customHeight="1" x14ac:dyDescent="0.3">
      <c r="A100" s="4"/>
      <c r="B100" s="91" t="s">
        <v>370</v>
      </c>
      <c r="C100" s="91"/>
      <c r="D100" s="91"/>
      <c r="E100" s="91"/>
      <c r="F100" s="91"/>
      <c r="G100" s="91"/>
      <c r="H100" s="91"/>
      <c r="I100" s="91"/>
      <c r="J100" s="91"/>
      <c r="K100" s="91"/>
      <c r="L100" s="91"/>
      <c r="M100" s="91"/>
      <c r="N100" s="91"/>
      <c r="O100" s="91"/>
      <c r="P100" s="91"/>
      <c r="Q100" s="91"/>
      <c r="R100" s="91"/>
      <c r="S100" s="91"/>
      <c r="T100" s="91"/>
      <c r="AB100" t="s">
        <v>100</v>
      </c>
    </row>
    <row r="101" spans="1:28" ht="252.75" customHeight="1" x14ac:dyDescent="0.3">
      <c r="A101" s="4"/>
      <c r="B101" s="92" t="s">
        <v>371</v>
      </c>
      <c r="C101" s="92"/>
      <c r="D101" s="92"/>
      <c r="E101" s="92"/>
      <c r="F101" s="92"/>
      <c r="G101" s="92"/>
      <c r="H101" s="92"/>
      <c r="I101" s="92"/>
      <c r="J101" s="92"/>
      <c r="K101" s="92"/>
      <c r="L101" s="92"/>
      <c r="M101" s="92"/>
      <c r="N101" s="92"/>
      <c r="O101" s="92"/>
      <c r="P101" s="92"/>
      <c r="Q101" s="92"/>
      <c r="R101" s="92"/>
      <c r="S101" s="92"/>
      <c r="T101" s="92"/>
      <c r="AB101" t="s">
        <v>101</v>
      </c>
    </row>
    <row r="102" spans="1:28" ht="43.5" customHeight="1" x14ac:dyDescent="0.3">
      <c r="A102" s="4"/>
      <c r="B102" s="93"/>
      <c r="C102" s="94"/>
      <c r="D102" s="94"/>
      <c r="E102" s="94"/>
      <c r="F102" s="94"/>
      <c r="G102" s="94"/>
      <c r="H102" s="94"/>
      <c r="I102" s="94"/>
      <c r="J102" s="94"/>
      <c r="K102" s="94"/>
      <c r="L102" s="94"/>
      <c r="M102" s="94"/>
      <c r="N102" s="94"/>
      <c r="O102" s="94"/>
      <c r="P102" s="94"/>
      <c r="Q102" s="94"/>
      <c r="R102" s="94"/>
      <c r="S102" s="94"/>
      <c r="T102" s="95"/>
      <c r="AB102" t="s">
        <v>102</v>
      </c>
    </row>
    <row r="103" spans="1:28" ht="5.0999999999999996" customHeight="1" x14ac:dyDescent="0.3">
      <c r="A103" s="4"/>
      <c r="B103" s="64"/>
      <c r="C103" s="64"/>
      <c r="D103" s="64"/>
      <c r="E103" s="64"/>
      <c r="F103" s="64"/>
      <c r="G103" s="64"/>
      <c r="H103" s="64"/>
      <c r="I103" s="64"/>
      <c r="J103" s="64"/>
      <c r="K103" s="64"/>
      <c r="L103" s="64"/>
      <c r="M103" s="64"/>
      <c r="N103" s="64"/>
      <c r="O103" s="64"/>
      <c r="P103" s="64"/>
      <c r="Q103" s="64"/>
      <c r="R103" s="64"/>
      <c r="S103" s="64"/>
      <c r="T103" s="64"/>
      <c r="AB103" t="s">
        <v>103</v>
      </c>
    </row>
    <row r="104" spans="1:28" ht="63" customHeight="1" x14ac:dyDescent="0.3">
      <c r="A104" s="4"/>
      <c r="B104" s="155" t="s">
        <v>449</v>
      </c>
      <c r="C104" s="155"/>
      <c r="D104" s="155"/>
      <c r="E104" s="155"/>
      <c r="F104" s="155"/>
      <c r="G104" s="155"/>
      <c r="H104" s="155"/>
      <c r="I104" s="155"/>
      <c r="J104" s="155"/>
      <c r="K104" s="155"/>
      <c r="L104" s="155"/>
      <c r="M104" s="155"/>
      <c r="N104" s="155"/>
      <c r="O104" s="155"/>
      <c r="P104" s="155"/>
      <c r="Q104" s="155"/>
      <c r="R104" s="155"/>
      <c r="S104" s="155"/>
      <c r="T104" s="155"/>
      <c r="AB104" t="s">
        <v>104</v>
      </c>
    </row>
    <row r="105" spans="1:28" ht="42" customHeight="1" x14ac:dyDescent="0.3">
      <c r="A105" s="4"/>
      <c r="B105" s="156" t="s">
        <v>347</v>
      </c>
      <c r="C105" s="156"/>
      <c r="D105" s="157" t="str">
        <f ca="1">IF(Y109=0,"",IF(Z109=0,"COMPLETE","INCOMPLETE"))</f>
        <v/>
      </c>
      <c r="E105" s="157"/>
      <c r="F105" s="157"/>
      <c r="G105" s="157"/>
      <c r="H105" s="157"/>
      <c r="I105" s="157"/>
      <c r="J105" s="157"/>
      <c r="K105" s="157"/>
      <c r="L105" s="157"/>
      <c r="M105" s="157"/>
      <c r="N105" s="157"/>
      <c r="O105" s="158"/>
      <c r="P105" s="15"/>
      <c r="Q105" s="159"/>
      <c r="R105" s="159"/>
      <c r="S105" s="159"/>
      <c r="T105" s="159"/>
      <c r="AB105" t="s">
        <v>105</v>
      </c>
    </row>
    <row r="106" spans="1:28" ht="9.9499999999999993" customHeight="1" x14ac:dyDescent="0.3">
      <c r="A106" s="4"/>
      <c r="B106" s="4"/>
      <c r="C106" s="6"/>
      <c r="D106" s="6"/>
      <c r="E106" s="6"/>
      <c r="F106" s="6"/>
      <c r="G106" s="6"/>
      <c r="H106" s="6"/>
      <c r="I106" s="6"/>
      <c r="J106" s="6"/>
      <c r="K106" s="4"/>
      <c r="L106" s="4"/>
      <c r="M106" s="4"/>
      <c r="N106" s="4"/>
      <c r="O106" s="4"/>
      <c r="P106" s="4"/>
      <c r="Q106" s="4"/>
      <c r="R106" s="4"/>
      <c r="S106" s="4"/>
      <c r="T106" s="4"/>
      <c r="AB106" t="s">
        <v>106</v>
      </c>
    </row>
    <row r="107" spans="1:28" hidden="1" x14ac:dyDescent="0.3">
      <c r="A107" s="4"/>
      <c r="B107" s="4"/>
      <c r="C107" s="6"/>
      <c r="D107" s="6"/>
      <c r="E107" s="6"/>
      <c r="F107" s="6"/>
      <c r="G107" s="6"/>
      <c r="H107" s="6"/>
      <c r="I107" s="6"/>
      <c r="J107" s="6"/>
      <c r="K107" s="4"/>
      <c r="L107" s="4"/>
      <c r="M107" s="4"/>
      <c r="N107" s="4"/>
      <c r="O107" s="4"/>
      <c r="P107" s="4"/>
      <c r="Q107" s="4"/>
      <c r="R107" s="4"/>
      <c r="S107" s="4"/>
      <c r="T107" s="4"/>
      <c r="W107" s="9" t="s">
        <v>380</v>
      </c>
      <c r="AB107" t="s">
        <v>107</v>
      </c>
    </row>
    <row r="108" spans="1:28" hidden="1" x14ac:dyDescent="0.3">
      <c r="C108" s="5"/>
      <c r="D108" s="5"/>
      <c r="E108" s="5"/>
      <c r="F108" s="5"/>
      <c r="G108" s="5"/>
      <c r="H108" s="5"/>
      <c r="I108" s="5"/>
      <c r="J108" s="5"/>
      <c r="W108" s="9" t="s">
        <v>344</v>
      </c>
      <c r="AB108" t="s">
        <v>108</v>
      </c>
    </row>
    <row r="109" spans="1:28" hidden="1" x14ac:dyDescent="0.3">
      <c r="C109" s="5"/>
      <c r="D109" s="5"/>
      <c r="E109" s="5"/>
      <c r="F109" s="5"/>
      <c r="G109" s="5"/>
      <c r="H109" s="5"/>
      <c r="I109" s="5"/>
      <c r="J109" s="5"/>
      <c r="Y109" s="43">
        <f ca="1">SUM(Y111:Y192)</f>
        <v>0</v>
      </c>
      <c r="Z109" s="43">
        <f ca="1">IF(Y109=0,0,SUM(Z111:Z192))</f>
        <v>0</v>
      </c>
      <c r="AA109" s="68"/>
      <c r="AB109" t="s">
        <v>109</v>
      </c>
    </row>
    <row r="110" spans="1:28" hidden="1" x14ac:dyDescent="0.3">
      <c r="C110" s="5"/>
      <c r="D110" s="5"/>
      <c r="E110" s="5"/>
      <c r="F110" s="5"/>
      <c r="G110" s="5"/>
      <c r="H110" s="5"/>
      <c r="I110" s="5"/>
      <c r="J110" s="5"/>
      <c r="W110" s="43" t="s">
        <v>341</v>
      </c>
      <c r="X110" s="43" t="s">
        <v>342</v>
      </c>
      <c r="Y110" s="43" t="s">
        <v>343</v>
      </c>
      <c r="Z110" s="43" t="s">
        <v>345</v>
      </c>
      <c r="AA110" s="68"/>
      <c r="AB110" t="s">
        <v>110</v>
      </c>
    </row>
    <row r="111" spans="1:28" hidden="1" x14ac:dyDescent="0.3">
      <c r="C111" s="5"/>
      <c r="D111" s="5"/>
      <c r="E111" s="5"/>
      <c r="F111" s="5"/>
      <c r="G111" s="5"/>
      <c r="H111" s="5"/>
      <c r="I111" s="5"/>
      <c r="J111" s="5"/>
      <c r="W111" s="44" t="s">
        <v>181</v>
      </c>
      <c r="X111" s="45" t="str">
        <f ca="1">IF(INDIRECT("$D$5")=0,"",INDIRECT("$D$5"))</f>
        <v/>
      </c>
      <c r="Y111" s="43">
        <f t="shared" ref="Y111:Y174" ca="1" si="0">LEN(X111)</f>
        <v>0</v>
      </c>
      <c r="Z111" s="43">
        <f ca="1">IF($Y$109=0,0,IF(Y111&gt;30,1,IF(LEN(X111)=0,1,0)))</f>
        <v>0</v>
      </c>
      <c r="AA111" s="68"/>
      <c r="AB111" t="s">
        <v>111</v>
      </c>
    </row>
    <row r="112" spans="1:28" hidden="1" x14ac:dyDescent="0.3">
      <c r="C112" s="5"/>
      <c r="D112" s="5"/>
      <c r="E112" s="5"/>
      <c r="F112" s="5"/>
      <c r="G112" s="5"/>
      <c r="H112" s="5"/>
      <c r="I112" s="5"/>
      <c r="J112" s="5"/>
      <c r="W112" s="44" t="s">
        <v>182</v>
      </c>
      <c r="X112" s="45" t="str">
        <f ca="1">IF(INDIRECT("$O$5")=0,"",INDIRECT("$O$5"))</f>
        <v/>
      </c>
      <c r="Y112" s="43">
        <f t="shared" ca="1" si="0"/>
        <v>0</v>
      </c>
      <c r="Z112" s="43">
        <f ca="1">IF($Y$109=0,0,IF(Y112&gt;30,1,IF(LEN(X112)=0,1,0)))</f>
        <v>0</v>
      </c>
      <c r="AA112" s="68"/>
      <c r="AB112" t="s">
        <v>112</v>
      </c>
    </row>
    <row r="113" spans="3:28" hidden="1" x14ac:dyDescent="0.3">
      <c r="C113" s="5"/>
      <c r="D113" s="5"/>
      <c r="E113" s="5"/>
      <c r="F113" s="5"/>
      <c r="G113" s="5"/>
      <c r="H113" s="5"/>
      <c r="I113" s="5"/>
      <c r="J113" s="5"/>
      <c r="W113" s="44" t="s">
        <v>183</v>
      </c>
      <c r="X113" s="45" t="str">
        <f ca="1">IF(INDIRECT("$S$5")=0,"",INDIRECT("$S$5"))</f>
        <v/>
      </c>
      <c r="Y113" s="43">
        <f t="shared" ca="1" si="0"/>
        <v>0</v>
      </c>
      <c r="Z113" s="43">
        <f ca="1">IF($Y$109=0,0,IF(LEN(X113)=0,1,IF(COUNTIF(AD2:AD17,'Application Form'!X113)=0,1,0)))</f>
        <v>0</v>
      </c>
      <c r="AA113" s="68"/>
      <c r="AB113" t="s">
        <v>113</v>
      </c>
    </row>
    <row r="114" spans="3:28" hidden="1" x14ac:dyDescent="0.3">
      <c r="C114" s="5"/>
      <c r="D114" s="5"/>
      <c r="E114" s="5"/>
      <c r="F114" s="5"/>
      <c r="G114" s="5"/>
      <c r="H114" s="5"/>
      <c r="I114" s="5"/>
      <c r="J114" s="5"/>
      <c r="W114" s="44" t="s">
        <v>175</v>
      </c>
      <c r="X114" s="45" t="str">
        <f ca="1">IF(INDIRECT("$D$7")=0,"",INDIRECT("$D$7"))</f>
        <v/>
      </c>
      <c r="Y114" s="43">
        <f t="shared" ca="1" si="0"/>
        <v>0</v>
      </c>
      <c r="Z114" s="43">
        <f ca="1">IF($Y$109=0,0,IF(Y114&gt;30,1,IF(LEN(X114)=0,1,0)))</f>
        <v>0</v>
      </c>
      <c r="AA114" s="68"/>
      <c r="AB114" t="s">
        <v>114</v>
      </c>
    </row>
    <row r="115" spans="3:28" hidden="1" x14ac:dyDescent="0.3">
      <c r="C115" s="5"/>
      <c r="D115" s="5"/>
      <c r="E115" s="5"/>
      <c r="F115" s="5"/>
      <c r="G115" s="5"/>
      <c r="H115" s="5"/>
      <c r="I115" s="5"/>
      <c r="J115" s="5"/>
      <c r="W115" s="44" t="s">
        <v>176</v>
      </c>
      <c r="X115" s="45" t="str">
        <f ca="1">IF(INDIRECT("$D$8")=0,"",INDIRECT("$D$8"))</f>
        <v/>
      </c>
      <c r="Y115" s="43">
        <f t="shared" ca="1" si="0"/>
        <v>0</v>
      </c>
      <c r="Z115" s="43">
        <f ca="1">IF($Y$109=0,0,IF(Y115&gt;30,1,IF(Y114=0,1,0)))</f>
        <v>0</v>
      </c>
      <c r="AA115" s="68"/>
      <c r="AB115" t="s">
        <v>115</v>
      </c>
    </row>
    <row r="116" spans="3:28" hidden="1" x14ac:dyDescent="0.3">
      <c r="C116" s="5"/>
      <c r="D116" s="5"/>
      <c r="E116" s="5"/>
      <c r="F116" s="5"/>
      <c r="G116" s="5"/>
      <c r="H116" s="5"/>
      <c r="I116" s="5"/>
      <c r="J116" s="5"/>
      <c r="W116" s="44" t="s">
        <v>177</v>
      </c>
      <c r="X116" s="45" t="str">
        <f ca="1">IF(INDIRECT("$D$9")=0,"",INDIRECT("$D$9"))</f>
        <v/>
      </c>
      <c r="Y116" s="43">
        <f t="shared" ca="1" si="0"/>
        <v>0</v>
      </c>
      <c r="Z116" s="43">
        <f ca="1">IF($Y$109=0,0,IF(Y116&gt;30,1,IF(Y115=0,IF(Y114=0,1,0),0)))</f>
        <v>0</v>
      </c>
      <c r="AA116" s="68"/>
      <c r="AB116" t="s">
        <v>116</v>
      </c>
    </row>
    <row r="117" spans="3:28" hidden="1" x14ac:dyDescent="0.3">
      <c r="C117" s="5"/>
      <c r="D117" s="5"/>
      <c r="E117" s="5"/>
      <c r="F117" s="5"/>
      <c r="G117" s="5"/>
      <c r="H117" s="5"/>
      <c r="I117" s="5"/>
      <c r="J117" s="5"/>
      <c r="W117" s="44" t="s">
        <v>346</v>
      </c>
      <c r="X117" s="45" t="str">
        <f ca="1">IF(INDIRECT("$O$7")=0,"",INDIRECT("$O$7"))</f>
        <v/>
      </c>
      <c r="Y117" s="43">
        <f t="shared" ca="1" si="0"/>
        <v>0</v>
      </c>
      <c r="Z117" s="43">
        <f ca="1">IF($Y$109=0,0,IF(OR(LEN(X117)=0,LEN(X117)&gt;30),1,0))</f>
        <v>0</v>
      </c>
      <c r="AA117" s="68"/>
      <c r="AB117" t="s">
        <v>117</v>
      </c>
    </row>
    <row r="118" spans="3:28" hidden="1" x14ac:dyDescent="0.3">
      <c r="C118" s="5"/>
      <c r="D118" s="5"/>
      <c r="E118" s="5"/>
      <c r="F118" s="5"/>
      <c r="G118" s="5"/>
      <c r="H118" s="5"/>
      <c r="I118" s="5"/>
      <c r="J118" s="5"/>
      <c r="W118" s="44" t="s">
        <v>180</v>
      </c>
      <c r="X118" s="45" t="str">
        <f ca="1">IF(INDIRECT("$O$8")=0,"",INDIRECT("$O$8"))</f>
        <v/>
      </c>
      <c r="Y118" s="43">
        <f t="shared" ca="1" si="0"/>
        <v>0</v>
      </c>
      <c r="Z118" s="43">
        <f ca="1">IF($Y$109=0,0,IF(Y118&gt;20,1,0))</f>
        <v>0</v>
      </c>
      <c r="AA118" s="68"/>
      <c r="AB118" t="s">
        <v>118</v>
      </c>
    </row>
    <row r="119" spans="3:28" hidden="1" x14ac:dyDescent="0.3">
      <c r="C119" s="5"/>
      <c r="D119" s="5"/>
      <c r="E119" s="5"/>
      <c r="F119" s="5"/>
      <c r="G119" s="5"/>
      <c r="H119" s="5"/>
      <c r="I119" s="5"/>
      <c r="J119" s="5"/>
      <c r="W119" s="44" t="s">
        <v>179</v>
      </c>
      <c r="X119" s="45" t="str">
        <f ca="1">IF(INDIRECT("$O$9")=0,"",INDIRECT("$O$9"))</f>
        <v/>
      </c>
      <c r="Y119" s="43">
        <f t="shared" ca="1" si="0"/>
        <v>0</v>
      </c>
      <c r="Z119" s="43">
        <f ca="1">IF($Y$109=0,0,IF(LEN(X119)=0,1,IF(COUNTIF($AH$2:$AH$77,X119)&gt;0,0,1)))</f>
        <v>0</v>
      </c>
      <c r="AA119" s="68"/>
      <c r="AB119" t="s">
        <v>119</v>
      </c>
    </row>
    <row r="120" spans="3:28" hidden="1" x14ac:dyDescent="0.3">
      <c r="C120" s="5"/>
      <c r="D120" s="5"/>
      <c r="E120" s="5"/>
      <c r="F120" s="5"/>
      <c r="G120" s="5"/>
      <c r="H120" s="5"/>
      <c r="I120" s="5"/>
      <c r="J120" s="5"/>
      <c r="W120" s="44" t="s">
        <v>0</v>
      </c>
      <c r="X120" s="45" t="str">
        <f ca="1">IF(INDIRECT("$S$7")=0,"",INDIRECT("$S$7"))</f>
        <v/>
      </c>
      <c r="Y120" s="43">
        <f t="shared" ca="1" si="0"/>
        <v>0</v>
      </c>
      <c r="Z120" s="43">
        <f ca="1">IF($Y$109=0,0,IF(OR(LEN(X120)=0,LEN(X120)&gt;12),1,0))</f>
        <v>0</v>
      </c>
      <c r="AA120" s="68"/>
      <c r="AB120" t="s">
        <v>120</v>
      </c>
    </row>
    <row r="121" spans="3:28" hidden="1" x14ac:dyDescent="0.3">
      <c r="C121" s="5"/>
      <c r="D121" s="5"/>
      <c r="E121" s="5"/>
      <c r="F121" s="5"/>
      <c r="G121" s="5"/>
      <c r="H121" s="5"/>
      <c r="I121" s="5"/>
      <c r="J121" s="5"/>
      <c r="W121" s="44" t="s">
        <v>170</v>
      </c>
      <c r="X121" s="45" t="str">
        <f ca="1">IF(INDIRECT("$D$11")=0,"",INDIRECT("$D$11"))</f>
        <v/>
      </c>
      <c r="Y121" s="43">
        <f t="shared" ca="1" si="0"/>
        <v>0</v>
      </c>
      <c r="Z121" s="43">
        <f ca="1">IF($Y$109=0,0,IF(COUNTIF(AF2:AF3,UPPER(X121))&gt;0,0,1))</f>
        <v>0</v>
      </c>
      <c r="AA121" s="68"/>
      <c r="AB121" t="s">
        <v>121</v>
      </c>
    </row>
    <row r="122" spans="3:28" hidden="1" x14ac:dyDescent="0.3">
      <c r="C122" s="5"/>
      <c r="D122" s="5"/>
      <c r="E122" s="5"/>
      <c r="F122" s="5"/>
      <c r="G122" s="5"/>
      <c r="H122" s="5"/>
      <c r="I122" s="5"/>
      <c r="J122" s="5"/>
      <c r="W122" s="43" t="s">
        <v>328</v>
      </c>
      <c r="X122" s="46" t="str">
        <f ca="1">IF(INDIRECT("$O$11")=0,"",INDIRECT("$O$11"))</f>
        <v/>
      </c>
      <c r="Y122" s="43">
        <f t="shared" ca="1" si="0"/>
        <v>0</v>
      </c>
      <c r="Z122" s="43">
        <f ca="1">IF($Y$109=0,0,IF(Y122&gt;10,1,IF(LEN(X122)=0,1,IF(ABS(O11-TODAY())&gt;=6575,0,1))))</f>
        <v>0</v>
      </c>
      <c r="AA122" s="68"/>
      <c r="AB122" t="s">
        <v>122</v>
      </c>
    </row>
    <row r="123" spans="3:28" hidden="1" x14ac:dyDescent="0.3">
      <c r="C123" s="5"/>
      <c r="D123" s="5"/>
      <c r="E123" s="5"/>
      <c r="F123" s="5"/>
      <c r="G123" s="5"/>
      <c r="H123" s="5"/>
      <c r="I123" s="5"/>
      <c r="J123" s="5"/>
      <c r="W123" s="44" t="s">
        <v>1</v>
      </c>
      <c r="X123" s="46" t="str">
        <f ca="1">IF(INDIRECT("$S$20")=0,"",INDIRECT("$S$20"))</f>
        <v/>
      </c>
      <c r="Y123" s="43">
        <f t="shared" ca="1" si="0"/>
        <v>0</v>
      </c>
      <c r="Z123" s="43">
        <f ca="1">IF($Y$109=0,0,IF(X130="NO",IF(LEN(X123)&gt;0,1,0),IF(LEN(X123)=0,1,IF(COUNTIF($AB$2:$AB$166,'Application Form'!X123)=0,1,0))))</f>
        <v>0</v>
      </c>
      <c r="AA123" s="68"/>
      <c r="AB123" t="s">
        <v>123</v>
      </c>
    </row>
    <row r="124" spans="3:28" hidden="1" x14ac:dyDescent="0.3">
      <c r="C124" s="5"/>
      <c r="D124" s="5"/>
      <c r="E124" s="5"/>
      <c r="F124" s="5"/>
      <c r="G124" s="5"/>
      <c r="H124" s="5"/>
      <c r="I124" s="5"/>
      <c r="J124" s="5"/>
      <c r="W124" s="43" t="s">
        <v>335</v>
      </c>
      <c r="X124" s="45" t="str">
        <f ca="1">IF(INDIRECT("$D$12")=0,"",INDIRECT("$D$12"))</f>
        <v/>
      </c>
      <c r="Y124" s="43">
        <f t="shared" ca="1" si="0"/>
        <v>0</v>
      </c>
      <c r="Z124" s="43">
        <f ca="1">IF($Y$109=0,0,IF(Y124&gt;30,1,IF(LEN(X124)=0,1,0)))</f>
        <v>0</v>
      </c>
      <c r="AA124" s="68"/>
      <c r="AB124" t="s">
        <v>124</v>
      </c>
    </row>
    <row r="125" spans="3:28" hidden="1" x14ac:dyDescent="0.3">
      <c r="C125" s="5"/>
      <c r="D125" s="5"/>
      <c r="E125" s="5"/>
      <c r="F125" s="5"/>
      <c r="G125" s="5"/>
      <c r="H125" s="5"/>
      <c r="I125" s="5"/>
      <c r="J125" s="5"/>
      <c r="W125" s="43" t="s">
        <v>187</v>
      </c>
      <c r="X125" s="45" t="str">
        <f ca="1">IF(INDIRECT("$O$12")=0,"",INDIRECT("$O$12"))</f>
        <v/>
      </c>
      <c r="Y125" s="43">
        <f t="shared" ca="1" si="0"/>
        <v>0</v>
      </c>
      <c r="Z125" s="43">
        <f ca="1">IF($Y$109=0,0,IF(Y125&gt;30,1,IF(LEN(X125)=0,1,0)))</f>
        <v>0</v>
      </c>
      <c r="AA125" s="68"/>
      <c r="AB125" t="s">
        <v>125</v>
      </c>
    </row>
    <row r="126" spans="3:28" hidden="1" x14ac:dyDescent="0.3">
      <c r="C126" s="5"/>
      <c r="D126" s="5"/>
      <c r="E126" s="5"/>
      <c r="F126" s="5"/>
      <c r="G126" s="5"/>
      <c r="H126" s="5"/>
      <c r="I126" s="5"/>
      <c r="J126" s="5"/>
      <c r="W126" s="43" t="s">
        <v>188</v>
      </c>
      <c r="X126" s="45" t="str">
        <f ca="1">IF(INDIRECT("$S$12")=0,"",INDIRECT("$S$12"))</f>
        <v/>
      </c>
      <c r="Y126" s="43">
        <f t="shared" ca="1" si="0"/>
        <v>0</v>
      </c>
      <c r="Z126" s="43">
        <f ca="1">IF($Y$109=0,0,IF(Y126&gt;30,1,IF(LEN(X126)=0,1,0)))</f>
        <v>0</v>
      </c>
      <c r="AA126" s="68"/>
      <c r="AB126" t="s">
        <v>126</v>
      </c>
    </row>
    <row r="127" spans="3:28" hidden="1" x14ac:dyDescent="0.3">
      <c r="C127" s="5"/>
      <c r="D127" s="5"/>
      <c r="E127" s="5"/>
      <c r="F127" s="5"/>
      <c r="G127" s="5"/>
      <c r="H127" s="5"/>
      <c r="I127" s="5"/>
      <c r="J127" s="5"/>
      <c r="W127" s="44" t="s">
        <v>289</v>
      </c>
      <c r="X127" s="45" t="str">
        <f ca="1">IF(INDIRECT("$D$14")=0,"",INDIRECT("$D$14"))</f>
        <v/>
      </c>
      <c r="Y127" s="43">
        <f t="shared" ca="1" si="0"/>
        <v>0</v>
      </c>
      <c r="Z127" s="43">
        <f ca="1">IF($Y$109=0,0,IF(LEN(X127)&gt;40,1,0))</f>
        <v>0</v>
      </c>
      <c r="AA127" s="68"/>
      <c r="AB127" t="s">
        <v>127</v>
      </c>
    </row>
    <row r="128" spans="3:28" hidden="1" x14ac:dyDescent="0.3">
      <c r="C128" s="5"/>
      <c r="D128" s="5"/>
      <c r="E128" s="5"/>
      <c r="F128" s="5"/>
      <c r="G128" s="5"/>
      <c r="H128" s="5"/>
      <c r="I128" s="5"/>
      <c r="J128" s="5"/>
      <c r="W128" s="44" t="s">
        <v>171</v>
      </c>
      <c r="X128" s="45" t="str">
        <f ca="1">IF(INDIRECT("$O$20")=0,"",INDIRECT("$O$20"))</f>
        <v/>
      </c>
      <c r="Y128" s="43">
        <f t="shared" ca="1" si="0"/>
        <v>0</v>
      </c>
      <c r="Z128" s="43">
        <f ca="1">IF($Y$109=0,0,IF(X130="NO",IF(LEN(X128)&gt;0,1,0),IF(LEN(X128)=0,1,0)))</f>
        <v>0</v>
      </c>
      <c r="AA128" s="68"/>
      <c r="AB128" t="s">
        <v>128</v>
      </c>
    </row>
    <row r="129" spans="3:45" hidden="1" x14ac:dyDescent="0.3">
      <c r="C129" s="5"/>
      <c r="D129" s="5"/>
      <c r="E129" s="5"/>
      <c r="F129" s="5"/>
      <c r="G129" s="5"/>
      <c r="H129" s="5"/>
      <c r="I129" s="5"/>
      <c r="J129" s="5"/>
      <c r="W129" s="44" t="s">
        <v>172</v>
      </c>
      <c r="X129" s="45" t="str">
        <f ca="1">IF(INDIRECT("$D$20")=0,"",INDIRECT("$D$20"))</f>
        <v/>
      </c>
      <c r="Y129" s="43">
        <f t="shared" ca="1" si="0"/>
        <v>0</v>
      </c>
      <c r="Z129" s="43">
        <f ca="1">IF($Y$109=0,0,IF(X130="NO",IF(LEN(X129)&gt;0,1,0),IF(LEN(X129)=0,1,IF(COUNTIF($AH$2:$AH$77,X129)&gt;0,0,1))))</f>
        <v>0</v>
      </c>
      <c r="AA129" s="68"/>
      <c r="AB129" t="s">
        <v>129</v>
      </c>
    </row>
    <row r="130" spans="3:45" hidden="1" x14ac:dyDescent="0.3">
      <c r="C130" s="5"/>
      <c r="D130" s="5"/>
      <c r="E130" s="5"/>
      <c r="F130" s="5"/>
      <c r="G130" s="5"/>
      <c r="H130" s="5"/>
      <c r="I130" s="5"/>
      <c r="J130" s="5"/>
      <c r="W130" s="44" t="s">
        <v>348</v>
      </c>
      <c r="X130" s="45" t="str">
        <f ca="1">IF(INDIRECT("$D$18")=0,"",INDIRECT("$D$18"))</f>
        <v/>
      </c>
      <c r="Y130" s="43">
        <f t="shared" ca="1" si="0"/>
        <v>0</v>
      </c>
      <c r="Z130" s="43">
        <f ca="1">IF($Y$109=0,0,IF(Y130&gt;30,1,IF(LEN(X130)=0,1,IF(OR(X130="YES",X130="NO"),0,1))))</f>
        <v>0</v>
      </c>
      <c r="AA130" s="68"/>
      <c r="AB130" t="s">
        <v>130</v>
      </c>
    </row>
    <row r="131" spans="3:45" hidden="1" x14ac:dyDescent="0.3">
      <c r="W131" s="44" t="s">
        <v>349</v>
      </c>
      <c r="X131" s="45" t="str">
        <f ca="1">IF(INDIRECT("$D$22")=0,"",INDIRECT("$D$22"))</f>
        <v/>
      </c>
      <c r="Y131" s="43">
        <f t="shared" ca="1" si="0"/>
        <v>0</v>
      </c>
      <c r="Z131" s="43">
        <f ca="1">IF($Y$109=0,0,IF($AS$131=0,0,IF(OR(LEN(X131)&gt;25,LEN(X131)=0),1,0)))</f>
        <v>0</v>
      </c>
      <c r="AA131" s="68"/>
      <c r="AB131" t="s">
        <v>131</v>
      </c>
      <c r="AS131" s="9">
        <f ca="1">SUM(Y131:Y132)</f>
        <v>0</v>
      </c>
    </row>
    <row r="132" spans="3:45" hidden="1" x14ac:dyDescent="0.3">
      <c r="W132" s="44" t="s">
        <v>350</v>
      </c>
      <c r="X132" s="46" t="str">
        <f ca="1">IF(INDIRECT("$O$22")=0,"",INDIRECT("$O$22"))</f>
        <v/>
      </c>
      <c r="Y132" s="43">
        <f t="shared" ca="1" si="0"/>
        <v>0</v>
      </c>
      <c r="Z132" s="43">
        <f ca="1">IF($Y$109=0,0,IF($AS$131=0,0,IF(OR(LEN(X132)&gt;10,LEN(X132)=0),1,0)))</f>
        <v>0</v>
      </c>
      <c r="AA132" s="68"/>
      <c r="AB132" t="s">
        <v>132</v>
      </c>
    </row>
    <row r="133" spans="3:45" hidden="1" x14ac:dyDescent="0.3">
      <c r="W133" s="44" t="s">
        <v>351</v>
      </c>
      <c r="X133" s="43" t="str">
        <f ca="1">IF(INDIRECT("$D$27")=0,"",INDIRECT("$D$27"))</f>
        <v/>
      </c>
      <c r="Y133" s="43">
        <f t="shared" ca="1" si="0"/>
        <v>0</v>
      </c>
      <c r="Z133" s="43">
        <f ca="1">IF($Y$109=0,0,IF(LEN(X133)&gt;150,1,0))</f>
        <v>0</v>
      </c>
      <c r="AA133" s="68"/>
      <c r="AB133" t="s">
        <v>133</v>
      </c>
    </row>
    <row r="134" spans="3:45" hidden="1" x14ac:dyDescent="0.3">
      <c r="W134" s="44" t="s">
        <v>352</v>
      </c>
      <c r="X134" s="43" t="str">
        <f ca="1">IF(INDIRECT("$D$29")=0,"",INDIRECT("$D$29"))</f>
        <v/>
      </c>
      <c r="Y134" s="43">
        <f t="shared" ca="1" si="0"/>
        <v>0</v>
      </c>
      <c r="Z134" s="43">
        <f ca="1">IF($Y$109=0,0,IF(LEN(X134)&gt;150,1,0))</f>
        <v>0</v>
      </c>
      <c r="AA134" s="68"/>
      <c r="AB134" t="s">
        <v>134</v>
      </c>
    </row>
    <row r="135" spans="3:45" hidden="1" x14ac:dyDescent="0.3">
      <c r="W135" s="44" t="s">
        <v>173</v>
      </c>
      <c r="X135" s="43" t="str">
        <f ca="1">IF(INDIRECT("$D$32")=0,"",INDIRECT("$D$32"))</f>
        <v/>
      </c>
      <c r="Y135" s="43">
        <f t="shared" ca="1" si="0"/>
        <v>0</v>
      </c>
      <c r="Z135" s="43">
        <f ca="1">IF($Y$109=0,0,IF(OR(COUNTIF(AN2:AN22,'Application Form'!X135)&gt;0,Y135=0),0,1))</f>
        <v>0</v>
      </c>
      <c r="AA135" s="68"/>
      <c r="AB135" t="s">
        <v>135</v>
      </c>
    </row>
    <row r="136" spans="3:45" hidden="1" x14ac:dyDescent="0.3">
      <c r="W136" s="44" t="s">
        <v>364</v>
      </c>
      <c r="X136" s="43" t="str">
        <f ca="1">IF(INDIRECT("$Q$32")=0,"",INDIRECT("$Q$32"))</f>
        <v/>
      </c>
      <c r="Y136" s="43">
        <f t="shared" ca="1" si="0"/>
        <v>0</v>
      </c>
      <c r="Z136" s="43">
        <f ca="1">IF($Y$109=0,0,IF(Y135=0,IF(Y136=0,0,1),IF(Y136&gt;30,1,0)))</f>
        <v>0</v>
      </c>
      <c r="AA136" s="68"/>
      <c r="AB136" t="s">
        <v>136</v>
      </c>
    </row>
    <row r="137" spans="3:45" hidden="1" x14ac:dyDescent="0.3">
      <c r="W137" s="44" t="s">
        <v>365</v>
      </c>
      <c r="X137" s="43" t="str">
        <f ca="1">IF(INDIRECT("$T$36")=0,"",INDIRECT("$T$36"))</f>
        <v/>
      </c>
      <c r="Y137" s="43">
        <f t="shared" ca="1" si="0"/>
        <v>0</v>
      </c>
      <c r="Z137" s="43">
        <f ca="1">IF($Y$109=0,0,IF($AS$137&lt;&gt;1,1,IF(LEN(X137)=0,0,IF(X137="X",0,1))))</f>
        <v>0</v>
      </c>
      <c r="AA137" s="68"/>
      <c r="AB137" t="s">
        <v>137</v>
      </c>
      <c r="AS137" s="9">
        <f ca="1">SUM(Y137:Y139)</f>
        <v>0</v>
      </c>
    </row>
    <row r="138" spans="3:45" hidden="1" x14ac:dyDescent="0.3">
      <c r="W138" s="44" t="s">
        <v>366</v>
      </c>
      <c r="X138" s="43" t="str">
        <f ca="1">IF(INDIRECT("$T$37")=0,"",INDIRECT("$T$37"))</f>
        <v/>
      </c>
      <c r="Y138" s="43">
        <f t="shared" ca="1" si="0"/>
        <v>0</v>
      </c>
      <c r="Z138" s="43">
        <f ca="1">IF($Y$109=0,0,IF($AS$137&lt;&gt;1,1,IF(LEN(X138)=0,0,IF(X138="X",0,1))))</f>
        <v>0</v>
      </c>
      <c r="AA138" s="68"/>
      <c r="AB138" t="s">
        <v>138</v>
      </c>
    </row>
    <row r="139" spans="3:45" hidden="1" x14ac:dyDescent="0.3">
      <c r="W139" s="44" t="s">
        <v>367</v>
      </c>
      <c r="X139" s="43" t="str">
        <f ca="1">IF(INDIRECT("$T$38")=0,"",INDIRECT("$T$38"))</f>
        <v/>
      </c>
      <c r="Y139" s="43">
        <f t="shared" ca="1" si="0"/>
        <v>0</v>
      </c>
      <c r="Z139" s="43">
        <f ca="1">IF($Y$109=0,0,IF($AS$137&lt;&gt;1,1,IF(LEN(X139)=0,0,IF(X139="X",0,1))))</f>
        <v>0</v>
      </c>
      <c r="AA139" s="68"/>
      <c r="AB139" t="s">
        <v>139</v>
      </c>
    </row>
    <row r="140" spans="3:45" hidden="1" x14ac:dyDescent="0.3">
      <c r="W140" s="44" t="s">
        <v>195</v>
      </c>
      <c r="X140" s="43" t="str">
        <f ca="1">IF(INDIRECT("$T$42")=0,"",INDIRECT("$T$42"))</f>
        <v/>
      </c>
      <c r="Y140" s="43">
        <f t="shared" ca="1" si="0"/>
        <v>0</v>
      </c>
      <c r="Z140" s="43">
        <f ca="1">IF($Y$109=0,0,IF(OR(UPPER(X140)="X",LEN(X140)=0),0,1))</f>
        <v>0</v>
      </c>
      <c r="AA140" s="68"/>
      <c r="AB140" t="s">
        <v>140</v>
      </c>
    </row>
    <row r="141" spans="3:45" hidden="1" x14ac:dyDescent="0.3">
      <c r="W141" s="44" t="s">
        <v>381</v>
      </c>
      <c r="X141" s="43" t="str">
        <f ca="1">IF(INDIRECT("$D$46")=0,"",INDIRECT("$D$46"))</f>
        <v/>
      </c>
      <c r="Y141" s="43">
        <f t="shared" ca="1" si="0"/>
        <v>0</v>
      </c>
      <c r="Z141" s="43">
        <f ca="1">IF($Y$109=0,0,IF(IFERROR(VALUE(X141),100)&lt;100,0,1))</f>
        <v>0</v>
      </c>
      <c r="AA141" s="68"/>
      <c r="AB141" t="s">
        <v>141</v>
      </c>
    </row>
    <row r="142" spans="3:45" hidden="1" x14ac:dyDescent="0.3">
      <c r="W142" s="44" t="s">
        <v>382</v>
      </c>
      <c r="X142" s="43" t="str">
        <f ca="1">IF(INDIRECT("$G$46")=0,"",INDIRECT("$G$46"))</f>
        <v/>
      </c>
      <c r="Y142" s="43">
        <f t="shared" ca="1" si="0"/>
        <v>0</v>
      </c>
      <c r="Z142" s="43">
        <f ca="1">IF($Y$109=0,0,IF(IFERROR(VALUE(X142),100)&lt;100,0,1))</f>
        <v>0</v>
      </c>
      <c r="AA142" s="68"/>
      <c r="AB142" t="s">
        <v>142</v>
      </c>
    </row>
    <row r="143" spans="3:45" hidden="1" x14ac:dyDescent="0.3">
      <c r="W143" s="44" t="s">
        <v>383</v>
      </c>
      <c r="X143" s="43" t="str">
        <f ca="1">IF(INDIRECT("$J$46")=0,"",INDIRECT("$J$46"))</f>
        <v/>
      </c>
      <c r="Y143" s="43">
        <f t="shared" ca="1" si="0"/>
        <v>0</v>
      </c>
      <c r="Z143" s="43">
        <f ca="1">IF($Y$109=0,0,IF(IFERROR(VALUE(X143),100)&lt;100,0,1))</f>
        <v>0</v>
      </c>
      <c r="AA143" s="68"/>
      <c r="AB143" t="s">
        <v>143</v>
      </c>
    </row>
    <row r="144" spans="3:45" hidden="1" x14ac:dyDescent="0.3">
      <c r="W144" s="44" t="s">
        <v>353</v>
      </c>
      <c r="X144" s="43" t="str">
        <f ca="1">IF(INDIRECT("$O$46")=0,"",INDIRECT("$O$46"))</f>
        <v/>
      </c>
      <c r="Y144" s="43">
        <f t="shared" ca="1" si="0"/>
        <v>0</v>
      </c>
      <c r="Z144" s="43">
        <f ca="1">IF($Y$109=0,0,IF(COUNTIF(AR2:AR13,'Application Form'!X144)&gt;0,0,1))</f>
        <v>0</v>
      </c>
      <c r="AA144" s="68"/>
      <c r="AB144" t="s">
        <v>144</v>
      </c>
    </row>
    <row r="145" spans="23:45" hidden="1" x14ac:dyDescent="0.3">
      <c r="W145" s="44" t="s">
        <v>169</v>
      </c>
      <c r="X145" s="43" t="str">
        <f ca="1">IF(INDIRECT("$S$46")=0,"",INDIRECT("$S$46"))</f>
        <v/>
      </c>
      <c r="Y145" s="43">
        <f t="shared" ca="1" si="0"/>
        <v>0</v>
      </c>
      <c r="Z145" s="43">
        <f ca="1">IF($Y$109=0,0,IF(OR(LEN(X145)&gt;25,LEN(X145)=0),1,0))</f>
        <v>0</v>
      </c>
      <c r="AA145" s="68"/>
      <c r="AB145" t="s">
        <v>145</v>
      </c>
    </row>
    <row r="146" spans="23:45" hidden="1" x14ac:dyDescent="0.3">
      <c r="W146" s="44" t="s">
        <v>336</v>
      </c>
      <c r="X146" s="43" t="str">
        <f ca="1">IF(INDIRECT("$D$47")=0,"",INDIRECT("$D$47"))</f>
        <v/>
      </c>
      <c r="Y146" s="43">
        <f t="shared" ca="1" si="0"/>
        <v>0</v>
      </c>
      <c r="Z146" s="43">
        <f ca="1">IF($Y$109=0,0,IF(LEN(X144)=0,1,IF(LEFT(X144,2)="BS",IF(OR(LEN(X146)&gt;17,LEN(X146)=0),1,0),IF(OR(LEN(X146)&gt;8,LEN(X146)=0),1,0))))</f>
        <v>0</v>
      </c>
      <c r="AA146" s="68"/>
      <c r="AB146" t="s">
        <v>146</v>
      </c>
    </row>
    <row r="147" spans="23:45" hidden="1" x14ac:dyDescent="0.3">
      <c r="W147" s="44" t="s">
        <v>330</v>
      </c>
      <c r="X147" s="43" t="str">
        <f ca="1">IF(INDIRECT("$O$47")=0,"",INDIRECT("$O$47"))</f>
        <v/>
      </c>
      <c r="Y147" s="43">
        <f t="shared" ca="1" si="0"/>
        <v>0</v>
      </c>
      <c r="Z147" s="43">
        <f ca="1">IF($Y$109=0,0,IF(OR(LEN(X147)&gt;30,LEN(X147)=0),1,0))</f>
        <v>0</v>
      </c>
      <c r="AA147" s="68"/>
      <c r="AB147" t="s">
        <v>147</v>
      </c>
    </row>
    <row r="148" spans="23:45" hidden="1" x14ac:dyDescent="0.3">
      <c r="W148" s="44" t="s">
        <v>384</v>
      </c>
      <c r="X148" s="43" t="str">
        <f ca="1">IF(INDIRECT("$D$49")=0,"",INDIRECT("$D$49"))</f>
        <v/>
      </c>
      <c r="Y148" s="43">
        <f t="shared" ca="1" si="0"/>
        <v>0</v>
      </c>
      <c r="Z148" s="43">
        <v>0</v>
      </c>
      <c r="AA148" s="68"/>
      <c r="AB148" t="s">
        <v>148</v>
      </c>
      <c r="AS148" s="9">
        <f ca="1">SUM(Y148:Y154)</f>
        <v>0</v>
      </c>
    </row>
    <row r="149" spans="23:45" hidden="1" x14ac:dyDescent="0.3">
      <c r="W149" s="44" t="s">
        <v>385</v>
      </c>
      <c r="X149" s="43" t="str">
        <f ca="1">IF(INDIRECT("$G$49")=0,"",INDIRECT("$G$49"))</f>
        <v/>
      </c>
      <c r="Y149" s="43">
        <f t="shared" ca="1" si="0"/>
        <v>0</v>
      </c>
      <c r="Z149" s="43">
        <v>0</v>
      </c>
      <c r="AA149" s="68"/>
      <c r="AB149" t="s">
        <v>149</v>
      </c>
    </row>
    <row r="150" spans="23:45" hidden="1" x14ac:dyDescent="0.3">
      <c r="W150" s="44" t="s">
        <v>386</v>
      </c>
      <c r="X150" s="43" t="str">
        <f ca="1">IF(INDIRECT("$J$49")=0,"",INDIRECT("$J$49"))</f>
        <v/>
      </c>
      <c r="Y150" s="43">
        <f t="shared" ca="1" si="0"/>
        <v>0</v>
      </c>
      <c r="Z150" s="43">
        <v>0</v>
      </c>
      <c r="AA150" s="68"/>
      <c r="AB150" t="s">
        <v>150</v>
      </c>
    </row>
    <row r="151" spans="23:45" hidden="1" x14ac:dyDescent="0.3">
      <c r="W151" s="44" t="s">
        <v>354</v>
      </c>
      <c r="X151" s="43" t="str">
        <f ca="1">IF(INDIRECT("$O$49")=0,"",INDIRECT("$O$49"))</f>
        <v/>
      </c>
      <c r="Y151" s="43">
        <f t="shared" ca="1" si="0"/>
        <v>0</v>
      </c>
      <c r="Z151" s="43">
        <v>0</v>
      </c>
      <c r="AA151" s="68"/>
      <c r="AB151" t="s">
        <v>151</v>
      </c>
    </row>
    <row r="152" spans="23:45" hidden="1" x14ac:dyDescent="0.3">
      <c r="W152" s="44" t="s">
        <v>355</v>
      </c>
      <c r="X152" s="43" t="str">
        <f ca="1">IF(INDIRECT("$S$49")=0,"",INDIRECT("$S$49"))</f>
        <v/>
      </c>
      <c r="Y152" s="43">
        <f t="shared" ca="1" si="0"/>
        <v>0</v>
      </c>
      <c r="Z152" s="43">
        <v>0</v>
      </c>
      <c r="AA152" s="68"/>
      <c r="AB152" t="s">
        <v>152</v>
      </c>
    </row>
    <row r="153" spans="23:45" hidden="1" x14ac:dyDescent="0.3">
      <c r="W153" s="44" t="s">
        <v>356</v>
      </c>
      <c r="X153" s="43" t="str">
        <f ca="1">IF(INDIRECT("$D$50")=0,"",INDIRECT("$D$50"))</f>
        <v/>
      </c>
      <c r="Y153" s="43">
        <f t="shared" ca="1" si="0"/>
        <v>0</v>
      </c>
      <c r="Z153" s="43">
        <v>0</v>
      </c>
      <c r="AA153" s="68"/>
      <c r="AB153" t="s">
        <v>153</v>
      </c>
    </row>
    <row r="154" spans="23:45" hidden="1" x14ac:dyDescent="0.3">
      <c r="W154" s="44" t="s">
        <v>357</v>
      </c>
      <c r="X154" s="43" t="str">
        <f ca="1">IF(INDIRECT("$O$50")=0,"",INDIRECT("$O$50"))</f>
        <v/>
      </c>
      <c r="Y154" s="43">
        <f t="shared" ca="1" si="0"/>
        <v>0</v>
      </c>
      <c r="Z154" s="43">
        <v>0</v>
      </c>
      <c r="AA154" s="68"/>
      <c r="AB154" t="s">
        <v>154</v>
      </c>
    </row>
    <row r="155" spans="23:45" hidden="1" x14ac:dyDescent="0.3">
      <c r="W155" s="47" t="s">
        <v>339</v>
      </c>
      <c r="X155" s="43" t="str">
        <f ca="1">IF(INDIRECT("$D$54")=0,"",INDIRECT("$D$54"))</f>
        <v/>
      </c>
      <c r="Y155" s="43">
        <f t="shared" ca="1" si="0"/>
        <v>0</v>
      </c>
      <c r="Z155" s="43">
        <v>0</v>
      </c>
      <c r="AA155" s="68"/>
      <c r="AB155" t="s">
        <v>155</v>
      </c>
    </row>
    <row r="156" spans="23:45" hidden="1" x14ac:dyDescent="0.3">
      <c r="W156" s="43" t="s">
        <v>387</v>
      </c>
      <c r="X156" s="43" t="str">
        <f ca="1">IF(INDIRECT("$D$58")=0,"",INDIRECT("$D$58"))</f>
        <v/>
      </c>
      <c r="Y156" s="43">
        <f t="shared" ca="1" si="0"/>
        <v>0</v>
      </c>
      <c r="Z156" s="43">
        <f t="shared" ref="Z156:Z167" ca="1" si="1">IF($Y$109=0,0,IF(LEN(X156)&gt;30,1,0))</f>
        <v>0</v>
      </c>
      <c r="AA156" s="68"/>
      <c r="AB156" t="s">
        <v>156</v>
      </c>
    </row>
    <row r="157" spans="23:45" hidden="1" x14ac:dyDescent="0.3">
      <c r="W157" s="43" t="s">
        <v>388</v>
      </c>
      <c r="X157" s="43" t="str">
        <f ca="1">IF(INDIRECT("$O$58")=0,"",INDIRECT("$O$58"))</f>
        <v/>
      </c>
      <c r="Y157" s="43">
        <f t="shared" ca="1" si="0"/>
        <v>0</v>
      </c>
      <c r="Z157" s="43">
        <f t="shared" ca="1" si="1"/>
        <v>0</v>
      </c>
      <c r="AA157" s="68"/>
      <c r="AB157" t="s">
        <v>157</v>
      </c>
    </row>
    <row r="158" spans="23:45" hidden="1" x14ac:dyDescent="0.3">
      <c r="W158" s="43" t="s">
        <v>389</v>
      </c>
      <c r="X158" s="43" t="str">
        <f ca="1">IF(INDIRECT("$S$58")=0,"",INDIRECT("$S$58"))</f>
        <v/>
      </c>
      <c r="Y158" s="43">
        <f t="shared" ca="1" si="0"/>
        <v>0</v>
      </c>
      <c r="Z158" s="43">
        <f t="shared" ca="1" si="1"/>
        <v>0</v>
      </c>
      <c r="AA158" s="68"/>
      <c r="AB158" t="s">
        <v>158</v>
      </c>
    </row>
    <row r="159" spans="23:45" hidden="1" x14ac:dyDescent="0.3">
      <c r="W159" s="43" t="s">
        <v>390</v>
      </c>
      <c r="X159" s="43" t="str">
        <f ca="1">IF(INDIRECT("$D$59")=0,"",INDIRECT("$D$59"))</f>
        <v/>
      </c>
      <c r="Y159" s="43">
        <f t="shared" ca="1" si="0"/>
        <v>0</v>
      </c>
      <c r="Z159" s="43">
        <f t="shared" ca="1" si="1"/>
        <v>0</v>
      </c>
      <c r="AA159" s="68"/>
      <c r="AB159" t="s">
        <v>159</v>
      </c>
    </row>
    <row r="160" spans="23:45" hidden="1" x14ac:dyDescent="0.3">
      <c r="W160" s="43" t="s">
        <v>391</v>
      </c>
      <c r="X160" s="43" t="str">
        <f ca="1">IF(INDIRECT("$O$59")=0,"",INDIRECT("$O$59"))</f>
        <v/>
      </c>
      <c r="Y160" s="43">
        <f t="shared" ca="1" si="0"/>
        <v>0</v>
      </c>
      <c r="Z160" s="43">
        <f t="shared" ca="1" si="1"/>
        <v>0</v>
      </c>
      <c r="AA160" s="68"/>
      <c r="AB160" t="s">
        <v>160</v>
      </c>
    </row>
    <row r="161" spans="23:28" hidden="1" x14ac:dyDescent="0.3">
      <c r="W161" s="43" t="s">
        <v>392</v>
      </c>
      <c r="X161" s="43" t="str">
        <f ca="1">IF(INDIRECT("$S$59")=0,"",INDIRECT("$S$59"))</f>
        <v/>
      </c>
      <c r="Y161" s="43">
        <f t="shared" ca="1" si="0"/>
        <v>0</v>
      </c>
      <c r="Z161" s="43">
        <f t="shared" ca="1" si="1"/>
        <v>0</v>
      </c>
      <c r="AA161" s="68"/>
      <c r="AB161" t="s">
        <v>161</v>
      </c>
    </row>
    <row r="162" spans="23:28" hidden="1" x14ac:dyDescent="0.3">
      <c r="W162" s="43" t="s">
        <v>358</v>
      </c>
      <c r="X162" s="43" t="str">
        <f ca="1">IF(INDIRECT("$D$61")=0,"",INDIRECT("$D$61"))</f>
        <v/>
      </c>
      <c r="Y162" s="43">
        <f t="shared" ca="1" si="0"/>
        <v>0</v>
      </c>
      <c r="Z162" s="43">
        <f t="shared" ca="1" si="1"/>
        <v>0</v>
      </c>
      <c r="AA162" s="68"/>
      <c r="AB162" t="s">
        <v>162</v>
      </c>
    </row>
    <row r="163" spans="23:28" hidden="1" x14ac:dyDescent="0.3">
      <c r="W163" s="43" t="s">
        <v>359</v>
      </c>
      <c r="X163" s="43" t="str">
        <f ca="1">IF(INDIRECT("$O$61")=0,"",INDIRECT("$O$61"))</f>
        <v/>
      </c>
      <c r="Y163" s="43">
        <f t="shared" ca="1" si="0"/>
        <v>0</v>
      </c>
      <c r="Z163" s="43">
        <f t="shared" ca="1" si="1"/>
        <v>0</v>
      </c>
      <c r="AA163" s="68"/>
      <c r="AB163" t="s">
        <v>163</v>
      </c>
    </row>
    <row r="164" spans="23:28" hidden="1" x14ac:dyDescent="0.3">
      <c r="W164" s="43" t="s">
        <v>360</v>
      </c>
      <c r="X164" s="43" t="str">
        <f ca="1">IF(INDIRECT("$S$61")=0,"",INDIRECT("$S$61"))</f>
        <v/>
      </c>
      <c r="Y164" s="43">
        <f t="shared" ca="1" si="0"/>
        <v>0</v>
      </c>
      <c r="Z164" s="43">
        <f t="shared" ca="1" si="1"/>
        <v>0</v>
      </c>
      <c r="AA164" s="68"/>
      <c r="AB164" t="s">
        <v>164</v>
      </c>
    </row>
    <row r="165" spans="23:28" hidden="1" x14ac:dyDescent="0.3">
      <c r="W165" s="43" t="s">
        <v>361</v>
      </c>
      <c r="X165" s="43" t="str">
        <f ca="1">IF(INDIRECT("$D$62")=0,"",INDIRECT("$D$62"))</f>
        <v/>
      </c>
      <c r="Y165" s="43">
        <f t="shared" ca="1" si="0"/>
        <v>0</v>
      </c>
      <c r="Z165" s="43">
        <f t="shared" ca="1" si="1"/>
        <v>0</v>
      </c>
      <c r="AA165" s="68"/>
      <c r="AB165" t="s">
        <v>165</v>
      </c>
    </row>
    <row r="166" spans="23:28" hidden="1" x14ac:dyDescent="0.3">
      <c r="W166" s="43" t="s">
        <v>362</v>
      </c>
      <c r="X166" s="43" t="str">
        <f ca="1">IF(INDIRECT("$O$62")=0,"",INDIRECT("$O$62"))</f>
        <v/>
      </c>
      <c r="Y166" s="43">
        <f t="shared" ca="1" si="0"/>
        <v>0</v>
      </c>
      <c r="Z166" s="43">
        <f t="shared" ca="1" si="1"/>
        <v>0</v>
      </c>
      <c r="AA166" s="68"/>
      <c r="AB166" t="s">
        <v>166</v>
      </c>
    </row>
    <row r="167" spans="23:28" hidden="1" x14ac:dyDescent="0.3">
      <c r="W167" s="43" t="s">
        <v>363</v>
      </c>
      <c r="X167" s="43" t="str">
        <f ca="1">IF(INDIRECT("$S$62")=0,"",INDIRECT("$S$62"))</f>
        <v/>
      </c>
      <c r="Y167" s="43">
        <f t="shared" ca="1" si="0"/>
        <v>0</v>
      </c>
      <c r="Z167" s="43">
        <f t="shared" ca="1" si="1"/>
        <v>0</v>
      </c>
      <c r="AA167" s="68"/>
    </row>
    <row r="168" spans="23:28" hidden="1" x14ac:dyDescent="0.3">
      <c r="W168" s="9" t="s">
        <v>429</v>
      </c>
      <c r="X168" s="43" t="str">
        <f ca="1">IF(INDIRECT("$D$66")=0,"",INDIRECT("$D$66"))</f>
        <v/>
      </c>
      <c r="Y168" s="43">
        <f t="shared" ca="1" si="0"/>
        <v>0</v>
      </c>
      <c r="Z168" s="43">
        <f ca="1">IF($Y$109=0,0,IF(OR(X168="YES",X168="NO"),0,1))</f>
        <v>0</v>
      </c>
      <c r="AA168" s="68"/>
    </row>
    <row r="169" spans="23:28" hidden="1" x14ac:dyDescent="0.3">
      <c r="W169" s="9" t="s">
        <v>430</v>
      </c>
      <c r="X169" s="43" t="str">
        <f ca="1">IF(INDIRECT("$B$70")=0,"",INDIRECT("$B$70"))</f>
        <v/>
      </c>
      <c r="Y169" s="43">
        <f t="shared" ca="1" si="0"/>
        <v>0</v>
      </c>
      <c r="Z169" s="43">
        <f ca="1">IF($Y$109=0,0,IF(OR(LEN(X169)&gt;8000,LEN(X169)=0),1,0))</f>
        <v>0</v>
      </c>
      <c r="AA169" s="68"/>
    </row>
    <row r="170" spans="23:28" hidden="1" x14ac:dyDescent="0.3">
      <c r="W170" s="9" t="s">
        <v>419</v>
      </c>
      <c r="X170" s="43" t="str">
        <f ca="1">IF(INDIRECT("$D$74")=0,"",INDIRECT("$D$74"))</f>
        <v/>
      </c>
      <c r="Y170" s="43">
        <f t="shared" ca="1" si="0"/>
        <v>0</v>
      </c>
      <c r="Z170" s="43">
        <f ca="1">IF($Y$109=0,0,IF(OR(LEN(X170)&gt;300,LEN(X170)=0),1,0))</f>
        <v>0</v>
      </c>
      <c r="AA170" s="68"/>
    </row>
    <row r="171" spans="23:28" hidden="1" x14ac:dyDescent="0.3">
      <c r="W171" s="9" t="s">
        <v>414</v>
      </c>
      <c r="X171" s="43" t="str">
        <f ca="1">IF(INDIRECT("$D$76")=0,"",INDIRECT("$D$76"))</f>
        <v/>
      </c>
      <c r="Y171" s="43">
        <f t="shared" ca="1" si="0"/>
        <v>0</v>
      </c>
      <c r="Z171" s="43">
        <f ca="1">IF($Y$109=0,0,IF(OR(LEN(X171)&gt;100,LEN(X171)=0),1,0))</f>
        <v>0</v>
      </c>
      <c r="AA171" s="68"/>
    </row>
    <row r="172" spans="23:28" hidden="1" x14ac:dyDescent="0.3">
      <c r="W172" s="9" t="s">
        <v>417</v>
      </c>
      <c r="X172" s="43" t="str">
        <f ca="1">IF(INDIRECT("$D$78")=0,"",INDIRECT("$D$78"))</f>
        <v/>
      </c>
      <c r="Y172" s="43">
        <f t="shared" ca="1" si="0"/>
        <v>0</v>
      </c>
      <c r="Z172" s="43">
        <f ca="1">IF($Y$109=0,0,IF(OR(LEN(X172)&gt;100,LEN(X172)=0),1,0))</f>
        <v>0</v>
      </c>
      <c r="AA172" s="68"/>
    </row>
    <row r="173" spans="23:28" hidden="1" x14ac:dyDescent="0.3">
      <c r="W173" s="9" t="s">
        <v>431</v>
      </c>
      <c r="X173" s="43" t="str">
        <f ca="1">IF(INDIRECT("$D$80")=0,"",INDIRECT("$D$80"))</f>
        <v/>
      </c>
      <c r="Y173" s="43">
        <f t="shared" ca="1" si="0"/>
        <v>0</v>
      </c>
      <c r="Z173" s="43">
        <f ca="1">IF($Y$109=0,0,IF(OR(LEN(X173)&gt;10,LEN(X173)=0),1,0))</f>
        <v>0</v>
      </c>
      <c r="AA173" s="68"/>
    </row>
    <row r="174" spans="23:28" hidden="1" x14ac:dyDescent="0.3">
      <c r="W174" s="9" t="s">
        <v>432</v>
      </c>
      <c r="X174" s="43" t="str">
        <f ca="1">IF(INDIRECT("$I$80")=0,"",INDIRECT("$I$80"))</f>
        <v/>
      </c>
      <c r="Y174" s="43">
        <f t="shared" ca="1" si="0"/>
        <v>0</v>
      </c>
      <c r="Z174" s="43">
        <f ca="1">IF($Y$109=0,0,IF(OR(LEN(X174)&gt;10,LEN(X174)=0),1,0))</f>
        <v>0</v>
      </c>
      <c r="AA174" s="68"/>
    </row>
    <row r="175" spans="23:28" hidden="1" x14ac:dyDescent="0.3">
      <c r="W175" s="9" t="s">
        <v>433</v>
      </c>
      <c r="X175" s="43" t="str">
        <f ca="1">IF(INDIRECT("$O$80")=0,"",INDIRECT("$O$80"))</f>
        <v/>
      </c>
      <c r="Y175" s="43">
        <f t="shared" ref="Y175:Y192" ca="1" si="2">LEN(X175)</f>
        <v>0</v>
      </c>
      <c r="Z175" s="43">
        <f ca="1">IF($Y$109=0,0,IF(OR(LEN(X175)&gt;30,LEN(X175)=0),1,0))</f>
        <v>0</v>
      </c>
      <c r="AA175" s="68"/>
    </row>
    <row r="176" spans="23:28" hidden="1" x14ac:dyDescent="0.3">
      <c r="W176" s="9" t="s">
        <v>413</v>
      </c>
      <c r="X176" s="43" t="str">
        <f ca="1">IF(INDIRECT("$S$80")=0,"",INDIRECT("$S$80"))</f>
        <v/>
      </c>
      <c r="Y176" s="43">
        <f ca="1">LEN(X176)</f>
        <v>0</v>
      </c>
      <c r="Z176" s="43">
        <f ca="1">IF($Y$109=0,0,IF(OR(LEN(X176)&gt;30,LEN(X176)=0),1,0))</f>
        <v>0</v>
      </c>
      <c r="AA176" s="68"/>
    </row>
    <row r="177" spans="23:27" hidden="1" x14ac:dyDescent="0.3">
      <c r="W177" s="9" t="s">
        <v>418</v>
      </c>
      <c r="X177" s="43" t="str">
        <f ca="1">IF(INDIRECT("$D$83")=0,"",INDIRECT("$D$83"))</f>
        <v/>
      </c>
      <c r="Y177" s="43">
        <f t="shared" ca="1" si="2"/>
        <v>0</v>
      </c>
      <c r="Z177" s="43">
        <f ca="1">IF($Y$109=0,0,IF(OR(LEN(X177)&gt;30,LEN(X177)=0),1,0))</f>
        <v>0</v>
      </c>
      <c r="AA177" s="68"/>
    </row>
    <row r="178" spans="23:27" hidden="1" x14ac:dyDescent="0.3">
      <c r="W178" s="9" t="s">
        <v>434</v>
      </c>
      <c r="X178" s="43" t="str">
        <f ca="1">IF(INDIRECT("$C$88")=0,"",INDIRECT("$C$88"))</f>
        <v/>
      </c>
      <c r="Y178" s="43">
        <f t="shared" ca="1" si="2"/>
        <v>0</v>
      </c>
      <c r="Z178" s="43">
        <f ca="1">IF($Y$109=0,0,IF(LEN(X178)&gt;100,1,IF(Y178=0,IF(OR(Y179&gt;0,Y180&gt;0),1,0),IF(OR(Y179=0,Y180=0),1,0))))</f>
        <v>0</v>
      </c>
      <c r="AA178" s="68"/>
    </row>
    <row r="179" spans="23:27" hidden="1" x14ac:dyDescent="0.3">
      <c r="W179" s="9" t="s">
        <v>435</v>
      </c>
      <c r="X179" s="43" t="str">
        <f ca="1">IF(INDIRECT("$M$88")=0,"",INDIRECT("$M$88"))</f>
        <v/>
      </c>
      <c r="Y179" s="43">
        <f t="shared" ca="1" si="2"/>
        <v>0</v>
      </c>
      <c r="Z179" s="43">
        <f ca="1">IF($Y$109=0,0,IF(LEN(X179)&gt;100,1,IF(Y179=0,IF(OR(Y180&gt;0,Y178&gt;0),1,0),IF(OR(Y180=0,Y178=0),1,0))))</f>
        <v>0</v>
      </c>
      <c r="AA179" s="68"/>
    </row>
    <row r="180" spans="23:27" hidden="1" x14ac:dyDescent="0.3">
      <c r="W180" s="9" t="s">
        <v>436</v>
      </c>
      <c r="X180" s="43" t="str">
        <f ca="1">IF(INDIRECT("$Q$88")=0,"",INDIRECT("$Q$88"))</f>
        <v/>
      </c>
      <c r="Y180" s="43">
        <f t="shared" ca="1" si="2"/>
        <v>0</v>
      </c>
      <c r="Z180" s="43">
        <f ca="1">IF($Y$109=0,0,IF(LEN(X180)&gt;100,1,IF(Y180=0,IF(OR(Y178&gt;0,Y179&gt;0),1,0),IF(OR(Y178=0,Y179=0),1,0))))</f>
        <v>0</v>
      </c>
      <c r="AA180" s="68"/>
    </row>
    <row r="181" spans="23:27" hidden="1" x14ac:dyDescent="0.3">
      <c r="W181" s="9" t="s">
        <v>437</v>
      </c>
      <c r="X181" s="43" t="str">
        <f ca="1">IF(INDIRECT("$C$89")=0,"",INDIRECT("$C$89"))</f>
        <v/>
      </c>
      <c r="Y181" s="43">
        <f t="shared" ca="1" si="2"/>
        <v>0</v>
      </c>
      <c r="Z181" s="43">
        <f ca="1">IF($Y$109=0,0,IF(LEN(X181)&gt;100,1,IF(Y181=0,IF(OR(Y182&gt;0,Y183&gt;0),1,0),IF(OR(Y182=0,Y183=0),1,0))))</f>
        <v>0</v>
      </c>
      <c r="AA181" s="68"/>
    </row>
    <row r="182" spans="23:27" hidden="1" x14ac:dyDescent="0.3">
      <c r="W182" s="9" t="s">
        <v>438</v>
      </c>
      <c r="X182" s="43" t="str">
        <f ca="1">IF(INDIRECT("$M$89")=0,"",INDIRECT("$M$89"))</f>
        <v/>
      </c>
      <c r="Y182" s="43">
        <f t="shared" ca="1" si="2"/>
        <v>0</v>
      </c>
      <c r="Z182" s="43">
        <f ca="1">IF($Y$109=0,0,IF(LEN(X182)&gt;100,1,IF(Y182=0,IF(OR(Y183&gt;0,Y181&gt;0),1,0),IF(OR(Y183=0,Y181=0),1,0))))</f>
        <v>0</v>
      </c>
      <c r="AA182" s="68"/>
    </row>
    <row r="183" spans="23:27" hidden="1" x14ac:dyDescent="0.3">
      <c r="W183" s="9" t="s">
        <v>439</v>
      </c>
      <c r="X183" s="43" t="str">
        <f ca="1">IF(INDIRECT("$Q$89")=0,"",INDIRECT("$Q$89"))</f>
        <v/>
      </c>
      <c r="Y183" s="43">
        <f t="shared" ca="1" si="2"/>
        <v>0</v>
      </c>
      <c r="Z183" s="43">
        <f ca="1">IF($Y$109=0,0,IF(LEN(X183)&gt;100,1,IF(Y183=0,IF(OR(Y181&gt;0,Y182&gt;0),1,0),IF(OR(Y181=0,Y182=0),1,0))))</f>
        <v>0</v>
      </c>
      <c r="AA183" s="68"/>
    </row>
    <row r="184" spans="23:27" hidden="1" x14ac:dyDescent="0.3">
      <c r="W184" s="9" t="s">
        <v>440</v>
      </c>
      <c r="X184" s="43" t="str">
        <f ca="1">IF(INDIRECT("$C$90")=0,"",INDIRECT("$C$90"))</f>
        <v/>
      </c>
      <c r="Y184" s="43">
        <f t="shared" ca="1" si="2"/>
        <v>0</v>
      </c>
      <c r="Z184" s="43">
        <f ca="1">IF($Y$109=0,0,IF(LEN(X184)&gt;100,1,IF(Y184=0,IF(OR(Y185&gt;0,Y186&gt;0),1,0),IF(OR(Y185=0,Y186=0),1,0))))</f>
        <v>0</v>
      </c>
      <c r="AA184" s="68"/>
    </row>
    <row r="185" spans="23:27" hidden="1" x14ac:dyDescent="0.3">
      <c r="W185" s="9" t="s">
        <v>441</v>
      </c>
      <c r="X185" s="43" t="str">
        <f ca="1">IF(INDIRECT("$M$90")=0,"",INDIRECT("$M$90"))</f>
        <v/>
      </c>
      <c r="Y185" s="43">
        <f t="shared" ca="1" si="2"/>
        <v>0</v>
      </c>
      <c r="Z185" s="43">
        <f ca="1">IF($Y$109=0,0,IF(LEN(X185)&gt;100,1,IF(Y185=0,IF(OR(Y186&gt;0,Y184&gt;0),1,0),IF(OR(Y186=0,Y184=0),1,0))))</f>
        <v>0</v>
      </c>
      <c r="AA185" s="68"/>
    </row>
    <row r="186" spans="23:27" hidden="1" x14ac:dyDescent="0.3">
      <c r="W186" s="9" t="s">
        <v>442</v>
      </c>
      <c r="X186" s="43" t="str">
        <f ca="1">IF(INDIRECT("$Q$90")=0,"",INDIRECT("$Q$90"))</f>
        <v/>
      </c>
      <c r="Y186" s="43">
        <f t="shared" ca="1" si="2"/>
        <v>0</v>
      </c>
      <c r="Z186" s="43">
        <f ca="1">IF($Y$109=0,0,IF(LEN(X186)&gt;100,1,IF(Y186=0,IF(OR(Y184&gt;0,Y185&gt;0),1,0),IF(OR(Y184=0,Y185=0),1,0))))</f>
        <v>0</v>
      </c>
      <c r="AA186" s="68"/>
    </row>
    <row r="187" spans="23:27" hidden="1" x14ac:dyDescent="0.3">
      <c r="W187" s="9" t="s">
        <v>443</v>
      </c>
      <c r="X187" s="43" t="str">
        <f ca="1">IF(INDIRECT("$C$91")=0,"",INDIRECT("$C$91"))</f>
        <v/>
      </c>
      <c r="Y187" s="43">
        <f t="shared" ca="1" si="2"/>
        <v>0</v>
      </c>
      <c r="Z187" s="43">
        <f ca="1">IF($Y$109=0,0,IF(LEN(X187)&gt;100,1,IF(Y187=0,IF(OR(Y188&gt;0,Y189&gt;0),1,0),IF(OR(Y188=0,Y189=0),1,0))))</f>
        <v>0</v>
      </c>
      <c r="AA187" s="68"/>
    </row>
    <row r="188" spans="23:27" hidden="1" x14ac:dyDescent="0.3">
      <c r="W188" s="9" t="s">
        <v>444</v>
      </c>
      <c r="X188" s="43" t="str">
        <f ca="1">IF(INDIRECT("$M$91")=0,"",INDIRECT("$M$91"))</f>
        <v/>
      </c>
      <c r="Y188" s="43">
        <f t="shared" ca="1" si="2"/>
        <v>0</v>
      </c>
      <c r="Z188" s="43">
        <f ca="1">IF($Y$109=0,0,IF(LEN(X188)&gt;100,1,IF(Y188=0,IF(OR(Y189&gt;0,Y187&gt;0),1,0),IF(OR(Y189=0,Y187=0),1,0))))</f>
        <v>0</v>
      </c>
      <c r="AA188" s="68"/>
    </row>
    <row r="189" spans="23:27" hidden="1" x14ac:dyDescent="0.3">
      <c r="W189" s="9" t="s">
        <v>445</v>
      </c>
      <c r="X189" s="43" t="str">
        <f ca="1">IF(INDIRECT("$Q$91")=0,"",INDIRECT("$Q$91"))</f>
        <v/>
      </c>
      <c r="Y189" s="43">
        <f t="shared" ca="1" si="2"/>
        <v>0</v>
      </c>
      <c r="Z189" s="43">
        <f ca="1">IF($Y$109=0,0,IF(LEN(X189)&gt;100,1,IF(Y189=0,IF(OR(Y187&gt;0,Y188&gt;0),1,0),IF(OR(Y187=0,Y188=0),1,0))))</f>
        <v>0</v>
      </c>
      <c r="AA189" s="68"/>
    </row>
    <row r="190" spans="23:27" hidden="1" x14ac:dyDescent="0.3">
      <c r="W190" s="43" t="s">
        <v>332</v>
      </c>
      <c r="X190" s="43" t="str">
        <f ca="1">IF(INDIRECT("$B$95")=0,"",INDIRECT("$B$95"))</f>
        <v/>
      </c>
      <c r="Y190" s="43">
        <f t="shared" ca="1" si="2"/>
        <v>0</v>
      </c>
      <c r="Z190" s="43">
        <f ca="1">IF($Y$109=0,0,IF(LEN(X190)&gt;8000,1,IF(X191="YES",IF(Y190=0,1,0),0)))</f>
        <v>0</v>
      </c>
      <c r="AA190" s="68"/>
    </row>
    <row r="191" spans="23:27" hidden="1" x14ac:dyDescent="0.3">
      <c r="W191" s="43" t="s">
        <v>446</v>
      </c>
      <c r="X191" s="43" t="str">
        <f ca="1">IF(INDIRECT("$D$98")=0,"",INDIRECT("$D$98"))</f>
        <v/>
      </c>
      <c r="Y191" s="43">
        <f t="shared" ca="1" si="2"/>
        <v>0</v>
      </c>
      <c r="Z191" s="43">
        <f ca="1">IF($Y$109=0,0,IF(OR(X191="YES",X191="NO"),0,1))</f>
        <v>0</v>
      </c>
      <c r="AA191" s="68"/>
    </row>
    <row r="192" spans="23:27" hidden="1" x14ac:dyDescent="0.3">
      <c r="W192" s="43" t="s">
        <v>370</v>
      </c>
      <c r="X192" s="43" t="str">
        <f ca="1">IF(INDIRECT("$B$102")=0,"",INDIRECT("$B$102"))</f>
        <v/>
      </c>
      <c r="Y192" s="43">
        <f t="shared" ca="1" si="2"/>
        <v>0</v>
      </c>
      <c r="Z192" s="43">
        <f ca="1">IF($Y$109=0,0,IF(LEN(X192)&gt;600,1,0))</f>
        <v>0</v>
      </c>
      <c r="AA192" s="68"/>
    </row>
  </sheetData>
  <sheetProtection password="E89C" sheet="1" selectLockedCells="1"/>
  <mergeCells count="179">
    <mergeCell ref="B82:T82"/>
    <mergeCell ref="B87:K87"/>
    <mergeCell ref="M87:O87"/>
    <mergeCell ref="Q87:T87"/>
    <mergeCell ref="B93:T93"/>
    <mergeCell ref="B94:T94"/>
    <mergeCell ref="Q90:T90"/>
    <mergeCell ref="Q88:T88"/>
    <mergeCell ref="Q89:T89"/>
    <mergeCell ref="B95:T95"/>
    <mergeCell ref="B72:T72"/>
    <mergeCell ref="B85:T85"/>
    <mergeCell ref="B86:T86"/>
    <mergeCell ref="B83:C83"/>
    <mergeCell ref="D83:K83"/>
    <mergeCell ref="M83:N83"/>
    <mergeCell ref="Q83:T83"/>
    <mergeCell ref="D74:T74"/>
    <mergeCell ref="B73:T73"/>
    <mergeCell ref="M50:N50"/>
    <mergeCell ref="D50:K50"/>
    <mergeCell ref="D49:E49"/>
    <mergeCell ref="G49:H49"/>
    <mergeCell ref="J49:K49"/>
    <mergeCell ref="D47:K47"/>
    <mergeCell ref="B104:T104"/>
    <mergeCell ref="B105:C105"/>
    <mergeCell ref="D105:O105"/>
    <mergeCell ref="Q105:T105"/>
    <mergeCell ref="B27:C27"/>
    <mergeCell ref="B54:C54"/>
    <mergeCell ref="D54:K54"/>
    <mergeCell ref="B53:T53"/>
    <mergeCell ref="B61:C61"/>
    <mergeCell ref="D27:T27"/>
    <mergeCell ref="M7:N7"/>
    <mergeCell ref="M8:N8"/>
    <mergeCell ref="M20:N20"/>
    <mergeCell ref="D22:K22"/>
    <mergeCell ref="P22:T22"/>
    <mergeCell ref="B46:C46"/>
    <mergeCell ref="B26:T26"/>
    <mergeCell ref="B28:T28"/>
    <mergeCell ref="B29:C29"/>
    <mergeCell ref="D29:T29"/>
    <mergeCell ref="S47:T47"/>
    <mergeCell ref="C36:S36"/>
    <mergeCell ref="C37:S37"/>
    <mergeCell ref="C38:S38"/>
    <mergeCell ref="Q20:R20"/>
    <mergeCell ref="S20:T20"/>
    <mergeCell ref="D32:O32"/>
    <mergeCell ref="Q32:T32"/>
    <mergeCell ref="M47:N47"/>
    <mergeCell ref="B25:T25"/>
    <mergeCell ref="B68:T68"/>
    <mergeCell ref="S5:T5"/>
    <mergeCell ref="M5:N5"/>
    <mergeCell ref="B48:T48"/>
    <mergeCell ref="S7:T7"/>
    <mergeCell ref="S12:T12"/>
    <mergeCell ref="B42:S42"/>
    <mergeCell ref="Q46:R46"/>
    <mergeCell ref="S46:T46"/>
    <mergeCell ref="Q47:R47"/>
    <mergeCell ref="M61:N61"/>
    <mergeCell ref="Q61:R61"/>
    <mergeCell ref="S61:T61"/>
    <mergeCell ref="B62:C62"/>
    <mergeCell ref="S62:T62"/>
    <mergeCell ref="D61:K61"/>
    <mergeCell ref="B70:T70"/>
    <mergeCell ref="B60:T60"/>
    <mergeCell ref="B57:T57"/>
    <mergeCell ref="Q58:R58"/>
    <mergeCell ref="Q59:R59"/>
    <mergeCell ref="S58:T58"/>
    <mergeCell ref="D62:K62"/>
    <mergeCell ref="M58:N58"/>
    <mergeCell ref="M59:N59"/>
    <mergeCell ref="B69:T69"/>
    <mergeCell ref="B14:C14"/>
    <mergeCell ref="B23:T23"/>
    <mergeCell ref="B18:C18"/>
    <mergeCell ref="B12:C12"/>
    <mergeCell ref="D18:K18"/>
    <mergeCell ref="Q12:R12"/>
    <mergeCell ref="M22:N22"/>
    <mergeCell ref="B22:C22"/>
    <mergeCell ref="M18:T18"/>
    <mergeCell ref="D11:K11"/>
    <mergeCell ref="B32:C32"/>
    <mergeCell ref="B31:T31"/>
    <mergeCell ref="D12:K12"/>
    <mergeCell ref="B16:T16"/>
    <mergeCell ref="B17:T17"/>
    <mergeCell ref="B19:T19"/>
    <mergeCell ref="B21:T21"/>
    <mergeCell ref="B24:T24"/>
    <mergeCell ref="Q11:T11"/>
    <mergeCell ref="D46:E46"/>
    <mergeCell ref="G46:H46"/>
    <mergeCell ref="J46:K46"/>
    <mergeCell ref="M49:N49"/>
    <mergeCell ref="M9:N9"/>
    <mergeCell ref="B34:T34"/>
    <mergeCell ref="B40:T40"/>
    <mergeCell ref="M11:N11"/>
    <mergeCell ref="M12:N12"/>
    <mergeCell ref="B20:C20"/>
    <mergeCell ref="M54:T54"/>
    <mergeCell ref="S59:T59"/>
    <mergeCell ref="M62:N62"/>
    <mergeCell ref="Q62:R62"/>
    <mergeCell ref="M46:N46"/>
    <mergeCell ref="D58:K58"/>
    <mergeCell ref="D59:K59"/>
    <mergeCell ref="B52:T52"/>
    <mergeCell ref="B49:C49"/>
    <mergeCell ref="Q49:R49"/>
    <mergeCell ref="Q7:R7"/>
    <mergeCell ref="Q8:R8"/>
    <mergeCell ref="Q9:R9"/>
    <mergeCell ref="B11:C11"/>
    <mergeCell ref="B50:C50"/>
    <mergeCell ref="B44:T44"/>
    <mergeCell ref="S49:T49"/>
    <mergeCell ref="Q50:R50"/>
    <mergeCell ref="S50:T50"/>
    <mergeCell ref="B47:C47"/>
    <mergeCell ref="B56:T56"/>
    <mergeCell ref="D5:K5"/>
    <mergeCell ref="D7:K7"/>
    <mergeCell ref="D8:K8"/>
    <mergeCell ref="D9:K9"/>
    <mergeCell ref="B5:C5"/>
    <mergeCell ref="B7:C7"/>
    <mergeCell ref="B8:C8"/>
    <mergeCell ref="B9:C9"/>
    <mergeCell ref="Q5:R5"/>
    <mergeCell ref="B100:T100"/>
    <mergeCell ref="B101:T101"/>
    <mergeCell ref="B102:T102"/>
    <mergeCell ref="B3:T3"/>
    <mergeCell ref="B1:T1"/>
    <mergeCell ref="B59:C59"/>
    <mergeCell ref="B58:C58"/>
    <mergeCell ref="D20:K20"/>
    <mergeCell ref="D14:T14"/>
    <mergeCell ref="B80:C80"/>
    <mergeCell ref="I80:K80"/>
    <mergeCell ref="D80:F80"/>
    <mergeCell ref="G80:H80"/>
    <mergeCell ref="D76:T76"/>
    <mergeCell ref="B76:C76"/>
    <mergeCell ref="B78:C78"/>
    <mergeCell ref="D78:T78"/>
    <mergeCell ref="Q80:R80"/>
    <mergeCell ref="S80:T80"/>
    <mergeCell ref="B74:C74"/>
    <mergeCell ref="C91:L91"/>
    <mergeCell ref="M88:P88"/>
    <mergeCell ref="M89:P89"/>
    <mergeCell ref="M90:P90"/>
    <mergeCell ref="M91:P91"/>
    <mergeCell ref="M80:N80"/>
    <mergeCell ref="C90:L90"/>
    <mergeCell ref="C88:L88"/>
    <mergeCell ref="C89:L89"/>
    <mergeCell ref="B98:C98"/>
    <mergeCell ref="D98:K98"/>
    <mergeCell ref="M98:T98"/>
    <mergeCell ref="B97:T97"/>
    <mergeCell ref="B64:T64"/>
    <mergeCell ref="B66:C66"/>
    <mergeCell ref="D66:K66"/>
    <mergeCell ref="B65:T65"/>
    <mergeCell ref="M66:T66"/>
    <mergeCell ref="Q91:T91"/>
  </mergeCells>
  <phoneticPr fontId="16" type="noConversion"/>
  <conditionalFormatting sqref="O5">
    <cfRule type="expression" dxfId="139" priority="158">
      <formula>AND($Y$109&gt;0,$Z$112=0)</formula>
    </cfRule>
    <cfRule type="expression" dxfId="138" priority="159">
      <formula>AND($Y$109&gt;0,$Z$112&gt;0)</formula>
    </cfRule>
  </conditionalFormatting>
  <conditionalFormatting sqref="D9:K9">
    <cfRule type="expression" dxfId="137" priority="150">
      <formula>AND($Y$109&gt;0,$Z$116&gt;0)</formula>
    </cfRule>
    <cfRule type="expression" dxfId="136" priority="151">
      <formula>AND($Y$109&gt;0,$Z$116=0)</formula>
    </cfRule>
  </conditionalFormatting>
  <conditionalFormatting sqref="D5:K5">
    <cfRule type="expression" dxfId="135" priority="164">
      <formula>AND($Y$109&gt;0,$Z$111=0)</formula>
    </cfRule>
    <cfRule type="expression" dxfId="134" priority="165">
      <formula>AND($Y$109&gt;0,$Z$111&gt;0)</formula>
    </cfRule>
  </conditionalFormatting>
  <conditionalFormatting sqref="D105:O105">
    <cfRule type="expression" dxfId="133" priority="148">
      <formula>AND($Y$109&gt;0,$Z$109&gt;0)</formula>
    </cfRule>
    <cfRule type="expression" dxfId="132" priority="149">
      <formula>AND($Y$109&gt;0,$Z$109=0)</formula>
    </cfRule>
  </conditionalFormatting>
  <conditionalFormatting sqref="S5:T5">
    <cfRule type="expression" dxfId="131" priority="146">
      <formula>AND($Y$109&gt;0,$Z$113&gt;0)</formula>
    </cfRule>
    <cfRule type="expression" dxfId="130" priority="147">
      <formula>AND($Y$109&gt;0,$Z$113=0)</formula>
    </cfRule>
  </conditionalFormatting>
  <conditionalFormatting sqref="S7:T7">
    <cfRule type="expression" dxfId="129" priority="144">
      <formula>AND($Y$109&gt;0,$Z$120=0)</formula>
    </cfRule>
    <cfRule type="expression" dxfId="128" priority="145">
      <formula>AND($Y$109&gt;0,$Z$120&gt;0)</formula>
    </cfRule>
  </conditionalFormatting>
  <conditionalFormatting sqref="D11:K11">
    <cfRule type="expression" dxfId="127" priority="142">
      <formula>AND($Y$109&gt;0,$Z$121=0)</formula>
    </cfRule>
    <cfRule type="expression" dxfId="126" priority="143">
      <formula>AND($Y$109&gt;0,$Z$121&gt;0)</formula>
    </cfRule>
  </conditionalFormatting>
  <conditionalFormatting sqref="O11">
    <cfRule type="expression" dxfId="125" priority="140">
      <formula>AND($Y$109&gt;0,$Z$122=0)</formula>
    </cfRule>
    <cfRule type="expression" dxfId="124" priority="141">
      <formula>AND($Y$109&gt;0,$Z$122&gt;0)</formula>
    </cfRule>
  </conditionalFormatting>
  <conditionalFormatting sqref="O9">
    <cfRule type="expression" dxfId="123" priority="136">
      <formula>AND($Y$109&gt;0,$Z$119=0)</formula>
    </cfRule>
    <cfRule type="expression" dxfId="122" priority="137">
      <formula>AND($Y$109&gt;0,$Z$119&gt;0)</formula>
    </cfRule>
  </conditionalFormatting>
  <conditionalFormatting sqref="O8">
    <cfRule type="expression" dxfId="121" priority="134">
      <formula>AND($Y$109&gt;0,$Z$118=0)</formula>
    </cfRule>
    <cfRule type="expression" dxfId="120" priority="135">
      <formula>AND($Y$109&gt;0,$Z$118&gt;0)</formula>
    </cfRule>
  </conditionalFormatting>
  <conditionalFormatting sqref="O7">
    <cfRule type="expression" dxfId="119" priority="132">
      <formula>AND($Y$109&gt;0,$Z$117&gt;0)</formula>
    </cfRule>
    <cfRule type="expression" dxfId="118" priority="133">
      <formula>AND($Y$109&gt;0,$Z$117=0)</formula>
    </cfRule>
  </conditionalFormatting>
  <conditionalFormatting sqref="D12:K12">
    <cfRule type="expression" dxfId="117" priority="130">
      <formula>AND($Y$109&gt;0,$Z$124&gt;0)</formula>
    </cfRule>
    <cfRule type="expression" dxfId="116" priority="131">
      <formula>AND($Y$109&gt;0,$Z$124=0)</formula>
    </cfRule>
  </conditionalFormatting>
  <conditionalFormatting sqref="O12">
    <cfRule type="expression" dxfId="115" priority="128">
      <formula>AND($Y$109&gt;0,$Z$125&gt;0)</formula>
    </cfRule>
    <cfRule type="expression" dxfId="114" priority="129">
      <formula>AND($Y$109&gt;0,$Z$125=0)</formula>
    </cfRule>
  </conditionalFormatting>
  <conditionalFormatting sqref="S12:T12">
    <cfRule type="expression" dxfId="113" priority="126">
      <formula>AND($Y$109&gt;0,$Z$126&gt;0)</formula>
    </cfRule>
    <cfRule type="expression" dxfId="112" priority="127">
      <formula>AND($Y$109&gt;0,$Z$126=0)</formula>
    </cfRule>
  </conditionalFormatting>
  <conditionalFormatting sqref="D8:K8">
    <cfRule type="expression" dxfId="111" priority="124">
      <formula>AND($Y$109&gt;0,$Z$114&gt;0)</formula>
    </cfRule>
    <cfRule type="expression" dxfId="110" priority="125">
      <formula>AND($Y$109&gt;0,$Z$114=0)</formula>
    </cfRule>
  </conditionalFormatting>
  <conditionalFormatting sqref="D7:K7">
    <cfRule type="expression" dxfId="109" priority="122">
      <formula>AND($Y$109&gt;0,$Z$114&gt;0)</formula>
    </cfRule>
    <cfRule type="expression" dxfId="108" priority="123">
      <formula>AND($Y$109&gt;0,$Z$114=0)</formula>
    </cfRule>
  </conditionalFormatting>
  <conditionalFormatting sqref="Q32:T32">
    <cfRule type="expression" dxfId="107" priority="120">
      <formula>AND($Y$109&gt;0,$Z$136=0)</formula>
    </cfRule>
    <cfRule type="expression" dxfId="106" priority="121">
      <formula>AND($Y$109&gt;0,$Z$136&gt;0)</formula>
    </cfRule>
  </conditionalFormatting>
  <conditionalFormatting sqref="D32:O32">
    <cfRule type="expression" dxfId="105" priority="118">
      <formula>AND($Y$109&gt;0,$Z$135=0)</formula>
    </cfRule>
    <cfRule type="expression" dxfId="104" priority="119">
      <formula>AND($Y$109&gt;0,$Z$135&gt;0)</formula>
    </cfRule>
  </conditionalFormatting>
  <conditionalFormatting sqref="D27:T27">
    <cfRule type="expression" dxfId="103" priority="116">
      <formula>AND($Y$109&gt;0,$Z$133&gt;0)</formula>
    </cfRule>
    <cfRule type="expression" dxfId="102" priority="117">
      <formula>AND($Y$109&gt;0,$Z$133=0)</formula>
    </cfRule>
  </conditionalFormatting>
  <conditionalFormatting sqref="D29:T29">
    <cfRule type="expression" dxfId="101" priority="114">
      <formula>AND($Y$109&gt;0,$Z$134&gt;0)</formula>
    </cfRule>
    <cfRule type="expression" dxfId="100" priority="115">
      <formula>AND($Y$109&gt;0,$Z$134=0)</formula>
    </cfRule>
  </conditionalFormatting>
  <conditionalFormatting sqref="D49:E49">
    <cfRule type="expression" dxfId="99" priority="112">
      <formula>AND($Y$109&gt;0,$Z$148=0)</formula>
    </cfRule>
    <cfRule type="expression" dxfId="98" priority="113">
      <formula>AND($Y$109&gt;0,$Z$148&gt;0)</formula>
    </cfRule>
  </conditionalFormatting>
  <conditionalFormatting sqref="O50">
    <cfRule type="expression" dxfId="97" priority="110">
      <formula>AND($Y$109&gt;0,$Z$154&gt;0)</formula>
    </cfRule>
    <cfRule type="expression" dxfId="96" priority="111">
      <formula>AND($Y$109&gt;0,$Z$154=0)</formula>
    </cfRule>
  </conditionalFormatting>
  <conditionalFormatting sqref="D50:K50">
    <cfRule type="expression" dxfId="95" priority="108">
      <formula>AND($Y$109&gt;0,$Z$153&gt;0)</formula>
    </cfRule>
    <cfRule type="expression" dxfId="94" priority="109">
      <formula>AND($Y$109&gt;0,$Z$153=0)</formula>
    </cfRule>
  </conditionalFormatting>
  <conditionalFormatting sqref="S49:T49">
    <cfRule type="expression" dxfId="93" priority="104">
      <formula>AND($Y$109&gt;0,$Z$152&gt;0)</formula>
    </cfRule>
    <cfRule type="expression" dxfId="92" priority="107">
      <formula>AND($Y$109&gt;0,$Z$152=0)</formula>
    </cfRule>
  </conditionalFormatting>
  <conditionalFormatting sqref="O49">
    <cfRule type="expression" dxfId="91" priority="105">
      <formula>AND($Y$109&gt;0,$Z$151&gt;0)</formula>
    </cfRule>
    <cfRule type="expression" dxfId="90" priority="106">
      <formula>AND($Y$109&gt;0,$Z$151=0)</formula>
    </cfRule>
  </conditionalFormatting>
  <conditionalFormatting sqref="J49:K49">
    <cfRule type="expression" dxfId="89" priority="102">
      <formula>AND($Y$109&gt;0,$Z$150&gt;0)</formula>
    </cfRule>
    <cfRule type="expression" dxfId="88" priority="103">
      <formula>AND($Y$109&gt;0,$Z$150=0)</formula>
    </cfRule>
  </conditionalFormatting>
  <conditionalFormatting sqref="G49:H49">
    <cfRule type="expression" dxfId="87" priority="100">
      <formula>AND($Y$109&gt;0,$Z$149=0)</formula>
    </cfRule>
    <cfRule type="expression" dxfId="86" priority="101">
      <formula>AND($Y$109&gt;0,$Z$149&gt;0)</formula>
    </cfRule>
  </conditionalFormatting>
  <conditionalFormatting sqref="D14:T14">
    <cfRule type="expression" dxfId="85" priority="98">
      <formula>AND($Y$109&gt;0,$Z$127&gt;0)</formula>
    </cfRule>
    <cfRule type="expression" dxfId="84" priority="99">
      <formula>AND($Y$109&gt;0,$Z$127=0)</formula>
    </cfRule>
  </conditionalFormatting>
  <conditionalFormatting sqref="O20">
    <cfRule type="expression" dxfId="83" priority="96">
      <formula>AND($Y$109&gt;0,$Z$128&gt;0)</formula>
    </cfRule>
    <cfRule type="expression" dxfId="82" priority="97">
      <formula>AND($Y$109&gt;0,$Z$128=0)</formula>
    </cfRule>
  </conditionalFormatting>
  <conditionalFormatting sqref="D20:K20">
    <cfRule type="expression" dxfId="81" priority="94">
      <formula>AND($Y$109&gt;0,$Z$129&gt;0)</formula>
    </cfRule>
    <cfRule type="expression" dxfId="80" priority="95">
      <formula>AND($Y$109&gt;0,$Z$129=0)</formula>
    </cfRule>
  </conditionalFormatting>
  <conditionalFormatting sqref="S20:T20">
    <cfRule type="expression" dxfId="79" priority="92">
      <formula>AND($Y$109&gt;0,$Z$123&gt;0)</formula>
    </cfRule>
    <cfRule type="expression" dxfId="78" priority="93">
      <formula>AND($Y$109&gt;0,$Z$123=0)</formula>
    </cfRule>
  </conditionalFormatting>
  <conditionalFormatting sqref="D18:K18">
    <cfRule type="expression" dxfId="77" priority="90">
      <formula>AND($Y$109&gt;0,$Z$130&gt;0)</formula>
    </cfRule>
    <cfRule type="expression" dxfId="76" priority="91">
      <formula>AND($Y$109&gt;0,$Z$130=0)</formula>
    </cfRule>
  </conditionalFormatting>
  <conditionalFormatting sqref="D22:K22">
    <cfRule type="expression" dxfId="75" priority="88">
      <formula>AND($Y$109&gt;0,$Z$131&gt;0)</formula>
    </cfRule>
    <cfRule type="expression" dxfId="74" priority="89">
      <formula>AND($Y$109&gt;0,$Z$131=0)</formula>
    </cfRule>
  </conditionalFormatting>
  <conditionalFormatting sqref="O22">
    <cfRule type="expression" dxfId="73" priority="86">
      <formula>AND($Y$109&gt;0,$Z$132&gt;0)</formula>
    </cfRule>
    <cfRule type="expression" dxfId="72" priority="87">
      <formula>AND($Y$109&gt;0,$Z$132=0)</formula>
    </cfRule>
  </conditionalFormatting>
  <conditionalFormatting sqref="T36">
    <cfRule type="expression" dxfId="71" priority="84">
      <formula>AND($Y$109&gt;0,$Z$137=0)</formula>
    </cfRule>
    <cfRule type="expression" dxfId="70" priority="85">
      <formula>AND($Y$109&gt;0,$Z$137&gt;0)</formula>
    </cfRule>
  </conditionalFormatting>
  <conditionalFormatting sqref="D46:E46">
    <cfRule type="expression" dxfId="69" priority="78">
      <formula>AND($Y$109&gt;0,$Z$141=0)</formula>
    </cfRule>
    <cfRule type="expression" dxfId="68" priority="79">
      <formula>AND($Y$109&gt;0,$Z$141&gt;0)</formula>
    </cfRule>
  </conditionalFormatting>
  <conditionalFormatting sqref="G46:H46">
    <cfRule type="expression" dxfId="67" priority="76">
      <formula>AND($Y$109&gt;0,$Z$142=0)</formula>
    </cfRule>
    <cfRule type="expression" dxfId="66" priority="77">
      <formula>AND($Y$109&gt;0,$Z$142&gt;0)</formula>
    </cfRule>
  </conditionalFormatting>
  <conditionalFormatting sqref="J46:K46">
    <cfRule type="expression" dxfId="65" priority="74">
      <formula>AND($Y$109&gt;0,$Z$143=0)</formula>
    </cfRule>
    <cfRule type="expression" dxfId="64" priority="75">
      <formula>AND($Y$109&gt;0,$Z$143&gt;0)</formula>
    </cfRule>
  </conditionalFormatting>
  <conditionalFormatting sqref="O46">
    <cfRule type="expression" dxfId="63" priority="72">
      <formula>AND($Y$109&gt;0,$Z$144=0)</formula>
    </cfRule>
    <cfRule type="expression" dxfId="62" priority="73">
      <formula>AND($Y$109&gt;0,$Z$144&gt;0)</formula>
    </cfRule>
  </conditionalFormatting>
  <conditionalFormatting sqref="S46:T46">
    <cfRule type="expression" dxfId="61" priority="70">
      <formula>AND($Y$109&gt;0,$Z$145=0)</formula>
    </cfRule>
    <cfRule type="expression" dxfId="60" priority="71">
      <formula>AND($Y$109&gt;0,$Z$145&gt;0)</formula>
    </cfRule>
  </conditionalFormatting>
  <conditionalFormatting sqref="D47:K47">
    <cfRule type="expression" dxfId="59" priority="68">
      <formula>AND($Y$109&gt;0,$Z$146=0)</formula>
    </cfRule>
    <cfRule type="expression" dxfId="58" priority="69">
      <formula>AND($Y$109&gt;0,$Z$146&gt;0)</formula>
    </cfRule>
  </conditionalFormatting>
  <conditionalFormatting sqref="O47">
    <cfRule type="expression" dxfId="57" priority="66">
      <formula>AND($Y$109&gt;0,$Z$147=0)</formula>
    </cfRule>
    <cfRule type="expression" dxfId="56" priority="67">
      <formula>AND($Y$109&gt;0,$Z$147&gt;0)</formula>
    </cfRule>
  </conditionalFormatting>
  <conditionalFormatting sqref="D58:K58">
    <cfRule type="expression" dxfId="55" priority="64">
      <formula>AND($Y$109&gt;0,$Z$156=0)</formula>
    </cfRule>
    <cfRule type="expression" dxfId="54" priority="65">
      <formula>AND($Y$109&gt;0,$Z$156&gt;0)</formula>
    </cfRule>
  </conditionalFormatting>
  <conditionalFormatting sqref="D59:K59">
    <cfRule type="expression" dxfId="53" priority="62">
      <formula>AND($Y$109&gt;0,$Z$159=0)</formula>
    </cfRule>
    <cfRule type="expression" dxfId="52" priority="63">
      <formula>AND($Y$109&gt;0,$Z$159&gt;0)</formula>
    </cfRule>
  </conditionalFormatting>
  <conditionalFormatting sqref="D61:K62">
    <cfRule type="expression" dxfId="51" priority="60">
      <formula>AND($Y$109&gt;0,$Z$165=0)</formula>
    </cfRule>
    <cfRule type="expression" dxfId="50" priority="61">
      <formula>AND($Y$109&gt;0,$Z$165&gt;0)</formula>
    </cfRule>
  </conditionalFormatting>
  <conditionalFormatting sqref="O58:O59">
    <cfRule type="expression" dxfId="49" priority="58">
      <formula>AND($Y$109&gt;0,$Z$160&gt;0)</formula>
    </cfRule>
    <cfRule type="expression" dxfId="48" priority="59">
      <formula>AND($Y$109&gt;0,$Z$160=0)</formula>
    </cfRule>
  </conditionalFormatting>
  <conditionalFormatting sqref="O61:O62">
    <cfRule type="expression" dxfId="47" priority="56">
      <formula>AND($Y$109&gt;0,$Z$166&gt;0)</formula>
    </cfRule>
    <cfRule type="expression" dxfId="46" priority="57">
      <formula>AND($Y$109&gt;0,$Z$166=0)</formula>
    </cfRule>
  </conditionalFormatting>
  <conditionalFormatting sqref="S58:T59">
    <cfRule type="expression" dxfId="45" priority="54">
      <formula>AND($Y$109&gt;0,$Z$161&gt;0)</formula>
    </cfRule>
    <cfRule type="expression" dxfId="44" priority="55">
      <formula>AND($Y$109&gt;0,$Z$161=0)</formula>
    </cfRule>
  </conditionalFormatting>
  <conditionalFormatting sqref="S62:T62">
    <cfRule type="expression" dxfId="43" priority="52">
      <formula>AND($Y$109&gt;0,$Z$167&gt;0)</formula>
    </cfRule>
    <cfRule type="expression" dxfId="42" priority="53">
      <formula>AND($Y$109&gt;0,$Z$167=0)</formula>
    </cfRule>
  </conditionalFormatting>
  <conditionalFormatting sqref="D83:K83">
    <cfRule type="expression" dxfId="41" priority="45">
      <formula>AND($Y$109&gt;0,$Z$177=0)</formula>
    </cfRule>
    <cfRule type="expression" dxfId="40" priority="46">
      <formula>AND($Y$109&gt;0,$Z$177&gt;0)</formula>
    </cfRule>
  </conditionalFormatting>
  <conditionalFormatting sqref="D66:K66">
    <cfRule type="expression" dxfId="39" priority="41">
      <formula>AND($Y$109&gt;0,$Z$168=0)</formula>
    </cfRule>
    <cfRule type="expression" dxfId="38" priority="42">
      <formula>AND($Y$109&gt;0,$Z$168&gt;0)</formula>
    </cfRule>
  </conditionalFormatting>
  <conditionalFormatting sqref="B70">
    <cfRule type="expression" dxfId="37" priority="39">
      <formula>AND($Y$109&gt;0,$Z$169&gt;0)</formula>
    </cfRule>
    <cfRule type="expression" dxfId="36" priority="40">
      <formula>AND($Y$109&gt;0,$Z$169=0)</formula>
    </cfRule>
  </conditionalFormatting>
  <conditionalFormatting sqref="D74:T74">
    <cfRule type="expression" dxfId="35" priority="37">
      <formula>AND($Y$109&gt;0,$Z$170&gt;0)</formula>
    </cfRule>
    <cfRule type="expression" dxfId="34" priority="38">
      <formula>AND($Y$109&gt;0,$Z$170=0)</formula>
    </cfRule>
  </conditionalFormatting>
  <conditionalFormatting sqref="D78:T78 D76:T76">
    <cfRule type="expression" dxfId="33" priority="35">
      <formula>AND($Y$109&gt;0,$Z$172&gt;0)</formula>
    </cfRule>
    <cfRule type="expression" dxfId="32" priority="36">
      <formula>AND($Y$109&gt;0,$Z$172=0)</formula>
    </cfRule>
  </conditionalFormatting>
  <conditionalFormatting sqref="O80">
    <cfRule type="expression" dxfId="31" priority="33">
      <formula>AND($Y$109&gt;0,$Z$175&gt;0)</formula>
    </cfRule>
    <cfRule type="expression" dxfId="30" priority="34">
      <formula>AND($Y$109&gt;0,$Z$175=0)</formula>
    </cfRule>
  </conditionalFormatting>
  <conditionalFormatting sqref="S80:T80">
    <cfRule type="expression" dxfId="29" priority="31">
      <formula>AND($Y$109&gt;0,$Z$176&gt;0)</formula>
    </cfRule>
    <cfRule type="expression" dxfId="28" priority="32">
      <formula>AND($Y$109&gt;0,$Z$176=0)</formula>
    </cfRule>
  </conditionalFormatting>
  <conditionalFormatting sqref="D80">
    <cfRule type="expression" dxfId="27" priority="29">
      <formula>AND($Y$109&gt;0,$Z$173=0)</formula>
    </cfRule>
    <cfRule type="expression" dxfId="26" priority="30">
      <formula>AND($Y$109&gt;0,$Z$173&gt;0)</formula>
    </cfRule>
  </conditionalFormatting>
  <conditionalFormatting sqref="I80">
    <cfRule type="expression" dxfId="25" priority="27">
      <formula>AND($Y$109&gt;0,$Z$174=0)</formula>
    </cfRule>
    <cfRule type="expression" dxfId="24" priority="28">
      <formula>AND($Y$109&gt;0,$Z$174&gt;0)</formula>
    </cfRule>
  </conditionalFormatting>
  <conditionalFormatting sqref="C88">
    <cfRule type="expression" dxfId="23" priority="25">
      <formula>AND($Y$109&gt;0,$Z$178=0)</formula>
    </cfRule>
    <cfRule type="expression" dxfId="22" priority="26">
      <formula>AND($Y$109&gt;0,$Z$178&gt;0)</formula>
    </cfRule>
  </conditionalFormatting>
  <conditionalFormatting sqref="C89:C91">
    <cfRule type="expression" dxfId="21" priority="23">
      <formula>AND($Y$109&gt;0,$Z$187=0)</formula>
    </cfRule>
    <cfRule type="expression" dxfId="20" priority="24">
      <formula>AND($Y$109&gt;0,$Z$187&gt;0)</formula>
    </cfRule>
  </conditionalFormatting>
  <conditionalFormatting sqref="M88">
    <cfRule type="expression" dxfId="19" priority="21">
      <formula>AND($Y$109&gt;0,$Z$179=0)</formula>
    </cfRule>
    <cfRule type="expression" dxfId="18" priority="22">
      <formula>AND($Y$109&gt;0,$Z$179&gt;0)</formula>
    </cfRule>
  </conditionalFormatting>
  <conditionalFormatting sqref="M89:M91">
    <cfRule type="expression" dxfId="17" priority="19">
      <formula>AND($Y$109&gt;0,$Z$188=0)</formula>
    </cfRule>
    <cfRule type="expression" dxfId="16" priority="20">
      <formula>AND($Y$109&gt;0,$Z$188&gt;0)</formula>
    </cfRule>
  </conditionalFormatting>
  <conditionalFormatting sqref="Q88">
    <cfRule type="expression" dxfId="15" priority="17">
      <formula>AND($Y$109&gt;0,$Z$180=0)</formula>
    </cfRule>
    <cfRule type="expression" dxfId="14" priority="18">
      <formula>AND($Y$109&gt;0,$Z$180&gt;0)</formula>
    </cfRule>
  </conditionalFormatting>
  <conditionalFormatting sqref="Q89:Q91">
    <cfRule type="expression" dxfId="13" priority="15">
      <formula>AND($Y$109&gt;0,$Z$189=0)</formula>
    </cfRule>
    <cfRule type="expression" dxfId="12" priority="16">
      <formula>AND($Y$109&gt;0,$Z$189&gt;0)</formula>
    </cfRule>
  </conditionalFormatting>
  <conditionalFormatting sqref="B95">
    <cfRule type="expression" dxfId="11" priority="13">
      <formula>AND($Y$109&gt;0,$Z$190&gt;0)</formula>
    </cfRule>
    <cfRule type="expression" dxfId="10" priority="14">
      <formula>AND($Y$109&gt;0,$Z$190=0)</formula>
    </cfRule>
  </conditionalFormatting>
  <conditionalFormatting sqref="D98:K98">
    <cfRule type="expression" dxfId="9" priority="11">
      <formula>AND($Y$109&gt;0,$Z$191=0)</formula>
    </cfRule>
    <cfRule type="expression" dxfId="8" priority="12">
      <formula>AND($Y$109&gt;0,$Z$191&gt;0)</formula>
    </cfRule>
  </conditionalFormatting>
  <conditionalFormatting sqref="B102">
    <cfRule type="expression" dxfId="7" priority="9">
      <formula>AND($Y$109&gt;0,$Z$192&gt;0)</formula>
    </cfRule>
    <cfRule type="expression" dxfId="6" priority="10">
      <formula>AND($Y$109&gt;0,$Z$192=0)</formula>
    </cfRule>
  </conditionalFormatting>
  <conditionalFormatting sqref="T37:T38">
    <cfRule type="expression" dxfId="5" priority="7">
      <formula>AND($Y$109&gt;0,$Z$137=0)</formula>
    </cfRule>
    <cfRule type="expression" dxfId="4" priority="8">
      <formula>AND($Y$109&gt;0,$Z$137&gt;0)</formula>
    </cfRule>
  </conditionalFormatting>
  <conditionalFormatting sqref="T42">
    <cfRule type="expression" dxfId="3" priority="5">
      <formula>AND($Y$109&gt;0,$Z$137=0)</formula>
    </cfRule>
    <cfRule type="expression" dxfId="2" priority="6">
      <formula>AND($Y$109&gt;0,$Z$137&gt;0)</formula>
    </cfRule>
  </conditionalFormatting>
  <conditionalFormatting sqref="S61:T61">
    <cfRule type="expression" dxfId="1" priority="1">
      <formula>AND($Y$109&gt;0,$Z$161&gt;0)</formula>
    </cfRule>
    <cfRule type="expression" dxfId="0" priority="2">
      <formula>AND($Y$109&gt;0,$Z$161=0)</formula>
    </cfRule>
  </conditionalFormatting>
  <dataValidations count="11">
    <dataValidation allowBlank="1" showInputMessage="1" showErrorMessage="1" promptTitle="Please Select a Nationality" sqref="K51 K15" xr:uid="{2248EE02-DA91-4894-8F97-0180DE7507AA}"/>
    <dataValidation type="list" allowBlank="1" showInputMessage="1" showErrorMessage="1" sqref="D18 D98:K98" xr:uid="{056CC519-4C90-4F66-99BC-E2A10F238C9A}">
      <formula1>"YES,NO"</formula1>
    </dataValidation>
    <dataValidation type="list" allowBlank="1" showInputMessage="1" showErrorMessage="1" sqref="D66:K66" xr:uid="{52C55F6A-0DCF-4BB6-A5BF-65BB462923A6}">
      <formula1>"Yes,No"</formula1>
    </dataValidation>
    <dataValidation type="list" allowBlank="1" showInputMessage="1" showErrorMessage="1" sqref="D11:K11" xr:uid="{9769432A-9919-4FAA-A239-D9C8FC6CAF2B}">
      <formula1>$AF$2:$AF$3</formula1>
    </dataValidation>
    <dataValidation type="list" allowBlank="1" showInputMessage="1" showErrorMessage="1" sqref="D20:K20" xr:uid="{EFD291A5-8283-4980-9C9B-B0FD5C20F570}">
      <formula1>$AH$2:$AH$77</formula1>
    </dataValidation>
    <dataValidation type="list" allowBlank="1" showInputMessage="1" showErrorMessage="1" sqref="S20:T20" xr:uid="{10CE5D9A-0081-417B-8979-1E2B3490EAE8}">
      <formula1>$AB$2:$AB$166</formula1>
    </dataValidation>
    <dataValidation type="list" allowBlank="1" showInputMessage="1" showErrorMessage="1" sqref="S5:T5" xr:uid="{19C1698D-98C9-42CA-889D-79995BA37BF8}">
      <formula1>$AD$2:$AD$17</formula1>
    </dataValidation>
    <dataValidation type="list" allowBlank="1" showInputMessage="1" showErrorMessage="1" sqref="D32:O32" xr:uid="{C5892FAC-72FF-4E22-879B-2274EAEC9E4E}">
      <formula1>$AN$2:$AN$22</formula1>
    </dataValidation>
    <dataValidation type="list" allowBlank="1" showInputMessage="1" showErrorMessage="1" sqref="T36:T38 T42" xr:uid="{254E96A5-D4B5-4C29-B46E-0092871CB4F3}">
      <formula1>"X"</formula1>
    </dataValidation>
    <dataValidation type="list" allowBlank="1" showInputMessage="1" showErrorMessage="1" sqref="O46" xr:uid="{3C52A2E9-D351-4683-9119-F1377CFC9B71}">
      <formula1>$AR$2:$AR$13</formula1>
    </dataValidation>
    <dataValidation type="list" allowBlank="1" showInputMessage="1" showErrorMessage="1" sqref="O9" xr:uid="{73E6290A-F06C-4F39-8758-5E0A2B302ECD}">
      <formula1>$AH$2:$AH$77</formula1>
    </dataValidation>
  </dataValidations>
  <printOptions horizontalCentered="1" verticalCentered="1"/>
  <pageMargins left="0.70866141732283472" right="0.70866141732283472" top="0.74803149606299213" bottom="0.74803149606299213" header="0.31496062992125984" footer="0.31496062992125984"/>
  <pageSetup paperSize="9"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Application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RFUAdmin</dc:creator>
  <cp:lastModifiedBy>ly Gu</cp:lastModifiedBy>
  <cp:lastPrinted>2013-02-01T09:43:52Z</cp:lastPrinted>
  <dcterms:created xsi:type="dcterms:W3CDTF">2012-12-04T16:21:52Z</dcterms:created>
  <dcterms:modified xsi:type="dcterms:W3CDTF">2026-02-11T09:41:30Z</dcterms:modified>
</cp:coreProperties>
</file>