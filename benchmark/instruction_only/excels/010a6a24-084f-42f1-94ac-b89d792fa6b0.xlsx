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FD03C7AE-F934-41C6-A62A-24988BACED06}" xr6:coauthVersionLast="47" xr6:coauthVersionMax="47" xr10:uidLastSave="{00000000-0000-0000-0000-000000000000}"/>
  <bookViews>
    <workbookView xWindow="1470" yWindow="1470" windowWidth="17280" windowHeight="9983" xr2:uid="{19AA58CF-965A-4972-990D-60B7F8058374}"/>
  </bookViews>
  <sheets>
    <sheet name="Contracting" sheetId="9" r:id="rId1"/>
    <sheet name="TPT Return Front Page" sheetId="8" r:id="rId2"/>
    <sheet name="TPT Return Back Page" sheetId="7" r:id="rId3"/>
  </sheets>
  <definedNames>
    <definedName name="_xlnm.Print_Area" localSheetId="1">'TPT Return Front Page'!$A$1:$M$47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9" l="1"/>
  <c r="F44" i="9" s="1"/>
  <c r="G43" i="7" s="1"/>
  <c r="E44" i="9"/>
  <c r="G31" i="7" s="1"/>
  <c r="B37" i="9"/>
  <c r="B38" i="9"/>
  <c r="B39" i="9"/>
  <c r="B26" i="9"/>
  <c r="F43" i="9" s="1"/>
  <c r="F43" i="7" s="1"/>
  <c r="E43" i="9"/>
  <c r="F31" i="7" s="1"/>
  <c r="F54" i="7" s="1"/>
  <c r="H21" i="8" s="1"/>
  <c r="B40" i="9"/>
  <c r="B33" i="9"/>
  <c r="B31" i="9"/>
  <c r="B32" i="9"/>
  <c r="B30" i="9"/>
  <c r="A22" i="8"/>
  <c r="A21" i="8"/>
  <c r="D11" i="8"/>
  <c r="D8" i="8"/>
  <c r="D7" i="8"/>
  <c r="F22" i="8"/>
  <c r="B44" i="9"/>
  <c r="G44" i="7" s="1"/>
  <c r="C44" i="9"/>
  <c r="G41" i="7" s="1"/>
  <c r="D22" i="8"/>
  <c r="E22" i="8"/>
  <c r="E21" i="8"/>
  <c r="C43" i="9"/>
  <c r="F41" i="7" s="1"/>
  <c r="B43" i="9"/>
  <c r="F44" i="7"/>
  <c r="F21" i="8"/>
  <c r="G29" i="7"/>
  <c r="F29" i="7"/>
  <c r="A14" i="8"/>
  <c r="A13" i="8"/>
  <c r="A12" i="8"/>
  <c r="M31" i="8"/>
  <c r="D21" i="8"/>
  <c r="J21" i="8" l="1"/>
  <c r="G54" i="7"/>
  <c r="H22" i="8" s="1"/>
  <c r="M21" i="8"/>
  <c r="J22" i="8"/>
  <c r="M22" i="8" s="1"/>
  <c r="M27" i="8" l="1"/>
  <c r="M30" i="8" s="1"/>
  <c r="B2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City of Flagstaff</author>
  </authors>
  <commentList>
    <comment ref="B19" authorId="0" shapeId="0" xr:uid="{16FDB8AE-8A52-4E8D-BDD1-04052B517EB2}">
      <text>
        <r>
          <rPr>
            <b/>
            <sz val="8"/>
            <color indexed="10"/>
            <rFont val="Tahoma"/>
            <family val="2"/>
          </rPr>
          <t>ANSWER YES OR NO.</t>
        </r>
      </text>
    </comment>
  </commentList>
</comments>
</file>

<file path=xl/sharedStrings.xml><?xml version="1.0" encoding="utf-8"?>
<sst xmlns="http://schemas.openxmlformats.org/spreadsheetml/2006/main" count="172" uniqueCount="156">
  <si>
    <t>Business Description</t>
  </si>
  <si>
    <t>Line</t>
  </si>
  <si>
    <t>Bus. Class</t>
  </si>
  <si>
    <t>Column 1</t>
  </si>
  <si>
    <t>Column 2</t>
  </si>
  <si>
    <t>Column 3</t>
  </si>
  <si>
    <t>Column 4</t>
  </si>
  <si>
    <t>Column 5</t>
  </si>
  <si>
    <t>= Tax Amount</t>
  </si>
  <si>
    <t>Equals (=)</t>
  </si>
  <si>
    <t>PENALTY &amp; INTEREST (see instructions)</t>
  </si>
  <si>
    <t>ENTER TOTAL AMOUNT PAID</t>
  </si>
  <si>
    <t>Return original with remittance in envelope provided.</t>
  </si>
  <si>
    <t>2.  Failure to Pay - A penalty of 10% of the unpaid tax will be assessed if the tax is not paid timely.</t>
  </si>
  <si>
    <t>3.  Total Penalty - Total penalties assessed will not exceed 25%.</t>
  </si>
  <si>
    <t>LINE 1</t>
  </si>
  <si>
    <t>LINE 2</t>
  </si>
  <si>
    <t>LINE 3</t>
  </si>
  <si>
    <t>LINE 4</t>
  </si>
  <si>
    <t>ENTER NET AMOUNT DUE</t>
  </si>
  <si>
    <t>*</t>
  </si>
  <si>
    <t>Plus     (+)</t>
  </si>
  <si>
    <t>TOTAL FROM ADDITIONAL PAGES</t>
  </si>
  <si>
    <t>POSTMARKS ARE NOT EVIDENCE OF TIMELY FILING.</t>
  </si>
  <si>
    <t>Taxes received after the delinquency date will be assessed interest at a rate of 1% per month until paid.</t>
  </si>
  <si>
    <t>Sfx</t>
  </si>
  <si>
    <t>Gross Income</t>
  </si>
  <si>
    <t xml:space="preserve">Declaration of preparer (other than taxpayer) is based on all information of which preparer has any knowledge. </t>
  </si>
  <si>
    <t>CITY OF FLAGSTAFF, ARIZONA</t>
  </si>
  <si>
    <t>=Taxable Income</t>
  </si>
  <si>
    <t>CITY OF FLAGSTAFF TRANSACTION PRIVILEGE (SALES) TAX RETURN</t>
  </si>
  <si>
    <t>ENTER EXCESS CITY TAX COLLECTED</t>
  </si>
  <si>
    <t>Less:           Deductions</t>
  </si>
  <si>
    <t xml:space="preserve">1.  Late Filing/Failure to File - A penalty of 5% of the tax due will be assessed for each month, or fraction elapsing between the </t>
  </si>
  <si>
    <t xml:space="preserve">     delinquency date of the return and the date on which it is filed.  Filing your return on time, whether or not you pay the tax due, </t>
  </si>
  <si>
    <t xml:space="preserve">     will avoid the late filing penalty.</t>
  </si>
  <si>
    <t>THIS RETURN MUST BE FILED EVEN IF YOU HAVE NO TAXES TO REPORT</t>
  </si>
  <si>
    <t>Total Tax Collected or Factored</t>
  </si>
  <si>
    <t>Please make check payable to: CITY OF FLAGSTAFF and include city tax license number on your check.</t>
  </si>
  <si>
    <t>The due date for the city privilege tax is the 20th of the month following the reporting period.  A return is considered timely if received</t>
  </si>
  <si>
    <t>You must keep a detailed record of all deductions and exclusions.  Failure to maintain proper documentation and records required by city ordinance may</t>
  </si>
  <si>
    <t>result in their disallowance.  A separate detail of city records and documentation must be maintained only when the income, deductions or exemptions</t>
  </si>
  <si>
    <r>
      <t xml:space="preserve">are different from state requirements.  </t>
    </r>
    <r>
      <rPr>
        <i/>
        <sz val="9"/>
        <rFont val="Arial"/>
        <family val="2"/>
      </rPr>
      <t/>
    </r>
  </si>
  <si>
    <t>Deductions</t>
  </si>
  <si>
    <t>Code</t>
  </si>
  <si>
    <t>1.  Late Filing/Failure to File - A penalty of 5% of the tax will be assessed for each month, or fraction elapsing between the</t>
  </si>
  <si>
    <t xml:space="preserve">  Total Tax Collected or Factored</t>
  </si>
  <si>
    <t xml:space="preserve">  Bad Debts Write-Offs</t>
  </si>
  <si>
    <t xml:space="preserve">  Sales for resale </t>
  </si>
  <si>
    <t xml:space="preserve">  Service Labor</t>
  </si>
  <si>
    <t xml:space="preserve">  Returns and Discounts</t>
  </si>
  <si>
    <t xml:space="preserve">  Exempt Institutes</t>
  </si>
  <si>
    <t xml:space="preserve">  Gasoline Sales</t>
  </si>
  <si>
    <t xml:space="preserve">  Federal Government Sales</t>
  </si>
  <si>
    <t xml:space="preserve">  Out of City Sales</t>
  </si>
  <si>
    <t xml:space="preserve">  Out of State Sales</t>
  </si>
  <si>
    <t xml:space="preserve">  Std 35% Contractors Deduction</t>
  </si>
  <si>
    <t xml:space="preserve">  Subcontracting</t>
  </si>
  <si>
    <t xml:space="preserve">  Exempt Food Sales </t>
  </si>
  <si>
    <t xml:space="preserve">  Prescribed Drugs</t>
  </si>
  <si>
    <t xml:space="preserve">  Prosthetics</t>
  </si>
  <si>
    <t xml:space="preserve">  Delivery Charge/Freight Out</t>
  </si>
  <si>
    <t xml:space="preserve">  National Advertising</t>
  </si>
  <si>
    <t xml:space="preserve">  Total Deductions</t>
  </si>
  <si>
    <t xml:space="preserve">FOR ASSISTANCE, CALL:  City of Flagstaff (928) 779-7614 </t>
  </si>
  <si>
    <t xml:space="preserve"> The due date for the city privilege tax is the 20th of the month following the reporting period.  A return is considered timely if received</t>
  </si>
  <si>
    <t xml:space="preserve">      delinquency date of the return and the date on which it is filled.  Filing your return on time, whether or not you pay the tax due, will</t>
  </si>
  <si>
    <t xml:space="preserve">      avoid the late filing penalty.</t>
  </si>
  <si>
    <t xml:space="preserve">                          by the last business day of the month.  A business day is any day except Saturday, Sunday or a legal city holiday.</t>
  </si>
  <si>
    <t>PENALTIES</t>
  </si>
  <si>
    <t xml:space="preserve">                      *  Itemized deductions equal the total deductions recorded.</t>
  </si>
  <si>
    <t xml:space="preserve">                      *  Taxable income equals gross income less total deductions.</t>
  </si>
  <si>
    <t xml:space="preserve">                      *  Tax due is equal to the amount obtained by applying the preprinted tax rate to the taxable income amount.</t>
  </si>
  <si>
    <t xml:space="preserve">                      *  Total tax due equals tax due plus any excess tax collected.</t>
  </si>
  <si>
    <t>PO BOX 22518 FLAGSTAFF, AZ  86002-2518</t>
  </si>
  <si>
    <t xml:space="preserve">  Transient Lodging (more than 29 days)</t>
  </si>
  <si>
    <t xml:space="preserve">ENTER CREDIT BALANCE OR BALANCE DUE TO BE APPLIED </t>
  </si>
  <si>
    <t>Minus   (-) Plus  (+)</t>
  </si>
  <si>
    <t xml:space="preserve">Under penalties of perjury, I declare that I have examined this return and to the best of my knowledge and belief is true, correct and complete. </t>
  </si>
  <si>
    <r>
      <t>CHECK YOUR RETURN</t>
    </r>
    <r>
      <rPr>
        <sz val="9"/>
        <color indexed="12"/>
        <rFont val="Arial"/>
        <family val="2"/>
      </rPr>
      <t xml:space="preserve">  Check the amounts recorded by type of income for each line item as follows.</t>
    </r>
  </si>
  <si>
    <r>
      <t>SCHEDULE A - DETAILS OF DEDUCTIONS</t>
    </r>
    <r>
      <rPr>
        <sz val="11"/>
        <color indexed="12"/>
        <rFont val="Arial"/>
        <family val="2"/>
      </rPr>
      <t>:</t>
    </r>
    <r>
      <rPr>
        <sz val="9"/>
        <rFont val="Arial"/>
        <family val="2"/>
      </rPr>
      <t xml:space="preserve">  </t>
    </r>
    <r>
      <rPr>
        <sz val="9"/>
        <color indexed="12"/>
        <rFont val="Arial"/>
        <family val="2"/>
      </rPr>
      <t xml:space="preserve"> Enter below the deductions and exclusions you used in computing your city transaction privilege tax.</t>
    </r>
  </si>
  <si>
    <r>
      <t>Please note</t>
    </r>
    <r>
      <rPr>
        <sz val="9"/>
        <color indexed="12"/>
        <rFont val="Arial"/>
        <family val="2"/>
      </rPr>
      <t>:  Not all deductions are available to all business classifications.</t>
    </r>
  </si>
  <si>
    <r>
      <t>NOTE</t>
    </r>
    <r>
      <rPr>
        <b/>
        <sz val="9"/>
        <color indexed="12"/>
        <rFont val="Arial"/>
        <family val="2"/>
      </rPr>
      <t xml:space="preserve">:  </t>
    </r>
    <r>
      <rPr>
        <b/>
        <u/>
        <sz val="9"/>
        <color indexed="12"/>
        <rFont val="Arial"/>
        <family val="2"/>
      </rPr>
      <t>The line numbers at the top of each column below correspond with the line numbers of the business descriptions listed on the front page.</t>
    </r>
  </si>
  <si>
    <r>
      <t xml:space="preserve">GRAND TOTAL </t>
    </r>
    <r>
      <rPr>
        <sz val="12"/>
        <color indexed="12"/>
        <rFont val="Arial"/>
        <family val="2"/>
      </rPr>
      <t>(Add Column 5, Lines 1 Through 6)</t>
    </r>
  </si>
  <si>
    <r>
      <t>PLEASE DO NOT STAPLE OR TAPE PAYMENT TO YOUR RETURN.</t>
    </r>
    <r>
      <rPr>
        <sz val="12"/>
        <color indexed="12"/>
        <rFont val="Arial"/>
        <family val="2"/>
      </rPr>
      <t xml:space="preserve"> </t>
    </r>
    <r>
      <rPr>
        <u/>
        <sz val="12"/>
        <color indexed="10"/>
        <rFont val="Arial"/>
        <family val="2"/>
      </rPr>
      <t>DO NOT SEND CASH.</t>
    </r>
  </si>
  <si>
    <t>www.flagstaff.az.gov</t>
  </si>
  <si>
    <t>CALCULATION FOR CITY OF FLAGSTAFF CONTRACTING TAX</t>
  </si>
  <si>
    <t>FILL IN BLOCKED CELLS ONLY. USE TAB KEY TO MOVE TO NEXT CELL.</t>
  </si>
  <si>
    <t>PLEASE COMPLETE THE FOLLOWING INFORMATION FROM THE BLANK RETURN MAILED TO YOU BY THE CITY:</t>
  </si>
  <si>
    <t>TAXPAYER NAME</t>
  </si>
  <si>
    <t>TAX RATE</t>
  </si>
  <si>
    <t>MAILING ADDRESS</t>
  </si>
  <si>
    <t>CITY, ST ZIP</t>
  </si>
  <si>
    <t>CITY LICENSE NO.</t>
  </si>
  <si>
    <t>REPORT PERIOD</t>
  </si>
  <si>
    <t>DELINQUENT IF NOT RECEIVED BY</t>
  </si>
  <si>
    <t>PLEASE COMPLETE THE FOLLOWING INFORMATION FROM YOUR INCOME RECORDS:</t>
  </si>
  <si>
    <t>TAX AMOUNT YOU OWE</t>
  </si>
  <si>
    <t>ENTER AMOUNT OF CHECK</t>
  </si>
  <si>
    <t>DEDUCTIONS</t>
  </si>
  <si>
    <t>SUBCONTRACTOR</t>
  </si>
  <si>
    <t>OUT-OF-CITY</t>
  </si>
  <si>
    <t>LAND</t>
  </si>
  <si>
    <t>TAX COLLECTED</t>
  </si>
  <si>
    <t>STD 35%</t>
  </si>
  <si>
    <t>DEDUCTIONS CODE</t>
  </si>
  <si>
    <t># 7</t>
  </si>
  <si>
    <t># 9</t>
  </si>
  <si>
    <t># 8</t>
  </si>
  <si>
    <t># 11</t>
  </si>
  <si>
    <t># 6</t>
  </si>
  <si>
    <t>PRINTING INSTRUCTIONS:</t>
  </si>
  <si>
    <r>
      <t>1. GO TO WORKSHEET TAB '</t>
    </r>
    <r>
      <rPr>
        <b/>
        <sz val="12"/>
        <rFont val="Arial"/>
        <family val="2"/>
      </rPr>
      <t>TPT Return Front Page</t>
    </r>
    <r>
      <rPr>
        <b/>
        <sz val="12"/>
        <color indexed="12"/>
        <rFont val="Arial"/>
        <family val="2"/>
      </rPr>
      <t>' AND PRESS PRINT ICON ON THE TOOLBAR.</t>
    </r>
  </si>
  <si>
    <r>
      <t>2. GO TO WORKSHEET TAB '</t>
    </r>
    <r>
      <rPr>
        <b/>
        <sz val="12"/>
        <rFont val="Arial"/>
        <family val="2"/>
      </rPr>
      <t>TPT Return Back Page</t>
    </r>
    <r>
      <rPr>
        <b/>
        <sz val="12"/>
        <color indexed="12"/>
        <rFont val="Arial"/>
        <family val="2"/>
      </rPr>
      <t>' AND PRESS PRINT ICON ON THE TOOLBAR.</t>
    </r>
  </si>
  <si>
    <t>3. PRINT THIS WORKSHEET FOR YOUR RECORDS BY PRESSING THE PRINT ICON ON THE TOOLBAR.</t>
  </si>
  <si>
    <t>OTHER INSTRUCTIONS:</t>
  </si>
  <si>
    <t>1. SIGN AND DATE THE TAX RETURN.</t>
  </si>
  <si>
    <t>2. MAIL TAX RETURN WITH REMITTANCE TO THE CITY OF FLAGSTAFF, P. O. BOX 22518, FLAGSTAFF AZ 86002-2518.</t>
  </si>
  <si>
    <t xml:space="preserve">CITY LICENSE NO. </t>
  </si>
  <si>
    <t>BUS. CLASS LINE 1</t>
  </si>
  <si>
    <t>BUS. CLASS LINE 2</t>
  </si>
  <si>
    <t>INCOME SUBJECT TO CITY TAX: 1500</t>
  </si>
  <si>
    <t>INCOME SUBJECT TO CITY TAX: 1600</t>
  </si>
  <si>
    <t>DOES THIS INCOME INCLUDE TAX?</t>
  </si>
  <si>
    <t>SFX LINE 1</t>
  </si>
  <si>
    <t>SFX LINE 2</t>
  </si>
  <si>
    <t>GROSS CONTRACTING INCOME LINE 1</t>
  </si>
  <si>
    <t>GROSS CONTRACTING INCOME LINE 2</t>
  </si>
  <si>
    <t>SUBCONTRACTING DEDUCTION LINE 1</t>
  </si>
  <si>
    <t>SUBCONTRACTING DEDUCTION LINE 2</t>
  </si>
  <si>
    <t>OUT-OF-CITY DEDUCTION LINE 1</t>
  </si>
  <si>
    <t>OUT-OF-CITY DEDUCTION LINE 2</t>
  </si>
  <si>
    <r>
      <t xml:space="preserve">  Other (</t>
    </r>
    <r>
      <rPr>
        <sz val="9"/>
        <color indexed="10"/>
        <rFont val="Arial"/>
        <family val="2"/>
      </rPr>
      <t>explain</t>
    </r>
    <r>
      <rPr>
        <sz val="9"/>
        <color indexed="12"/>
        <rFont val="Arial"/>
        <family val="2"/>
      </rPr>
      <t>) _________________</t>
    </r>
  </si>
  <si>
    <r>
      <t>DUE DATE:</t>
    </r>
    <r>
      <rPr>
        <sz val="11"/>
        <color indexed="10"/>
        <rFont val="Arial"/>
        <family val="2"/>
      </rPr>
      <t xml:space="preserve"> </t>
    </r>
  </si>
  <si>
    <r>
      <t>INTEREST:</t>
    </r>
    <r>
      <rPr>
        <sz val="10"/>
        <color indexed="12"/>
        <rFont val="Arial"/>
        <family val="2"/>
      </rPr>
      <t xml:space="preserve">        Taxes received after the delinquency date will be assessed interest at the federal short-term rate plus three percentage points.</t>
    </r>
  </si>
  <si>
    <t xml:space="preserve">                                 The interest CAN NOT be abated by the Tax Collector.</t>
  </si>
  <si>
    <t>THIS RETURN IS DUE ON THE 20TH OF THE MONTH</t>
  </si>
  <si>
    <t>x Tax Rate</t>
  </si>
  <si>
    <t xml:space="preserve">  Income-Producing Capital Equip</t>
  </si>
  <si>
    <t xml:space="preserve">  Impact Fees</t>
  </si>
  <si>
    <t>BUSINESS DESCRIPTION LINE 1</t>
  </si>
  <si>
    <t>BUSINESS DESCRIPTION LINE 2</t>
  </si>
  <si>
    <t>TPT-080107</t>
  </si>
  <si>
    <t>STATE LAND DEDUCTION LINE 1</t>
  </si>
  <si>
    <t>STATE LAND DEDUCTION LINE 2</t>
  </si>
  <si>
    <t>CITY TAX RATE</t>
  </si>
  <si>
    <t>IN CITY JOBS SUBJECT TO CITY TPT - 1</t>
  </si>
  <si>
    <t>IN CITY JOBS SUBJECT TO STATE TPT - 1</t>
  </si>
  <si>
    <t>IN CITY JOBS SUBJECT TO CITY TPT - 2</t>
  </si>
  <si>
    <t>IN CITY JOBS SUBJECT TO STATE TPT - 2</t>
  </si>
  <si>
    <t>CITY TAX ON LAND LINE 1</t>
  </si>
  <si>
    <t>COMMON BASE LINE 1</t>
  </si>
  <si>
    <t>CITY TAX ON LAND LINE 2</t>
  </si>
  <si>
    <t>COMMON BASE LINE 2</t>
  </si>
  <si>
    <t>TAX FACTOR FOR 9.446% TAX RATE</t>
  </si>
  <si>
    <t>TAX FACTOR 7.725%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</si>
</sst>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4" formatCode="0.000%"/>
    <numFmt numFmtId="186" formatCode="00"/>
    <numFmt numFmtId="190" formatCode="&quot;$&quot;#,##0.00"/>
    <numFmt numFmtId="191" formatCode="mm/dd/yy"/>
    <numFmt numFmtId="195" formatCode="0.00000"/>
  </numFmts>
  <fonts count="43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sz val="10"/>
      <color indexed="61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13"/>
      <color indexed="12"/>
      <name val="Arial"/>
      <family val="2"/>
    </font>
    <font>
      <sz val="11"/>
      <name val="Arial"/>
      <family val="2"/>
    </font>
    <font>
      <b/>
      <sz val="12"/>
      <color indexed="53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u/>
      <sz val="12"/>
      <color indexed="10"/>
      <name val="Arial"/>
      <family val="2"/>
    </font>
    <font>
      <b/>
      <sz val="11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sz val="12"/>
      <color indexed="12"/>
      <name val="Arial"/>
      <family val="2"/>
    </font>
    <font>
      <sz val="7"/>
      <color indexed="12"/>
      <name val="Arial"/>
      <family val="2"/>
    </font>
    <font>
      <i/>
      <sz val="9"/>
      <color indexed="12"/>
      <name val="Arial"/>
      <family val="2"/>
    </font>
    <font>
      <b/>
      <u/>
      <sz val="9"/>
      <color indexed="12"/>
      <name val="Arial"/>
      <family val="2"/>
    </font>
    <font>
      <u/>
      <sz val="10"/>
      <color indexed="12"/>
      <name val="Arial"/>
    </font>
    <font>
      <b/>
      <sz val="14"/>
      <color indexed="17"/>
      <name val="Arial"/>
      <family val="2"/>
    </font>
    <font>
      <b/>
      <sz val="14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8"/>
      <color indexed="10"/>
      <name val="Tahoma"/>
      <family val="2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sz val="6"/>
      <name val="Arial"/>
      <family val="2"/>
    </font>
    <font>
      <sz val="9"/>
      <color indexed="10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sz val="8"/>
      <color indexed="12"/>
      <name val="Arial"/>
      <family val="2"/>
    </font>
    <font>
      <sz val="10"/>
      <color indexed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Border="0"/>
    <xf numFmtId="0" fontId="29" fillId="0" borderId="0" applyNumberFormat="0" applyFill="0" applyBorder="0" applyAlignment="0" applyProtection="0">
      <alignment vertical="top"/>
      <protection locked="0"/>
    </xf>
  </cellStyleXfs>
  <cellXfs count="2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Border="1"/>
    <xf numFmtId="0" fontId="2" fillId="0" borderId="0" xfId="0" applyFont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top"/>
    </xf>
    <xf numFmtId="0" fontId="6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Border="1"/>
    <xf numFmtId="0" fontId="11" fillId="0" borderId="0" xfId="0" applyFont="1" applyFill="1"/>
    <xf numFmtId="0" fontId="10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3" fillId="0" borderId="0" xfId="0" applyFont="1" applyFill="1"/>
    <xf numFmtId="0" fontId="6" fillId="0" borderId="0" xfId="0" applyFont="1" applyBorder="1"/>
    <xf numFmtId="0" fontId="8" fillId="0" borderId="0" xfId="0" applyFont="1" applyBorder="1"/>
    <xf numFmtId="0" fontId="1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3" fillId="0" borderId="0" xfId="0" applyFont="1"/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Fill="1"/>
    <xf numFmtId="0" fontId="16" fillId="0" borderId="0" xfId="0" applyFont="1" applyFill="1"/>
    <xf numFmtId="0" fontId="2" fillId="2" borderId="0" xfId="0" applyFont="1" applyFill="1" applyAlignment="1">
      <alignment horizontal="center"/>
    </xf>
    <xf numFmtId="0" fontId="15" fillId="0" borderId="1" xfId="0" applyFont="1" applyBorder="1" applyAlignment="1">
      <alignment horizontal="center"/>
    </xf>
    <xf numFmtId="0" fontId="19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90" fontId="0" fillId="0" borderId="0" xfId="0" applyNumberFormat="1"/>
    <xf numFmtId="190" fontId="2" fillId="0" borderId="0" xfId="0" applyNumberFormat="1" applyFont="1"/>
    <xf numFmtId="190" fontId="1" fillId="0" borderId="0" xfId="0" applyNumberFormat="1" applyFont="1" applyBorder="1"/>
    <xf numFmtId="190" fontId="1" fillId="0" borderId="0" xfId="0" applyNumberFormat="1" applyFont="1"/>
    <xf numFmtId="190" fontId="4" fillId="0" borderId="0" xfId="0" applyNumberFormat="1" applyFont="1" applyBorder="1"/>
    <xf numFmtId="190" fontId="1" fillId="0" borderId="0" xfId="0" applyNumberFormat="1" applyFont="1" applyBorder="1" applyAlignment="1">
      <alignment horizontal="center"/>
    </xf>
    <xf numFmtId="190" fontId="0" fillId="0" borderId="0" xfId="0" applyNumberFormat="1" applyBorder="1"/>
    <xf numFmtId="190" fontId="0" fillId="0" borderId="0" xfId="0" applyNumberFormat="1" applyFill="1"/>
    <xf numFmtId="190" fontId="11" fillId="0" borderId="0" xfId="0" applyNumberFormat="1" applyFont="1" applyFill="1"/>
    <xf numFmtId="190" fontId="13" fillId="0" borderId="0" xfId="0" applyNumberFormat="1" applyFont="1" applyFill="1"/>
    <xf numFmtId="190" fontId="6" fillId="0" borderId="0" xfId="0" applyNumberFormat="1" applyFont="1" applyAlignment="1">
      <alignment horizontal="center"/>
    </xf>
    <xf numFmtId="190" fontId="2" fillId="0" borderId="0" xfId="0" applyNumberFormat="1" applyFont="1" applyBorder="1"/>
    <xf numFmtId="190" fontId="2" fillId="0" borderId="0" xfId="0" applyNumberFormat="1" applyFont="1" applyBorder="1" applyAlignment="1">
      <alignment vertical="top"/>
    </xf>
    <xf numFmtId="190" fontId="3" fillId="0" borderId="0" xfId="0" applyNumberFormat="1" applyFont="1" applyAlignment="1">
      <alignment horizontal="left"/>
    </xf>
    <xf numFmtId="0" fontId="9" fillId="0" borderId="2" xfId="0" applyFont="1" applyBorder="1"/>
    <xf numFmtId="0" fontId="23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190" fontId="9" fillId="0" borderId="2" xfId="0" applyNumberFormat="1" applyFont="1" applyBorder="1" applyAlignment="1">
      <alignment horizontal="center"/>
    </xf>
    <xf numFmtId="190" fontId="9" fillId="0" borderId="2" xfId="0" quotePrefix="1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90" fontId="4" fillId="0" borderId="2" xfId="0" applyNumberFormat="1" applyFont="1" applyBorder="1" applyAlignment="1">
      <alignment horizontal="right"/>
    </xf>
    <xf numFmtId="190" fontId="0" fillId="0" borderId="2" xfId="0" applyNumberFormat="1" applyBorder="1"/>
    <xf numFmtId="186" fontId="0" fillId="0" borderId="2" xfId="0" applyNumberFormat="1" applyBorder="1"/>
    <xf numFmtId="184" fontId="3" fillId="0" borderId="2" xfId="0" applyNumberFormat="1" applyFont="1" applyBorder="1"/>
    <xf numFmtId="0" fontId="0" fillId="0" borderId="2" xfId="0" applyBorder="1"/>
    <xf numFmtId="10" fontId="0" fillId="0" borderId="2" xfId="0" applyNumberFormat="1" applyBorder="1"/>
    <xf numFmtId="190" fontId="24" fillId="2" borderId="2" xfId="0" applyNumberFormat="1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9" fillId="0" borderId="0" xfId="0" applyFont="1"/>
    <xf numFmtId="0" fontId="25" fillId="2" borderId="2" xfId="0" applyFont="1" applyFill="1" applyBorder="1"/>
    <xf numFmtId="0" fontId="23" fillId="2" borderId="6" xfId="0" applyFont="1" applyFill="1" applyBorder="1"/>
    <xf numFmtId="190" fontId="23" fillId="2" borderId="7" xfId="0" applyNumberFormat="1" applyFont="1" applyFill="1" applyBorder="1"/>
    <xf numFmtId="190" fontId="23" fillId="2" borderId="8" xfId="0" applyNumberFormat="1" applyFont="1" applyFill="1" applyBorder="1"/>
    <xf numFmtId="0" fontId="23" fillId="2" borderId="2" xfId="0" applyFont="1" applyFill="1" applyBorder="1"/>
    <xf numFmtId="0" fontId="25" fillId="0" borderId="2" xfId="0" applyFont="1" applyBorder="1"/>
    <xf numFmtId="0" fontId="23" fillId="0" borderId="6" xfId="0" applyFont="1" applyBorder="1"/>
    <xf numFmtId="190" fontId="23" fillId="0" borderId="7" xfId="0" applyNumberFormat="1" applyFont="1" applyBorder="1"/>
    <xf numFmtId="190" fontId="23" fillId="0" borderId="8" xfId="0" applyNumberFormat="1" applyFont="1" applyBorder="1"/>
    <xf numFmtId="0" fontId="23" fillId="0" borderId="2" xfId="0" applyFont="1" applyBorder="1"/>
    <xf numFmtId="0" fontId="26" fillId="0" borderId="2" xfId="0" applyFont="1" applyBorder="1" applyAlignment="1">
      <alignment horizontal="right"/>
    </xf>
    <xf numFmtId="0" fontId="14" fillId="2" borderId="2" xfId="0" applyFont="1" applyFill="1" applyBorder="1"/>
    <xf numFmtId="0" fontId="25" fillId="2" borderId="6" xfId="0" applyFont="1" applyFill="1" applyBorder="1"/>
    <xf numFmtId="0" fontId="20" fillId="0" borderId="2" xfId="0" applyFont="1" applyBorder="1"/>
    <xf numFmtId="0" fontId="26" fillId="0" borderId="2" xfId="0" applyFont="1" applyBorder="1" applyAlignment="1">
      <alignment horizontal="center" wrapText="1"/>
    </xf>
    <xf numFmtId="190" fontId="23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/>
    </xf>
    <xf numFmtId="190" fontId="6" fillId="0" borderId="0" xfId="0" quotePrefix="1" applyNumberFormat="1" applyFont="1" applyBorder="1" applyAlignment="1">
      <alignment horizontal="right" vertical="top"/>
    </xf>
    <xf numFmtId="190" fontId="5" fillId="0" borderId="0" xfId="0" applyNumberFormat="1" applyFont="1" applyBorder="1"/>
    <xf numFmtId="0" fontId="5" fillId="0" borderId="0" xfId="0" applyFont="1" applyBorder="1"/>
    <xf numFmtId="190" fontId="5" fillId="0" borderId="0" xfId="0" applyNumberFormat="1" applyFont="1"/>
    <xf numFmtId="190" fontId="6" fillId="0" borderId="0" xfId="0" applyNumberFormat="1" applyFont="1" applyBorder="1"/>
    <xf numFmtId="0" fontId="11" fillId="0" borderId="0" xfId="0" applyFont="1"/>
    <xf numFmtId="0" fontId="27" fillId="0" borderId="0" xfId="0" applyFont="1"/>
    <xf numFmtId="190" fontId="9" fillId="2" borderId="2" xfId="0" applyNumberFormat="1" applyFont="1" applyFill="1" applyBorder="1" applyAlignment="1">
      <alignment horizontal="center"/>
    </xf>
    <xf numFmtId="190" fontId="2" fillId="3" borderId="9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90" fontId="8" fillId="2" borderId="2" xfId="0" applyNumberFormat="1" applyFont="1" applyFill="1" applyBorder="1" applyAlignment="1">
      <alignment horizontal="center"/>
    </xf>
    <xf numFmtId="190" fontId="2" fillId="0" borderId="2" xfId="0" applyNumberFormat="1" applyFont="1" applyBorder="1"/>
    <xf numFmtId="190" fontId="1" fillId="0" borderId="2" xfId="0" applyNumberFormat="1" applyFont="1" applyBorder="1"/>
    <xf numFmtId="0" fontId="9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24" fillId="0" borderId="7" xfId="0" applyFont="1" applyBorder="1"/>
    <xf numFmtId="190" fontId="1" fillId="0" borderId="10" xfId="0" applyNumberFormat="1" applyFont="1" applyBorder="1"/>
    <xf numFmtId="0" fontId="19" fillId="0" borderId="11" xfId="0" quotePrefix="1" applyFont="1" applyBorder="1" applyAlignment="1">
      <alignment horizontal="left"/>
    </xf>
    <xf numFmtId="0" fontId="8" fillId="0" borderId="11" xfId="0" applyFont="1" applyBorder="1"/>
    <xf numFmtId="190" fontId="8" fillId="0" borderId="11" xfId="0" applyNumberFormat="1" applyFont="1" applyBorder="1"/>
    <xf numFmtId="190" fontId="6" fillId="0" borderId="11" xfId="0" applyNumberFormat="1" applyFont="1" applyBorder="1"/>
    <xf numFmtId="190" fontId="3" fillId="0" borderId="0" xfId="0" applyNumberFormat="1" applyFont="1" applyAlignment="1">
      <alignment horizontal="center"/>
    </xf>
    <xf numFmtId="190" fontId="0" fillId="0" borderId="0" xfId="0" applyNumberFormat="1" applyAlignment="1"/>
    <xf numFmtId="0" fontId="32" fillId="0" borderId="0" xfId="0" applyFont="1"/>
    <xf numFmtId="191" fontId="0" fillId="0" borderId="0" xfId="0" applyNumberFormat="1"/>
    <xf numFmtId="0" fontId="32" fillId="0" borderId="0" xfId="0" applyNumberFormat="1" applyFont="1"/>
    <xf numFmtId="190" fontId="0" fillId="0" borderId="0" xfId="0" applyNumberFormat="1" applyAlignment="1">
      <alignment horizontal="center"/>
    </xf>
    <xf numFmtId="0" fontId="3" fillId="0" borderId="0" xfId="0" applyFont="1" applyBorder="1"/>
    <xf numFmtId="17" fontId="0" fillId="0" borderId="0" xfId="0" applyNumberFormat="1"/>
    <xf numFmtId="4" fontId="4" fillId="0" borderId="2" xfId="0" applyNumberFormat="1" applyFont="1" applyBorder="1" applyAlignment="1"/>
    <xf numFmtId="4" fontId="4" fillId="0" borderId="2" xfId="0" applyNumberFormat="1" applyFont="1" applyBorder="1" applyAlignment="1">
      <alignment horizontal="right"/>
    </xf>
    <xf numFmtId="4" fontId="4" fillId="0" borderId="2" xfId="0" applyNumberFormat="1" applyFont="1" applyBorder="1"/>
    <xf numFmtId="4" fontId="13" fillId="0" borderId="2" xfId="0" applyNumberFormat="1" applyFont="1" applyBorder="1"/>
    <xf numFmtId="0" fontId="3" fillId="0" borderId="2" xfId="0" applyFont="1" applyBorder="1" applyAlignment="1">
      <alignment horizontal="center"/>
    </xf>
    <xf numFmtId="4" fontId="22" fillId="0" borderId="0" xfId="0" applyNumberFormat="1" applyFont="1" applyAlignment="1"/>
    <xf numFmtId="4" fontId="17" fillId="0" borderId="2" xfId="0" applyNumberFormat="1" applyFont="1" applyBorder="1" applyAlignment="1"/>
    <xf numFmtId="4" fontId="22" fillId="0" borderId="2" xfId="0" applyNumberFormat="1" applyFont="1" applyBorder="1" applyAlignment="1"/>
    <xf numFmtId="4" fontId="22" fillId="0" borderId="10" xfId="0" applyNumberFormat="1" applyFont="1" applyBorder="1" applyAlignment="1"/>
    <xf numFmtId="0" fontId="3" fillId="0" borderId="0" xfId="0" applyFont="1" applyAlignment="1"/>
    <xf numFmtId="0" fontId="35" fillId="4" borderId="0" xfId="0" applyFont="1" applyFill="1"/>
    <xf numFmtId="0" fontId="32" fillId="5" borderId="0" xfId="0" applyFont="1" applyFill="1" applyBorder="1" applyAlignment="1">
      <alignment horizontal="left"/>
    </xf>
    <xf numFmtId="190" fontId="14" fillId="5" borderId="0" xfId="0" applyNumberFormat="1" applyFont="1" applyFill="1"/>
    <xf numFmtId="190" fontId="14" fillId="5" borderId="0" xfId="0" applyNumberFormat="1" applyFont="1" applyFill="1" applyAlignment="1">
      <alignment horizontal="left" indent="1"/>
    </xf>
    <xf numFmtId="190" fontId="0" fillId="5" borderId="0" xfId="0" applyNumberFormat="1" applyFill="1"/>
    <xf numFmtId="191" fontId="0" fillId="5" borderId="0" xfId="0" applyNumberFormat="1" applyFill="1"/>
    <xf numFmtId="190" fontId="3" fillId="5" borderId="0" xfId="0" applyNumberFormat="1" applyFont="1" applyFill="1"/>
    <xf numFmtId="190" fontId="0" fillId="5" borderId="0" xfId="0" applyNumberFormat="1" applyFill="1" applyAlignment="1"/>
    <xf numFmtId="0" fontId="32" fillId="5" borderId="0" xfId="0" applyFont="1" applyFill="1"/>
    <xf numFmtId="184" fontId="32" fillId="5" borderId="0" xfId="0" applyNumberFormat="1" applyFont="1" applyFill="1"/>
    <xf numFmtId="190" fontId="0" fillId="5" borderId="0" xfId="0" applyNumberFormat="1" applyFill="1" applyBorder="1" applyProtection="1"/>
    <xf numFmtId="190" fontId="36" fillId="4" borderId="0" xfId="0" applyNumberFormat="1" applyFont="1" applyFill="1"/>
    <xf numFmtId="4" fontId="33" fillId="5" borderId="0" xfId="0" applyNumberFormat="1" applyFont="1" applyFill="1" applyBorder="1"/>
    <xf numFmtId="0" fontId="3" fillId="6" borderId="12" xfId="0" applyNumberFormat="1" applyFont="1" applyFill="1" applyBorder="1" applyProtection="1">
      <protection locked="0"/>
    </xf>
    <xf numFmtId="49" fontId="3" fillId="6" borderId="12" xfId="0" applyNumberFormat="1" applyFont="1" applyFill="1" applyBorder="1" applyProtection="1">
      <protection locked="0"/>
    </xf>
    <xf numFmtId="14" fontId="3" fillId="6" borderId="12" xfId="0" applyNumberFormat="1" applyFont="1" applyFill="1" applyBorder="1" applyProtection="1">
      <protection locked="0"/>
    </xf>
    <xf numFmtId="0" fontId="37" fillId="0" borderId="0" xfId="0" applyFont="1" applyAlignment="1">
      <alignment horizontal="center"/>
    </xf>
    <xf numFmtId="190" fontId="5" fillId="0" borderId="0" xfId="0" applyNumberFormat="1" applyFont="1" applyFill="1"/>
    <xf numFmtId="190" fontId="5" fillId="0" borderId="0" xfId="0" applyNumberFormat="1" applyFont="1" applyFill="1" applyAlignment="1">
      <alignment horizontal="center"/>
    </xf>
    <xf numFmtId="190" fontId="3" fillId="0" borderId="0" xfId="0" applyNumberFormat="1" applyFont="1" applyFill="1" applyAlignment="1">
      <alignment horizontal="center"/>
    </xf>
    <xf numFmtId="190" fontId="5" fillId="0" borderId="0" xfId="0" applyNumberFormat="1" applyFont="1" applyFill="1" applyBorder="1"/>
    <xf numFmtId="4" fontId="17" fillId="0" borderId="6" xfId="0" applyNumberFormat="1" applyFont="1" applyBorder="1" applyAlignment="1"/>
    <xf numFmtId="4" fontId="22" fillId="0" borderId="6" xfId="0" applyNumberFormat="1" applyFont="1" applyBorder="1" applyAlignment="1"/>
    <xf numFmtId="4" fontId="22" fillId="0" borderId="13" xfId="0" applyNumberFormat="1" applyFont="1" applyBorder="1" applyAlignment="1"/>
    <xf numFmtId="4" fontId="22" fillId="0" borderId="14" xfId="0" applyNumberFormat="1" applyFont="1" applyBorder="1" applyAlignment="1"/>
    <xf numFmtId="0" fontId="35" fillId="7" borderId="0" xfId="0" applyFont="1" applyFill="1"/>
    <xf numFmtId="0" fontId="35" fillId="7" borderId="0" xfId="0" applyFont="1" applyFill="1" applyAlignment="1">
      <alignment horizontal="left"/>
    </xf>
    <xf numFmtId="0" fontId="35" fillId="8" borderId="0" xfId="0" applyFont="1" applyFill="1"/>
    <xf numFmtId="0" fontId="35" fillId="8" borderId="0" xfId="0" applyFont="1" applyFill="1" applyAlignment="1">
      <alignment horizontal="left"/>
    </xf>
    <xf numFmtId="39" fontId="4" fillId="0" borderId="2" xfId="0" applyNumberFormat="1" applyFont="1" applyBorder="1" applyAlignment="1"/>
    <xf numFmtId="0" fontId="3" fillId="7" borderId="12" xfId="0" applyNumberFormat="1" applyFont="1" applyFill="1" applyBorder="1" applyProtection="1">
      <protection locked="0"/>
    </xf>
    <xf numFmtId="0" fontId="3" fillId="8" borderId="12" xfId="0" applyNumberFormat="1" applyFont="1" applyFill="1" applyBorder="1" applyProtection="1">
      <protection locked="0"/>
    </xf>
    <xf numFmtId="49" fontId="3" fillId="8" borderId="12" xfId="0" applyNumberFormat="1" applyFont="1" applyFill="1" applyBorder="1" applyProtection="1">
      <protection locked="0"/>
    </xf>
    <xf numFmtId="190" fontId="3" fillId="8" borderId="12" xfId="0" applyNumberFormat="1" applyFont="1" applyFill="1" applyBorder="1" applyProtection="1">
      <protection locked="0"/>
    </xf>
    <xf numFmtId="49" fontId="3" fillId="7" borderId="12" xfId="0" applyNumberFormat="1" applyFont="1" applyFill="1" applyBorder="1" applyProtection="1">
      <protection locked="0"/>
    </xf>
    <xf numFmtId="190" fontId="3" fillId="7" borderId="12" xfId="0" applyNumberFormat="1" applyFont="1" applyFill="1" applyBorder="1" applyProtection="1">
      <protection locked="0"/>
    </xf>
    <xf numFmtId="190" fontId="3" fillId="4" borderId="12" xfId="0" applyNumberFormat="1" applyFont="1" applyFill="1" applyBorder="1" applyProtection="1">
      <protection locked="0"/>
    </xf>
    <xf numFmtId="0" fontId="39" fillId="0" borderId="0" xfId="0" applyFont="1"/>
    <xf numFmtId="0" fontId="38" fillId="0" borderId="0" xfId="0" applyFont="1"/>
    <xf numFmtId="190" fontId="11" fillId="0" borderId="0" xfId="0" applyNumberFormat="1" applyFont="1" applyAlignment="1">
      <alignment horizontal="left"/>
    </xf>
    <xf numFmtId="0" fontId="23" fillId="0" borderId="15" xfId="0" applyFont="1" applyBorder="1"/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16" xfId="0" applyFont="1" applyBorder="1" applyAlignment="1"/>
    <xf numFmtId="0" fontId="23" fillId="0" borderId="17" xfId="0" applyFont="1" applyBorder="1"/>
    <xf numFmtId="0" fontId="1" fillId="0" borderId="0" xfId="0" applyFont="1" applyFill="1" applyBorder="1" applyAlignment="1">
      <alignment horizontal="center"/>
    </xf>
    <xf numFmtId="0" fontId="41" fillId="0" borderId="18" xfId="0" applyFont="1" applyBorder="1"/>
    <xf numFmtId="0" fontId="1" fillId="0" borderId="19" xfId="0" applyFont="1" applyBorder="1"/>
    <xf numFmtId="0" fontId="1" fillId="0" borderId="19" xfId="0" applyFont="1" applyFill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1" fillId="0" borderId="23" xfId="0" applyFont="1" applyFill="1" applyBorder="1" applyAlignment="1">
      <alignment horizontal="center"/>
    </xf>
    <xf numFmtId="195" fontId="3" fillId="0" borderId="2" xfId="0" applyNumberFormat="1" applyFont="1" applyBorder="1"/>
    <xf numFmtId="0" fontId="25" fillId="0" borderId="0" xfId="0" applyFont="1" applyBorder="1"/>
    <xf numFmtId="0" fontId="23" fillId="0" borderId="0" xfId="0" applyFont="1" applyBorder="1"/>
    <xf numFmtId="190" fontId="23" fillId="0" borderId="0" xfId="0" applyNumberFormat="1" applyFont="1" applyBorder="1"/>
    <xf numFmtId="4" fontId="4" fillId="0" borderId="0" xfId="0" applyNumberFormat="1" applyFont="1" applyBorder="1"/>
    <xf numFmtId="190" fontId="42" fillId="0" borderId="0" xfId="0" applyNumberFormat="1" applyFont="1"/>
    <xf numFmtId="184" fontId="32" fillId="0" borderId="0" xfId="0" applyNumberFormat="1" applyFont="1"/>
    <xf numFmtId="190" fontId="0" fillId="0" borderId="1" xfId="0" applyNumberFormat="1" applyBorder="1"/>
    <xf numFmtId="0" fontId="42" fillId="0" borderId="0" xfId="0" applyFont="1"/>
    <xf numFmtId="0" fontId="30" fillId="5" borderId="0" xfId="0" applyFont="1" applyFill="1" applyAlignment="1">
      <alignment horizontal="center"/>
    </xf>
    <xf numFmtId="190" fontId="31" fillId="5" borderId="0" xfId="0" applyNumberFormat="1" applyFont="1" applyFill="1" applyAlignment="1">
      <alignment horizontal="center"/>
    </xf>
    <xf numFmtId="0" fontId="9" fillId="0" borderId="2" xfId="0" quotePrefix="1" applyFont="1" applyBorder="1" applyAlignment="1">
      <alignment horizontal="center"/>
    </xf>
    <xf numFmtId="190" fontId="3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90" fontId="24" fillId="2" borderId="2" xfId="0" applyNumberFormat="1" applyFont="1" applyFill="1" applyBorder="1" applyAlignment="1">
      <alignment horizontal="center"/>
    </xf>
    <xf numFmtId="14" fontId="3" fillId="0" borderId="23" xfId="0" applyNumberFormat="1" applyFont="1" applyBorder="1" applyAlignment="1">
      <alignment horizontal="center"/>
    </xf>
    <xf numFmtId="14" fontId="3" fillId="0" borderId="24" xfId="0" applyNumberFormat="1" applyFont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190" fontId="9" fillId="0" borderId="2" xfId="0" quotePrefix="1" applyNumberFormat="1" applyFont="1" applyBorder="1" applyAlignment="1">
      <alignment horizontal="center" wrapText="1"/>
    </xf>
    <xf numFmtId="190" fontId="9" fillId="0" borderId="2" xfId="0" applyNumberFormat="1" applyFont="1" applyBorder="1" applyAlignment="1">
      <alignment horizontal="center" wrapText="1"/>
    </xf>
    <xf numFmtId="190" fontId="11" fillId="0" borderId="0" xfId="1" applyNumberFormat="1" applyFont="1" applyAlignment="1" applyProtection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176213</xdr:colOff>
      <xdr:row>35</xdr:row>
      <xdr:rowOff>14288</xdr:rowOff>
    </xdr:from>
    <xdr:to>
      <xdr:col>12</xdr:col>
      <xdr:colOff>247650</xdr:colOff>
      <xdr:row>39</xdr:row>
      <xdr:rowOff>57150</xdr:rowOff>
    </xdr:to>
    <xdr:pic>
      <xdr:nvPicPr>
        <xdr:cNvPr id="6185" name="Picture 1">
          <a:extLst>
            <a:ext uri="{FF2B5EF4-FFF2-40B4-BE49-F238E27FC236}">
              <a16:creationId xmlns:a16="http://schemas.microsoft.com/office/drawing/2014/main" id="{896CE46D-685B-1792-36A3-DAB870A8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3" y="8324850"/>
          <a:ext cx="6910387" cy="757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321945</xdr:colOff>
      <xdr:row>7</xdr:row>
      <xdr:rowOff>129540</xdr:rowOff>
    </xdr:from>
    <xdr:to>
      <xdr:col>12</xdr:col>
      <xdr:colOff>537213</xdr:colOff>
      <xdr:row>10</xdr:row>
      <xdr:rowOff>45720</xdr:rowOff>
    </xdr:to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4B2F339E-650F-1338-D4D6-0AE00CCA2AAF}"/>
            </a:ext>
          </a:extLst>
        </xdr:cNvPr>
        <xdr:cNvSpPr txBox="1">
          <a:spLocks noChangeArrowheads="1"/>
        </xdr:cNvSpPr>
      </xdr:nvSpPr>
      <xdr:spPr bwMode="auto">
        <a:xfrm>
          <a:off x="4023360" y="1409700"/>
          <a:ext cx="3063240" cy="4191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Check box to have a form sent for a change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of mailing address.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349568</xdr:colOff>
      <xdr:row>14</xdr:row>
      <xdr:rowOff>60960</xdr:rowOff>
    </xdr:from>
    <xdr:to>
      <xdr:col>12</xdr:col>
      <xdr:colOff>549593</xdr:colOff>
      <xdr:row>17</xdr:row>
      <xdr:rowOff>236220</xdr:rowOff>
    </xdr:to>
    <xdr:sp macro="" textlink="">
      <xdr:nvSpPr>
        <xdr:cNvPr id="6151" name="Text Box 7">
          <a:extLst>
            <a:ext uri="{FF2B5EF4-FFF2-40B4-BE49-F238E27FC236}">
              <a16:creationId xmlns:a16="http://schemas.microsoft.com/office/drawing/2014/main" id="{4CF93B26-C8BD-FC0E-7692-1F94CE01D4F0}"/>
            </a:ext>
          </a:extLst>
        </xdr:cNvPr>
        <xdr:cNvSpPr txBox="1">
          <a:spLocks noChangeArrowheads="1"/>
        </xdr:cNvSpPr>
      </xdr:nvSpPr>
      <xdr:spPr bwMode="auto">
        <a:xfrm>
          <a:off x="4046220" y="2514600"/>
          <a:ext cx="3048000" cy="73152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Check box if your business has been sold.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Give name, address &amp; phone number of new  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owner. ______________________________</a:t>
          </a:r>
          <a:r>
            <a:rPr lang="en-US" sz="1100" b="0" i="0" u="sng" strike="noStrike" baseline="0">
              <a:solidFill>
                <a:srgbClr val="0000FF"/>
              </a:solidFill>
              <a:latin typeface="Arial"/>
              <a:cs typeface="Arial"/>
            </a:rPr>
            <a:t>            </a:t>
          </a:r>
        </a:p>
        <a:p>
          <a:pPr algn="l" rtl="0">
            <a:defRPr sz="1000"/>
          </a:pPr>
          <a:endParaRPr lang="en-US" sz="1100" b="0" i="0" u="sng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334328</xdr:colOff>
      <xdr:row>10</xdr:row>
      <xdr:rowOff>106680</xdr:rowOff>
    </xdr:from>
    <xdr:to>
      <xdr:col>12</xdr:col>
      <xdr:colOff>549596</xdr:colOff>
      <xdr:row>14</xdr:row>
      <xdr:rowOff>7620</xdr:rowOff>
    </xdr:to>
    <xdr:sp macro="" textlink="">
      <xdr:nvSpPr>
        <xdr:cNvPr id="6152" name="Text Box 8">
          <a:extLst>
            <a:ext uri="{FF2B5EF4-FFF2-40B4-BE49-F238E27FC236}">
              <a16:creationId xmlns:a16="http://schemas.microsoft.com/office/drawing/2014/main" id="{73AA9BB9-9F4C-624F-A3D7-2D7CEF0CAF8D}"/>
            </a:ext>
          </a:extLst>
        </xdr:cNvPr>
        <xdr:cNvSpPr txBox="1">
          <a:spLocks noChangeArrowheads="1"/>
        </xdr:cNvSpPr>
      </xdr:nvSpPr>
      <xdr:spPr bwMode="auto">
        <a:xfrm>
          <a:off x="4030980" y="1889760"/>
          <a:ext cx="3063240" cy="571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Check box and sign at bottom to cancel your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license. Reason:______________________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</a:t>
          </a:r>
          <a:r>
            <a:rPr lang="en-US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Effective Date:</a:t>
          </a:r>
        </a:p>
      </xdr:txBody>
    </xdr:sp>
    <xdr:clientData/>
  </xdr:twoCellAnchor>
  <xdr:twoCellAnchor>
    <xdr:from>
      <xdr:col>7</xdr:col>
      <xdr:colOff>334328</xdr:colOff>
      <xdr:row>5</xdr:row>
      <xdr:rowOff>86677</xdr:rowOff>
    </xdr:from>
    <xdr:to>
      <xdr:col>12</xdr:col>
      <xdr:colOff>549596</xdr:colOff>
      <xdr:row>7</xdr:row>
      <xdr:rowOff>68592</xdr:rowOff>
    </xdr:to>
    <xdr:sp macro="" textlink="">
      <xdr:nvSpPr>
        <xdr:cNvPr id="6153" name="Text Box 9">
          <a:extLst>
            <a:ext uri="{FF2B5EF4-FFF2-40B4-BE49-F238E27FC236}">
              <a16:creationId xmlns:a16="http://schemas.microsoft.com/office/drawing/2014/main" id="{56526B8F-4D33-6ACF-A675-3B8C08C49C7C}"/>
            </a:ext>
          </a:extLst>
        </xdr:cNvPr>
        <xdr:cNvSpPr txBox="1">
          <a:spLocks noChangeArrowheads="1"/>
        </xdr:cNvSpPr>
      </xdr:nvSpPr>
      <xdr:spPr bwMode="auto">
        <a:xfrm>
          <a:off x="4030980" y="975360"/>
          <a:ext cx="3063240" cy="37338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Check box to have a form sent for a change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of business location.</a:t>
          </a:r>
        </a:p>
      </xdr:txBody>
    </xdr:sp>
    <xdr:clientData/>
  </xdr:twoCellAnchor>
  <xdr:twoCellAnchor>
    <xdr:from>
      <xdr:col>12</xdr:col>
      <xdr:colOff>819150</xdr:colOff>
      <xdr:row>5</xdr:row>
      <xdr:rowOff>161925</xdr:rowOff>
    </xdr:from>
    <xdr:to>
      <xdr:col>12</xdr:col>
      <xdr:colOff>1047750</xdr:colOff>
      <xdr:row>7</xdr:row>
      <xdr:rowOff>9525</xdr:rowOff>
    </xdr:to>
    <xdr:sp macro="" textlink="">
      <xdr:nvSpPr>
        <xdr:cNvPr id="6190" name="Rectangle 10">
          <a:extLst>
            <a:ext uri="{FF2B5EF4-FFF2-40B4-BE49-F238E27FC236}">
              <a16:creationId xmlns:a16="http://schemas.microsoft.com/office/drawing/2014/main" id="{505BB53D-DD14-2090-7534-E0AA832FD17F}"/>
            </a:ext>
          </a:extLst>
        </xdr:cNvPr>
        <xdr:cNvSpPr>
          <a:spLocks noChangeArrowheads="1"/>
        </xdr:cNvSpPr>
      </xdr:nvSpPr>
      <xdr:spPr bwMode="auto">
        <a:xfrm>
          <a:off x="7658100" y="1033463"/>
          <a:ext cx="228600" cy="2286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823913</xdr:colOff>
      <xdr:row>8</xdr:row>
      <xdr:rowOff>100013</xdr:rowOff>
    </xdr:from>
    <xdr:to>
      <xdr:col>12</xdr:col>
      <xdr:colOff>1057275</xdr:colOff>
      <xdr:row>10</xdr:row>
      <xdr:rowOff>9525</xdr:rowOff>
    </xdr:to>
    <xdr:sp macro="" textlink="">
      <xdr:nvSpPr>
        <xdr:cNvPr id="6191" name="Rectangle 11">
          <a:extLst>
            <a:ext uri="{FF2B5EF4-FFF2-40B4-BE49-F238E27FC236}">
              <a16:creationId xmlns:a16="http://schemas.microsoft.com/office/drawing/2014/main" id="{DF838770-90D4-8040-3057-B255400AC552}"/>
            </a:ext>
          </a:extLst>
        </xdr:cNvPr>
        <xdr:cNvSpPr>
          <a:spLocks noChangeArrowheads="1"/>
        </xdr:cNvSpPr>
      </xdr:nvSpPr>
      <xdr:spPr bwMode="auto">
        <a:xfrm>
          <a:off x="7662863" y="1519238"/>
          <a:ext cx="233362" cy="238125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823913</xdr:colOff>
      <xdr:row>11</xdr:row>
      <xdr:rowOff>157163</xdr:rowOff>
    </xdr:from>
    <xdr:to>
      <xdr:col>12</xdr:col>
      <xdr:colOff>1057275</xdr:colOff>
      <xdr:row>13</xdr:row>
      <xdr:rowOff>66675</xdr:rowOff>
    </xdr:to>
    <xdr:sp macro="" textlink="">
      <xdr:nvSpPr>
        <xdr:cNvPr id="6192" name="Rectangle 12">
          <a:extLst>
            <a:ext uri="{FF2B5EF4-FFF2-40B4-BE49-F238E27FC236}">
              <a16:creationId xmlns:a16="http://schemas.microsoft.com/office/drawing/2014/main" id="{54A9110B-3C69-9E55-ED12-E7E26AD8EB6E}"/>
            </a:ext>
          </a:extLst>
        </xdr:cNvPr>
        <xdr:cNvSpPr>
          <a:spLocks noChangeArrowheads="1"/>
        </xdr:cNvSpPr>
      </xdr:nvSpPr>
      <xdr:spPr bwMode="auto">
        <a:xfrm>
          <a:off x="7662863" y="2071688"/>
          <a:ext cx="233362" cy="242887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23813</xdr:colOff>
      <xdr:row>0</xdr:row>
      <xdr:rowOff>38100</xdr:rowOff>
    </xdr:from>
    <xdr:to>
      <xdr:col>0</xdr:col>
      <xdr:colOff>752475</xdr:colOff>
      <xdr:row>4</xdr:row>
      <xdr:rowOff>104775</xdr:rowOff>
    </xdr:to>
    <xdr:pic>
      <xdr:nvPicPr>
        <xdr:cNvPr id="6193" name="Picture 13" descr="citylogo">
          <a:extLst>
            <a:ext uri="{FF2B5EF4-FFF2-40B4-BE49-F238E27FC236}">
              <a16:creationId xmlns:a16="http://schemas.microsoft.com/office/drawing/2014/main" id="{E8327CAD-831D-EDA0-75FB-B530E2983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38100"/>
          <a:ext cx="728662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441008</xdr:colOff>
      <xdr:row>15</xdr:row>
      <xdr:rowOff>180975</xdr:rowOff>
    </xdr:from>
    <xdr:to>
      <xdr:col>5</xdr:col>
      <xdr:colOff>998221</xdr:colOff>
      <xdr:row>17</xdr:row>
      <xdr:rowOff>236175</xdr:rowOff>
    </xdr:to>
    <xdr:sp macro="" textlink="">
      <xdr:nvSpPr>
        <xdr:cNvPr id="6158" name="Text Box 14">
          <a:extLst>
            <a:ext uri="{FF2B5EF4-FFF2-40B4-BE49-F238E27FC236}">
              <a16:creationId xmlns:a16="http://schemas.microsoft.com/office/drawing/2014/main" id="{99FA4308-B985-02E5-81B6-07250A827EC6}"/>
            </a:ext>
          </a:extLst>
        </xdr:cNvPr>
        <xdr:cNvSpPr txBox="1">
          <a:spLocks noChangeArrowheads="1"/>
        </xdr:cNvSpPr>
      </xdr:nvSpPr>
      <xdr:spPr bwMode="auto">
        <a:xfrm>
          <a:off x="426720" y="2834640"/>
          <a:ext cx="3101340" cy="41148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Check Box if there is no income to report,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FF"/>
              </a:solidFill>
              <a:latin typeface="Arial"/>
              <a:cs typeface="Arial"/>
            </a:rPr>
            <a:t>  and sign at bottom.</a:t>
          </a:r>
        </a:p>
      </xdr:txBody>
    </xdr:sp>
    <xdr:clientData/>
  </xdr:twoCellAnchor>
  <xdr:twoCellAnchor>
    <xdr:from>
      <xdr:col>12</xdr:col>
      <xdr:colOff>833438</xdr:colOff>
      <xdr:row>15</xdr:row>
      <xdr:rowOff>119063</xdr:rowOff>
    </xdr:from>
    <xdr:to>
      <xdr:col>12</xdr:col>
      <xdr:colOff>1071563</xdr:colOff>
      <xdr:row>17</xdr:row>
      <xdr:rowOff>0</xdr:rowOff>
    </xdr:to>
    <xdr:sp macro="" textlink="">
      <xdr:nvSpPr>
        <xdr:cNvPr id="6195" name="Rectangle 15">
          <a:extLst>
            <a:ext uri="{FF2B5EF4-FFF2-40B4-BE49-F238E27FC236}">
              <a16:creationId xmlns:a16="http://schemas.microsoft.com/office/drawing/2014/main" id="{8F82BA9B-6392-4B02-B10E-127B1451B481}"/>
            </a:ext>
          </a:extLst>
        </xdr:cNvPr>
        <xdr:cNvSpPr>
          <a:spLocks noChangeArrowheads="1"/>
        </xdr:cNvSpPr>
      </xdr:nvSpPr>
      <xdr:spPr bwMode="auto">
        <a:xfrm>
          <a:off x="7672388" y="2724150"/>
          <a:ext cx="238125" cy="233363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16</xdr:row>
      <xdr:rowOff>71438</xdr:rowOff>
    </xdr:from>
    <xdr:to>
      <xdr:col>0</xdr:col>
      <xdr:colOff>247650</xdr:colOff>
      <xdr:row>17</xdr:row>
      <xdr:rowOff>152400</xdr:rowOff>
    </xdr:to>
    <xdr:sp macro="" textlink="">
      <xdr:nvSpPr>
        <xdr:cNvPr id="6196" name="Rectangle 16">
          <a:extLst>
            <a:ext uri="{FF2B5EF4-FFF2-40B4-BE49-F238E27FC236}">
              <a16:creationId xmlns:a16="http://schemas.microsoft.com/office/drawing/2014/main" id="{A3C4BDDB-B3FE-977E-4AAB-F3AAFC430F30}"/>
            </a:ext>
          </a:extLst>
        </xdr:cNvPr>
        <xdr:cNvSpPr>
          <a:spLocks noChangeArrowheads="1"/>
        </xdr:cNvSpPr>
      </xdr:nvSpPr>
      <xdr:spPr bwMode="auto">
        <a:xfrm>
          <a:off x="9525" y="2867025"/>
          <a:ext cx="238125" cy="242888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96203</xdr:colOff>
      <xdr:row>31</xdr:row>
      <xdr:rowOff>45720</xdr:rowOff>
    </xdr:from>
    <xdr:to>
      <xdr:col>3</xdr:col>
      <xdr:colOff>154310</xdr:colOff>
      <xdr:row>31</xdr:row>
      <xdr:rowOff>220980</xdr:rowOff>
    </xdr:to>
    <xdr:sp macro="" textlink="">
      <xdr:nvSpPr>
        <xdr:cNvPr id="7169" name="Rectangle 1">
          <a:extLst>
            <a:ext uri="{FF2B5EF4-FFF2-40B4-BE49-F238E27FC236}">
              <a16:creationId xmlns:a16="http://schemas.microsoft.com/office/drawing/2014/main" id="{702AA5D4-B77F-62D6-73B1-09992BCDA11C}"/>
            </a:ext>
          </a:extLst>
        </xdr:cNvPr>
        <xdr:cNvSpPr>
          <a:spLocks noChangeArrowheads="1"/>
        </xdr:cNvSpPr>
      </xdr:nvSpPr>
      <xdr:spPr bwMode="auto">
        <a:xfrm>
          <a:off x="91440" y="5425440"/>
          <a:ext cx="1021080" cy="17526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State, County &amp; City</a:t>
          </a:r>
        </a:p>
      </xdr:txBody>
    </xdr:sp>
    <xdr:clientData/>
  </xdr:twoCellAnchor>
  <xdr:twoCellAnchor>
    <xdr:from>
      <xdr:col>1</xdr:col>
      <xdr:colOff>73343</xdr:colOff>
      <xdr:row>39</xdr:row>
      <xdr:rowOff>7620</xdr:rowOff>
    </xdr:from>
    <xdr:to>
      <xdr:col>3</xdr:col>
      <xdr:colOff>1056267</xdr:colOff>
      <xdr:row>39</xdr:row>
      <xdr:rowOff>304800</xdr:rowOff>
    </xdr:to>
    <xdr:sp macro="" textlink="">
      <xdr:nvSpPr>
        <xdr:cNvPr id="7170" name="Rectangle 2">
          <a:extLst>
            <a:ext uri="{FF2B5EF4-FFF2-40B4-BE49-F238E27FC236}">
              <a16:creationId xmlns:a16="http://schemas.microsoft.com/office/drawing/2014/main" id="{3AE69B32-2E31-4C46-8DB6-E102C76EB613}"/>
            </a:ext>
          </a:extLst>
        </xdr:cNvPr>
        <xdr:cNvSpPr>
          <a:spLocks noChangeArrowheads="1"/>
        </xdr:cNvSpPr>
      </xdr:nvSpPr>
      <xdr:spPr bwMode="auto">
        <a:xfrm>
          <a:off x="68580" y="7383780"/>
          <a:ext cx="1912620" cy="29718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By Retailer 50% exempt, by Repairer or Manufacturer 100% exempt</a:t>
          </a:r>
        </a:p>
      </xdr:txBody>
    </xdr:sp>
    <xdr:clientData/>
  </xdr:twoCellAnchor>
  <xdr:twoCellAnchor>
    <xdr:from>
      <xdr:col>3</xdr:col>
      <xdr:colOff>795338</xdr:colOff>
      <xdr:row>53</xdr:row>
      <xdr:rowOff>52388</xdr:rowOff>
    </xdr:from>
    <xdr:to>
      <xdr:col>4</xdr:col>
      <xdr:colOff>276225</xdr:colOff>
      <xdr:row>53</xdr:row>
      <xdr:rowOff>200025</xdr:rowOff>
    </xdr:to>
    <xdr:sp macro="" textlink="">
      <xdr:nvSpPr>
        <xdr:cNvPr id="7180" name="AutoShape 3">
          <a:extLst>
            <a:ext uri="{FF2B5EF4-FFF2-40B4-BE49-F238E27FC236}">
              <a16:creationId xmlns:a16="http://schemas.microsoft.com/office/drawing/2014/main" id="{C4519DBB-0567-2AA9-CA6E-97BCB977222F}"/>
            </a:ext>
          </a:extLst>
        </xdr:cNvPr>
        <xdr:cNvSpPr>
          <a:spLocks noChangeArrowheads="1"/>
        </xdr:cNvSpPr>
      </xdr:nvSpPr>
      <xdr:spPr bwMode="auto">
        <a:xfrm>
          <a:off x="1804988" y="10929938"/>
          <a:ext cx="1028700" cy="147637"/>
        </a:xfrm>
        <a:prstGeom prst="rightArrow">
          <a:avLst>
            <a:gd name="adj1" fmla="val 50000"/>
            <a:gd name="adj2" fmla="val 174194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lagstaff.az.gov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B5AA-C0D9-424E-9AA3-84C9428E31A9}">
  <sheetPr>
    <pageSetUpPr fitToPage="1"/>
  </sheetPr>
  <dimension ref="A1:H72"/>
  <sheetViews>
    <sheetView tabSelected="1" workbookViewId="0">
      <selection activeCell="B11" sqref="B11"/>
    </sheetView>
  </sheetViews>
  <sheetFormatPr defaultColWidth="0" defaultRowHeight="12.75" customHeight="1" zeroHeight="1" x14ac:dyDescent="0.35"/>
  <cols>
    <col min="1" max="1" width="36.6640625" customWidth="1"/>
    <col min="2" max="2" width="40.6640625" style="36" customWidth="1"/>
    <col min="3" max="3" width="12.46484375" style="133" bestFit="1" customWidth="1"/>
    <col min="4" max="4" width="12.46484375" style="133" customWidth="1"/>
    <col min="5" max="5" width="15.86328125" style="133" bestFit="1" customWidth="1"/>
    <col min="6" max="6" width="12.6640625" style="133" customWidth="1"/>
    <col min="7" max="7" width="9.1328125" style="36" customWidth="1"/>
    <col min="8" max="8" width="10.1328125" style="36" customWidth="1"/>
    <col min="9" max="16384" width="9.1328125" hidden="1"/>
  </cols>
  <sheetData>
    <row r="1" spans="1:6" ht="17.649999999999999" x14ac:dyDescent="0.5">
      <c r="A1" s="194" t="s">
        <v>86</v>
      </c>
      <c r="B1" s="194"/>
      <c r="C1" s="194"/>
      <c r="D1" s="194"/>
      <c r="E1" s="194"/>
      <c r="F1" s="194"/>
    </row>
    <row r="2" spans="1:6" ht="17.649999999999999" x14ac:dyDescent="0.5">
      <c r="A2" s="195" t="s">
        <v>87</v>
      </c>
      <c r="B2" s="195"/>
      <c r="C2" s="195"/>
      <c r="D2" s="195"/>
      <c r="E2" s="195"/>
      <c r="F2" s="195"/>
    </row>
    <row r="3" spans="1:6" ht="15.4" thickBot="1" x14ac:dyDescent="0.45">
      <c r="A3" s="131" t="s">
        <v>88</v>
      </c>
      <c r="B3" s="135"/>
      <c r="D3" s="136"/>
    </row>
    <row r="4" spans="1:6" ht="13.5" thickBot="1" x14ac:dyDescent="0.45">
      <c r="A4" s="129" t="s">
        <v>89</v>
      </c>
      <c r="B4" s="142"/>
      <c r="D4" s="137" t="s">
        <v>90</v>
      </c>
      <c r="E4" s="138">
        <v>9.4460000000000002E-2</v>
      </c>
    </row>
    <row r="5" spans="1:6" ht="13.5" thickBot="1" x14ac:dyDescent="0.45">
      <c r="A5" s="129" t="s">
        <v>91</v>
      </c>
      <c r="B5" s="142"/>
      <c r="D5" s="136"/>
    </row>
    <row r="6" spans="1:6" ht="13.5" thickBot="1" x14ac:dyDescent="0.45">
      <c r="A6" s="129" t="s">
        <v>92</v>
      </c>
      <c r="B6" s="142"/>
      <c r="D6" s="136"/>
    </row>
    <row r="7" spans="1:6" ht="13.5" thickBot="1" x14ac:dyDescent="0.45">
      <c r="A7" s="129" t="s">
        <v>93</v>
      </c>
      <c r="B7" s="142"/>
      <c r="D7" s="136"/>
    </row>
    <row r="8" spans="1:6" ht="13.5" thickBot="1" x14ac:dyDescent="0.45">
      <c r="A8" s="129" t="s">
        <v>94</v>
      </c>
      <c r="B8" s="143"/>
      <c r="D8" s="136"/>
    </row>
    <row r="9" spans="1:6" ht="13.5" thickBot="1" x14ac:dyDescent="0.45">
      <c r="A9" s="129" t="s">
        <v>95</v>
      </c>
      <c r="B9" s="144"/>
      <c r="D9" s="136"/>
    </row>
    <row r="10" spans="1:6" ht="13.5" thickBot="1" x14ac:dyDescent="0.45">
      <c r="A10" s="154" t="s">
        <v>140</v>
      </c>
      <c r="B10" s="159"/>
      <c r="D10" s="136"/>
    </row>
    <row r="11" spans="1:6" ht="13.5" thickBot="1" x14ac:dyDescent="0.45">
      <c r="A11" s="156" t="s">
        <v>141</v>
      </c>
      <c r="B11" s="160"/>
      <c r="D11" s="136"/>
    </row>
    <row r="12" spans="1:6" ht="13.5" thickBot="1" x14ac:dyDescent="0.45">
      <c r="A12" s="154" t="s">
        <v>119</v>
      </c>
      <c r="B12" s="159"/>
      <c r="D12" s="136"/>
    </row>
    <row r="13" spans="1:6" ht="13.5" thickBot="1" x14ac:dyDescent="0.45">
      <c r="A13" s="156" t="s">
        <v>120</v>
      </c>
      <c r="B13" s="160"/>
      <c r="D13" s="136"/>
    </row>
    <row r="14" spans="1:6" ht="13.5" thickBot="1" x14ac:dyDescent="0.45">
      <c r="A14" s="154" t="s">
        <v>124</v>
      </c>
      <c r="B14" s="163"/>
      <c r="D14" s="136"/>
    </row>
    <row r="15" spans="1:6" ht="13.5" thickBot="1" x14ac:dyDescent="0.45">
      <c r="A15" s="156" t="s">
        <v>125</v>
      </c>
      <c r="B15" s="161"/>
      <c r="D15" s="136"/>
    </row>
    <row r="16" spans="1:6" ht="15.4" thickBot="1" x14ac:dyDescent="0.45">
      <c r="A16" s="131" t="s">
        <v>96</v>
      </c>
      <c r="B16" s="135"/>
      <c r="D16" s="136"/>
    </row>
    <row r="17" spans="1:6" ht="13.5" thickBot="1" x14ac:dyDescent="0.45">
      <c r="A17" s="154" t="s">
        <v>126</v>
      </c>
      <c r="B17" s="164"/>
    </row>
    <row r="18" spans="1:6" ht="13.5" thickBot="1" x14ac:dyDescent="0.45">
      <c r="A18" s="156" t="s">
        <v>127</v>
      </c>
      <c r="B18" s="162"/>
    </row>
    <row r="19" spans="1:6" ht="13.5" thickBot="1" x14ac:dyDescent="0.45">
      <c r="A19" s="129" t="s">
        <v>123</v>
      </c>
      <c r="B19" s="165"/>
    </row>
    <row r="20" spans="1:6" ht="13.5" thickBot="1" x14ac:dyDescent="0.45">
      <c r="A20" s="155" t="s">
        <v>128</v>
      </c>
      <c r="B20" s="164"/>
      <c r="D20" s="134"/>
    </row>
    <row r="21" spans="1:6" ht="13.5" thickBot="1" x14ac:dyDescent="0.45">
      <c r="A21" s="157" t="s">
        <v>129</v>
      </c>
      <c r="B21" s="162"/>
      <c r="D21" s="134"/>
    </row>
    <row r="22" spans="1:6" ht="13.5" thickBot="1" x14ac:dyDescent="0.45">
      <c r="A22" s="155" t="s">
        <v>130</v>
      </c>
      <c r="B22" s="164"/>
    </row>
    <row r="23" spans="1:6" ht="13.5" thickBot="1" x14ac:dyDescent="0.45">
      <c r="A23" s="157" t="s">
        <v>131</v>
      </c>
      <c r="B23" s="162"/>
    </row>
    <row r="24" spans="1:6" ht="13.5" thickBot="1" x14ac:dyDescent="0.45">
      <c r="A24" s="155" t="s">
        <v>143</v>
      </c>
      <c r="B24" s="164"/>
    </row>
    <row r="25" spans="1:6" ht="13.5" thickBot="1" x14ac:dyDescent="0.45">
      <c r="A25" s="157" t="s">
        <v>144</v>
      </c>
      <c r="B25" s="162"/>
    </row>
    <row r="26" spans="1:6" hidden="1" x14ac:dyDescent="0.35">
      <c r="A26" s="3" t="s">
        <v>121</v>
      </c>
      <c r="B26" s="42">
        <f>+B17-B20-B22</f>
        <v>0</v>
      </c>
    </row>
    <row r="27" spans="1:6" hidden="1" x14ac:dyDescent="0.35">
      <c r="A27" s="3" t="s">
        <v>122</v>
      </c>
      <c r="B27" s="42">
        <f>+B18-B21-B23</f>
        <v>0</v>
      </c>
    </row>
    <row r="28" spans="1:6" ht="15.4" thickBot="1" x14ac:dyDescent="0.45">
      <c r="A28" s="130" t="s">
        <v>97</v>
      </c>
      <c r="B28" s="141">
        <f>'TPT Return Front Page'!$M$30</f>
        <v>0</v>
      </c>
    </row>
    <row r="29" spans="1:6" ht="13.5" thickBot="1" x14ac:dyDescent="0.45">
      <c r="A29" s="140" t="s">
        <v>98</v>
      </c>
      <c r="B29" s="165"/>
      <c r="C29" s="139"/>
    </row>
    <row r="30" spans="1:6" ht="13.25" hidden="1" customHeight="1" x14ac:dyDescent="0.35">
      <c r="A30" s="113" t="s">
        <v>146</v>
      </c>
      <c r="B30" s="192">
        <f>+B17-B20-B22</f>
        <v>0</v>
      </c>
      <c r="C30" s="146"/>
      <c r="D30" s="146"/>
      <c r="E30" s="146"/>
      <c r="F30" s="146"/>
    </row>
    <row r="31" spans="1:6" ht="13.25" hidden="1" customHeight="1" x14ac:dyDescent="0.35">
      <c r="A31" s="113" t="s">
        <v>147</v>
      </c>
      <c r="B31" s="192">
        <f>+B17-B20-B22-B24</f>
        <v>0</v>
      </c>
      <c r="C31" s="146"/>
      <c r="D31" s="146"/>
      <c r="E31" s="146"/>
      <c r="F31" s="146"/>
    </row>
    <row r="32" spans="1:6" ht="13.25" hidden="1" customHeight="1" x14ac:dyDescent="0.35">
      <c r="A32" s="113" t="s">
        <v>148</v>
      </c>
      <c r="B32" s="192">
        <f>+B18-B21-B23</f>
        <v>0</v>
      </c>
      <c r="C32" s="146"/>
      <c r="D32" s="146"/>
      <c r="E32" s="146"/>
      <c r="F32" s="146"/>
    </row>
    <row r="33" spans="1:7" ht="13.25" hidden="1" customHeight="1" x14ac:dyDescent="0.35">
      <c r="A33" s="113" t="s">
        <v>149</v>
      </c>
      <c r="B33" s="192">
        <f>+B18-B21-B23-B25</f>
        <v>0</v>
      </c>
      <c r="C33" s="146"/>
      <c r="D33" s="146"/>
      <c r="E33" s="146"/>
      <c r="F33" s="146"/>
    </row>
    <row r="34" spans="1:7" ht="13.25" hidden="1" customHeight="1" x14ac:dyDescent="0.35">
      <c r="A34" s="113" t="s">
        <v>154</v>
      </c>
      <c r="B34" s="115">
        <v>5.7847240000000001E-2</v>
      </c>
      <c r="C34" s="146"/>
      <c r="D34" s="146"/>
      <c r="E34" s="146"/>
      <c r="F34" s="146"/>
    </row>
    <row r="35" spans="1:7" ht="13.25" hidden="1" customHeight="1" x14ac:dyDescent="0.35">
      <c r="A35" s="113" t="s">
        <v>155</v>
      </c>
      <c r="B35" s="115">
        <v>4.781175E-2</v>
      </c>
      <c r="C35" s="146"/>
      <c r="D35" s="146"/>
      <c r="E35" s="146"/>
      <c r="F35" s="146"/>
    </row>
    <row r="36" spans="1:7" ht="13.25" hidden="1" customHeight="1" x14ac:dyDescent="0.35">
      <c r="A36" s="113" t="s">
        <v>145</v>
      </c>
      <c r="B36" s="191">
        <v>1.721E-2</v>
      </c>
      <c r="C36" s="146"/>
      <c r="D36" s="146"/>
      <c r="E36" s="146"/>
      <c r="F36" s="146"/>
    </row>
    <row r="37" spans="1:7" ht="13.25" hidden="1" customHeight="1" x14ac:dyDescent="0.35">
      <c r="A37" s="193" t="s">
        <v>150</v>
      </c>
      <c r="B37" s="190">
        <f>ROUND((+B24*0.65*B36),2)</f>
        <v>0</v>
      </c>
      <c r="C37" s="146"/>
      <c r="D37" s="146"/>
      <c r="E37" s="146"/>
      <c r="F37" s="146"/>
    </row>
    <row r="38" spans="1:7" ht="13.25" hidden="1" customHeight="1" x14ac:dyDescent="0.35">
      <c r="A38" s="193" t="s">
        <v>151</v>
      </c>
      <c r="B38" s="190">
        <f>+B17-B20-B22-B24-B37</f>
        <v>0</v>
      </c>
      <c r="C38" s="146"/>
      <c r="D38" s="146"/>
      <c r="E38" s="146"/>
      <c r="F38" s="146"/>
    </row>
    <row r="39" spans="1:7" ht="13.25" hidden="1" customHeight="1" x14ac:dyDescent="0.35">
      <c r="A39" s="193" t="s">
        <v>152</v>
      </c>
      <c r="B39" s="190">
        <f>ROUND((+B25*0.65*B36),2)</f>
        <v>0</v>
      </c>
      <c r="C39" s="146"/>
      <c r="D39" s="146"/>
      <c r="E39" s="146"/>
      <c r="F39" s="146"/>
    </row>
    <row r="40" spans="1:7" ht="13.25" hidden="1" customHeight="1" x14ac:dyDescent="0.35">
      <c r="A40" s="193" t="s">
        <v>153</v>
      </c>
      <c r="B40" s="190">
        <f>+B18-B21-B23-B25-B39</f>
        <v>0</v>
      </c>
      <c r="C40" s="146"/>
      <c r="D40" s="146"/>
      <c r="E40" s="146"/>
      <c r="F40" s="146"/>
    </row>
    <row r="41" spans="1:7" ht="13.25" hidden="1" customHeight="1" x14ac:dyDescent="0.35">
      <c r="A41" t="s">
        <v>99</v>
      </c>
      <c r="B41" s="116" t="s">
        <v>100</v>
      </c>
      <c r="C41" s="147" t="s">
        <v>101</v>
      </c>
      <c r="D41" s="147" t="s">
        <v>102</v>
      </c>
      <c r="E41" s="147" t="s">
        <v>103</v>
      </c>
      <c r="F41" s="147" t="s">
        <v>104</v>
      </c>
    </row>
    <row r="42" spans="1:7" ht="13.25" hidden="1" customHeight="1" x14ac:dyDescent="0.4">
      <c r="A42" t="s">
        <v>105</v>
      </c>
      <c r="B42" s="111" t="s">
        <v>106</v>
      </c>
      <c r="C42" s="148" t="s">
        <v>107</v>
      </c>
      <c r="D42" s="148" t="s">
        <v>108</v>
      </c>
      <c r="E42" s="148" t="s">
        <v>109</v>
      </c>
      <c r="F42" s="148" t="s">
        <v>110</v>
      </c>
      <c r="G42" s="112"/>
    </row>
    <row r="43" spans="1:7" ht="13.25" hidden="1" customHeight="1" x14ac:dyDescent="0.4">
      <c r="A43" s="117" t="s">
        <v>15</v>
      </c>
      <c r="B43" s="42" t="str">
        <f>IF(B20="","",B20)</f>
        <v/>
      </c>
      <c r="C43" s="149" t="str">
        <f>IF(B22="","",B22)</f>
        <v/>
      </c>
      <c r="D43" s="149"/>
      <c r="E43" s="149">
        <f>IF(B19="YES",IF(B26&lt;=0,"",ROUND(((+B38*B34)+B37),2)),0)</f>
        <v>0</v>
      </c>
      <c r="F43" s="149" t="str">
        <f>IF(B26&lt;=0,"",ROUND(((+B26-E43)*0.35),2))</f>
        <v/>
      </c>
    </row>
    <row r="44" spans="1:7" ht="13.25" hidden="1" customHeight="1" x14ac:dyDescent="0.4">
      <c r="A44" s="117" t="s">
        <v>16</v>
      </c>
      <c r="B44" s="42" t="str">
        <f>IF(B21="","",B21)</f>
        <v/>
      </c>
      <c r="C44" s="149" t="str">
        <f>IF(B23="","",B23)</f>
        <v/>
      </c>
      <c r="D44" s="149"/>
      <c r="E44" s="149">
        <f>IF(B19="YES",IF(B27&lt;=0,"",ROUND(((+B40*B34)+B39),2)),0)</f>
        <v>0</v>
      </c>
      <c r="F44" s="149" t="str">
        <f>IF(B27&lt;=0,"",ROUND(((+B27-E44)*0.35),2))</f>
        <v/>
      </c>
    </row>
    <row r="45" spans="1:7" ht="15" x14ac:dyDescent="0.4">
      <c r="A45" s="131" t="s">
        <v>111</v>
      </c>
      <c r="B45" s="133"/>
    </row>
    <row r="46" spans="1:7" ht="15" x14ac:dyDescent="0.4">
      <c r="A46" s="132" t="s">
        <v>112</v>
      </c>
      <c r="B46" s="131"/>
    </row>
    <row r="47" spans="1:7" ht="15" x14ac:dyDescent="0.4">
      <c r="A47" s="132" t="s">
        <v>113</v>
      </c>
      <c r="B47" s="131"/>
    </row>
    <row r="48" spans="1:7" ht="15" x14ac:dyDescent="0.4">
      <c r="A48" s="132" t="s">
        <v>114</v>
      </c>
      <c r="B48" s="131"/>
    </row>
    <row r="49" spans="1:2" ht="15" x14ac:dyDescent="0.4">
      <c r="A49" s="131" t="s">
        <v>115</v>
      </c>
      <c r="B49" s="131"/>
    </row>
    <row r="50" spans="1:2" ht="15" x14ac:dyDescent="0.4">
      <c r="A50" s="132" t="s">
        <v>116</v>
      </c>
      <c r="B50" s="131"/>
    </row>
    <row r="51" spans="1:2" ht="15" x14ac:dyDescent="0.4">
      <c r="A51" s="132" t="s">
        <v>117</v>
      </c>
      <c r="B51" s="134"/>
    </row>
    <row r="52" spans="1:2" hidden="1" x14ac:dyDescent="0.35">
      <c r="A52" s="118"/>
      <c r="B52" s="114"/>
    </row>
    <row r="53" spans="1:2" hidden="1" x14ac:dyDescent="0.35">
      <c r="A53" s="118"/>
      <c r="B53" s="114"/>
    </row>
    <row r="54" spans="1:2" hidden="1" x14ac:dyDescent="0.35">
      <c r="A54" s="118"/>
      <c r="B54" s="114"/>
    </row>
    <row r="55" spans="1:2" hidden="1" x14ac:dyDescent="0.35">
      <c r="A55" s="118"/>
      <c r="B55" s="114"/>
    </row>
    <row r="56" spans="1:2" hidden="1" x14ac:dyDescent="0.35">
      <c r="A56" s="118"/>
      <c r="B56" s="114"/>
    </row>
    <row r="57" spans="1:2" hidden="1" x14ac:dyDescent="0.35">
      <c r="A57" s="118"/>
      <c r="B57" s="114"/>
    </row>
    <row r="58" spans="1:2" hidden="1" x14ac:dyDescent="0.35">
      <c r="A58" s="118"/>
      <c r="B58" s="114"/>
    </row>
    <row r="59" spans="1:2" hidden="1" x14ac:dyDescent="0.35">
      <c r="A59" s="118"/>
      <c r="B59" s="114"/>
    </row>
    <row r="60" spans="1:2" hidden="1" x14ac:dyDescent="0.35">
      <c r="A60" s="118"/>
      <c r="B60" s="114"/>
    </row>
    <row r="61" spans="1:2" hidden="1" x14ac:dyDescent="0.35">
      <c r="A61" s="118"/>
      <c r="B61" s="114"/>
    </row>
    <row r="62" spans="1:2" hidden="1" x14ac:dyDescent="0.35">
      <c r="A62" s="118"/>
      <c r="B62" s="114"/>
    </row>
    <row r="63" spans="1:2" hidden="1" x14ac:dyDescent="0.35">
      <c r="A63" s="118"/>
      <c r="B63" s="114"/>
    </row>
    <row r="64" spans="1:2" hidden="1" x14ac:dyDescent="0.35">
      <c r="A64" s="118"/>
      <c r="B64" s="114"/>
    </row>
    <row r="65" spans="1:2" hidden="1" x14ac:dyDescent="0.35">
      <c r="A65" s="118"/>
      <c r="B65" s="114"/>
    </row>
    <row r="66" spans="1:2" hidden="1" x14ac:dyDescent="0.35">
      <c r="A66" s="118"/>
      <c r="B66" s="114"/>
    </row>
    <row r="67" spans="1:2" hidden="1" x14ac:dyDescent="0.35">
      <c r="A67" s="118"/>
      <c r="B67" s="114"/>
    </row>
    <row r="68" spans="1:2" hidden="1" x14ac:dyDescent="0.35">
      <c r="A68" s="118"/>
      <c r="B68" s="114"/>
    </row>
    <row r="69" spans="1:2" hidden="1" x14ac:dyDescent="0.35">
      <c r="A69" s="118"/>
      <c r="B69" s="114"/>
    </row>
    <row r="70" spans="1:2" hidden="1" x14ac:dyDescent="0.35">
      <c r="A70" s="118"/>
      <c r="B70" s="114"/>
    </row>
    <row r="71" spans="1:2" hidden="1" x14ac:dyDescent="0.35">
      <c r="A71" s="118"/>
      <c r="B71" s="114"/>
    </row>
    <row r="72" spans="1:2" hidden="1" x14ac:dyDescent="0.35">
      <c r="A72" s="118"/>
      <c r="B72" s="114"/>
    </row>
  </sheetData>
  <sheetProtection password="AEC5" sheet="1" objects="1" scenarios="1"/>
  <mergeCells count="2">
    <mergeCell ref="A1:F1"/>
    <mergeCell ref="A2:F2"/>
  </mergeCells>
  <phoneticPr fontId="0" type="noConversion"/>
  <pageMargins left="0.75" right="0.75" top="1" bottom="1" header="0.5" footer="0.5"/>
  <pageSetup scale="63"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E18D-49F5-435F-A14A-9BF14A3697E5}">
  <sheetPr>
    <pageSetUpPr fitToPage="1"/>
  </sheetPr>
  <dimension ref="A3:M54"/>
  <sheetViews>
    <sheetView workbookViewId="0">
      <selection activeCell="F10" sqref="F10"/>
    </sheetView>
  </sheetViews>
  <sheetFormatPr defaultRowHeight="12.75" x14ac:dyDescent="0.35"/>
  <cols>
    <col min="1" max="1" width="10.6640625" customWidth="1"/>
    <col min="2" max="2" width="8.53125" customWidth="1"/>
    <col min="3" max="3" width="3.86328125" style="2" bestFit="1" customWidth="1"/>
    <col min="4" max="4" width="9.46484375" customWidth="1"/>
    <col min="5" max="5" width="4.86328125" customWidth="1"/>
    <col min="6" max="6" width="16.6640625" style="36" customWidth="1"/>
    <col min="7" max="7" width="3.46484375" style="36" hidden="1" customWidth="1"/>
    <col min="8" max="8" width="16.6640625" style="36" customWidth="1"/>
    <col min="9" max="9" width="4.6640625" style="36" hidden="1" customWidth="1"/>
    <col min="10" max="10" width="16.6640625" style="36" customWidth="1"/>
    <col min="11" max="11" width="1.6640625" hidden="1" customWidth="1"/>
    <col min="12" max="12" width="8.33203125" customWidth="1"/>
    <col min="13" max="13" width="16.6640625" style="36" customWidth="1"/>
  </cols>
  <sheetData>
    <row r="3" spans="1:10" ht="15" customHeight="1" x14ac:dyDescent="0.4">
      <c r="A3" s="29"/>
      <c r="B3" s="29" t="s">
        <v>30</v>
      </c>
      <c r="C3" s="29"/>
      <c r="D3" s="29"/>
    </row>
    <row r="4" spans="1:10" ht="15" customHeight="1" x14ac:dyDescent="0.5">
      <c r="A4" s="30"/>
      <c r="B4" s="29" t="s">
        <v>74</v>
      </c>
      <c r="C4" s="30"/>
      <c r="D4" s="30"/>
    </row>
    <row r="5" spans="1:10" ht="13.15" x14ac:dyDescent="0.4">
      <c r="C5" s="15"/>
    </row>
    <row r="6" spans="1:10" ht="15" x14ac:dyDescent="0.4">
      <c r="C6" s="8"/>
      <c r="D6" s="7"/>
      <c r="E6" s="7"/>
      <c r="F6" s="40"/>
      <c r="G6" s="41"/>
      <c r="H6" s="42"/>
      <c r="I6" s="42"/>
      <c r="J6" s="42"/>
    </row>
    <row r="7" spans="1:10" ht="15" x14ac:dyDescent="0.4">
      <c r="A7" s="169" t="s">
        <v>118</v>
      </c>
      <c r="B7" s="170"/>
      <c r="C7" s="171"/>
      <c r="D7" s="172" t="str">
        <f>IF(Contracting!$B$7="", "",Contracting!$B$7)</f>
        <v/>
      </c>
      <c r="E7" s="173"/>
      <c r="F7" s="40"/>
      <c r="G7" s="41"/>
      <c r="H7" s="42"/>
      <c r="I7" s="42"/>
      <c r="J7" s="42"/>
    </row>
    <row r="8" spans="1:10" ht="13.15" x14ac:dyDescent="0.4">
      <c r="A8" s="174" t="s">
        <v>94</v>
      </c>
      <c r="B8" s="3"/>
      <c r="C8" s="175"/>
      <c r="D8" s="201" t="str">
        <f>IF(Contracting!$B$8="", "",Contracting!$B$8)</f>
        <v/>
      </c>
      <c r="E8" s="202"/>
      <c r="G8" s="43"/>
    </row>
    <row r="9" spans="1:10" ht="13.15" x14ac:dyDescent="0.4">
      <c r="A9" s="176" t="s">
        <v>136</v>
      </c>
      <c r="B9" s="177"/>
      <c r="C9" s="178"/>
      <c r="D9" s="179"/>
      <c r="E9" s="180"/>
      <c r="F9" s="44"/>
      <c r="G9" s="43"/>
    </row>
    <row r="10" spans="1:10" x14ac:dyDescent="0.35">
      <c r="A10" s="174" t="s">
        <v>95</v>
      </c>
      <c r="B10" s="3"/>
      <c r="C10" s="175"/>
      <c r="D10" s="175"/>
      <c r="E10" s="181"/>
      <c r="F10" s="43"/>
      <c r="G10" s="43"/>
    </row>
    <row r="11" spans="1:10" ht="13.15" x14ac:dyDescent="0.4">
      <c r="A11" s="182"/>
      <c r="B11" s="183"/>
      <c r="C11" s="184"/>
      <c r="D11" s="204" t="str">
        <f>IF(Contracting!$B$9="", "",Contracting!$B$9)</f>
        <v/>
      </c>
      <c r="E11" s="205"/>
      <c r="F11" s="43"/>
      <c r="G11" s="43"/>
    </row>
    <row r="12" spans="1:10" ht="13.15" x14ac:dyDescent="0.4">
      <c r="A12" s="128" t="str">
        <f>IF(Contracting!$B$4="", "",Contracting!$B$4)</f>
        <v/>
      </c>
      <c r="B12" s="35"/>
      <c r="G12" s="43"/>
    </row>
    <row r="13" spans="1:10" ht="13.15" x14ac:dyDescent="0.4">
      <c r="A13" s="128" t="str">
        <f>IF(Contracting!$B$5="", "",Contracting!$B$5)</f>
        <v/>
      </c>
      <c r="B13" s="35"/>
      <c r="G13" s="43"/>
    </row>
    <row r="14" spans="1:10" ht="13.15" x14ac:dyDescent="0.4">
      <c r="A14" s="128" t="str">
        <f>IF(Contracting!$B$6="", "",Contracting!$B$6)</f>
        <v/>
      </c>
      <c r="B14" s="34"/>
      <c r="C14" s="8"/>
      <c r="D14" s="7"/>
      <c r="E14" s="7"/>
      <c r="F14" s="43"/>
      <c r="G14" s="43"/>
    </row>
    <row r="15" spans="1:10" ht="15" x14ac:dyDescent="0.4">
      <c r="A15" s="7"/>
      <c r="B15" s="7"/>
      <c r="C15" s="8"/>
      <c r="D15" s="7"/>
      <c r="E15" s="7"/>
      <c r="F15" s="43"/>
      <c r="G15" s="45"/>
    </row>
    <row r="16" spans="1:10" ht="15" x14ac:dyDescent="0.4">
      <c r="A16" s="19"/>
      <c r="B16" s="19"/>
      <c r="C16" s="25"/>
      <c r="D16" s="26"/>
      <c r="G16" s="43"/>
    </row>
    <row r="17" spans="1:13" x14ac:dyDescent="0.35">
      <c r="A17" s="7"/>
      <c r="B17" s="7"/>
      <c r="J17" s="46"/>
      <c r="K17" s="13"/>
      <c r="L17" s="13"/>
      <c r="M17" s="46"/>
    </row>
    <row r="18" spans="1:13" ht="30" customHeight="1" x14ac:dyDescent="0.4">
      <c r="K18" s="23"/>
    </row>
    <row r="19" spans="1:13" s="1" customFormat="1" ht="10.15" x14ac:dyDescent="0.3">
      <c r="A19" s="24"/>
      <c r="B19" s="24"/>
      <c r="C19" s="2"/>
      <c r="D19" s="24"/>
      <c r="E19" s="14"/>
      <c r="F19" s="62" t="s">
        <v>3</v>
      </c>
      <c r="G19" s="62"/>
      <c r="H19" s="203" t="s">
        <v>4</v>
      </c>
      <c r="I19" s="203"/>
      <c r="J19" s="206" t="s">
        <v>5</v>
      </c>
      <c r="K19" s="206"/>
      <c r="L19" s="63" t="s">
        <v>6</v>
      </c>
      <c r="M19" s="62" t="s">
        <v>7</v>
      </c>
    </row>
    <row r="20" spans="1:13" x14ac:dyDescent="0.35">
      <c r="A20" s="50" t="s">
        <v>0</v>
      </c>
      <c r="B20" s="50"/>
      <c r="C20" s="51" t="s">
        <v>1</v>
      </c>
      <c r="D20" s="50" t="s">
        <v>2</v>
      </c>
      <c r="E20" s="52" t="s">
        <v>25</v>
      </c>
      <c r="F20" s="53" t="s">
        <v>26</v>
      </c>
      <c r="G20" s="53"/>
      <c r="H20" s="207" t="s">
        <v>32</v>
      </c>
      <c r="I20" s="208"/>
      <c r="J20" s="196" t="s">
        <v>29</v>
      </c>
      <c r="K20" s="196"/>
      <c r="L20" s="52" t="s">
        <v>137</v>
      </c>
      <c r="M20" s="54" t="s">
        <v>8</v>
      </c>
    </row>
    <row r="21" spans="1:13" ht="27.6" customHeight="1" x14ac:dyDescent="0.4">
      <c r="A21" s="210" t="str">
        <f>IF(Contracting!$B$10="", "",Contracting!$B$10)</f>
        <v/>
      </c>
      <c r="B21" s="211"/>
      <c r="C21" s="55">
        <v>1</v>
      </c>
      <c r="D21" s="123" t="str">
        <f>IF(Contracting!$B$12="", "",Contracting!$B$12)</f>
        <v/>
      </c>
      <c r="E21" s="123" t="str">
        <f>IF(Contracting!$B$14="", "",Contracting!$B$14)</f>
        <v/>
      </c>
      <c r="F21" s="119">
        <f>IF(Contracting!$B$17&gt;0,Contracting!$B$17,0)</f>
        <v>0</v>
      </c>
      <c r="G21" s="57"/>
      <c r="H21" s="119">
        <f>'TPT Return Back Page'!$F$54</f>
        <v>0</v>
      </c>
      <c r="I21" s="120"/>
      <c r="J21" s="158">
        <f>IF((+F21-H21)&gt;=0,(+F21-H21),"")</f>
        <v>0</v>
      </c>
      <c r="K21" s="58"/>
      <c r="L21" s="185">
        <v>1.721E-2</v>
      </c>
      <c r="M21" s="120">
        <f>IF(ROUND((+F21-H21),2)&gt;=0,ROUND((+J21*L21),2),0)</f>
        <v>0</v>
      </c>
    </row>
    <row r="22" spans="1:13" ht="27.6" customHeight="1" x14ac:dyDescent="0.4">
      <c r="A22" s="210" t="str">
        <f>IF(Contracting!$B$11="", "",Contracting!$B$11)</f>
        <v/>
      </c>
      <c r="B22" s="211"/>
      <c r="C22" s="55">
        <v>2</v>
      </c>
      <c r="D22" s="123" t="str">
        <f>IF(Contracting!$B$13="", "",Contracting!$B$13)</f>
        <v/>
      </c>
      <c r="E22" s="123" t="str">
        <f>IF(Contracting!$B$15="", "",Contracting!$B$15)</f>
        <v/>
      </c>
      <c r="F22" s="119">
        <f>IF(Contracting!$B$18&gt;0,Contracting!$B$18,0)</f>
        <v>0</v>
      </c>
      <c r="G22" s="57"/>
      <c r="H22" s="119">
        <f>'TPT Return Back Page'!$G$54</f>
        <v>0</v>
      </c>
      <c r="I22" s="56"/>
      <c r="J22" s="158">
        <f>IF((+F22-H22)&gt;=0,(+F22-H22),"")</f>
        <v>0</v>
      </c>
      <c r="K22" s="58"/>
      <c r="L22" s="185">
        <v>1.721E-2</v>
      </c>
      <c r="M22" s="120">
        <f>IF(ROUND((+F22-H22),2)&gt;=0,ROUND((+J22*L22),2),0)</f>
        <v>0</v>
      </c>
    </row>
    <row r="23" spans="1:13" ht="27.6" customHeight="1" x14ac:dyDescent="0.4">
      <c r="A23" s="212"/>
      <c r="B23" s="212"/>
      <c r="C23" s="55">
        <v>3</v>
      </c>
      <c r="D23" s="123"/>
      <c r="E23" s="123"/>
      <c r="F23" s="119"/>
      <c r="G23" s="57"/>
      <c r="H23" s="119"/>
      <c r="I23" s="57"/>
      <c r="J23" s="158"/>
      <c r="K23" s="60"/>
      <c r="L23" s="59"/>
      <c r="M23" s="120"/>
    </row>
    <row r="24" spans="1:13" ht="27.6" customHeight="1" x14ac:dyDescent="0.35">
      <c r="A24" s="212"/>
      <c r="B24" s="212"/>
      <c r="C24" s="55">
        <v>4</v>
      </c>
      <c r="D24" s="60"/>
      <c r="E24" s="60"/>
      <c r="F24" s="57"/>
      <c r="G24" s="57"/>
      <c r="H24" s="57"/>
      <c r="I24" s="57"/>
      <c r="J24" s="57"/>
      <c r="K24" s="60"/>
      <c r="L24" s="61"/>
      <c r="M24" s="57"/>
    </row>
    <row r="25" spans="1:13" ht="27.6" customHeight="1" x14ac:dyDescent="0.4">
      <c r="A25" s="64"/>
      <c r="B25" s="65"/>
      <c r="C25" s="55">
        <v>5</v>
      </c>
      <c r="D25" s="68" t="s">
        <v>22</v>
      </c>
      <c r="E25" s="69"/>
      <c r="F25" s="70"/>
      <c r="G25" s="70"/>
      <c r="H25" s="70"/>
      <c r="I25" s="70"/>
      <c r="J25" s="71"/>
      <c r="K25" s="72"/>
      <c r="L25" s="72"/>
      <c r="M25" s="57"/>
    </row>
    <row r="26" spans="1:13" ht="27.6" customHeight="1" x14ac:dyDescent="0.4">
      <c r="A26" s="3"/>
      <c r="B26" s="66"/>
      <c r="C26" s="55">
        <v>6</v>
      </c>
      <c r="D26" s="73" t="s">
        <v>31</v>
      </c>
      <c r="E26" s="74"/>
      <c r="F26" s="75"/>
      <c r="G26" s="75"/>
      <c r="H26" s="75"/>
      <c r="I26" s="75"/>
      <c r="J26" s="76"/>
      <c r="K26" s="77"/>
      <c r="L26" s="78" t="s">
        <v>21</v>
      </c>
      <c r="M26" s="57"/>
    </row>
    <row r="27" spans="1:13" ht="27.6" customHeight="1" x14ac:dyDescent="0.4">
      <c r="A27" s="3"/>
      <c r="B27" s="66"/>
      <c r="C27" s="55">
        <v>7</v>
      </c>
      <c r="D27" s="79" t="s">
        <v>83</v>
      </c>
      <c r="E27" s="80"/>
      <c r="F27" s="70"/>
      <c r="G27" s="70"/>
      <c r="H27" s="70"/>
      <c r="I27" s="70"/>
      <c r="J27" s="71"/>
      <c r="K27" s="72"/>
      <c r="L27" s="78" t="s">
        <v>9</v>
      </c>
      <c r="M27" s="121">
        <f>SUM(M21:M26)</f>
        <v>0</v>
      </c>
    </row>
    <row r="28" spans="1:13" ht="27.6" customHeight="1" x14ac:dyDescent="0.4">
      <c r="A28" s="3"/>
      <c r="B28" s="66"/>
      <c r="C28" s="55">
        <v>8</v>
      </c>
      <c r="D28" s="73" t="s">
        <v>10</v>
      </c>
      <c r="E28" s="74"/>
      <c r="F28" s="75"/>
      <c r="G28" s="75"/>
      <c r="H28" s="75"/>
      <c r="I28" s="75"/>
      <c r="J28" s="76"/>
      <c r="K28" s="77"/>
      <c r="L28" s="78" t="s">
        <v>21</v>
      </c>
      <c r="M28" s="122"/>
    </row>
    <row r="29" spans="1:13" ht="27.6" customHeight="1" x14ac:dyDescent="0.4">
      <c r="A29" s="3"/>
      <c r="B29" s="66"/>
      <c r="C29" s="55">
        <v>9</v>
      </c>
      <c r="D29" s="81" t="s">
        <v>76</v>
      </c>
      <c r="E29" s="74"/>
      <c r="F29" s="75"/>
      <c r="G29" s="75"/>
      <c r="H29" s="75"/>
      <c r="I29" s="75"/>
      <c r="J29" s="76"/>
      <c r="K29" s="77"/>
      <c r="L29" s="82" t="s">
        <v>77</v>
      </c>
      <c r="M29" s="122"/>
    </row>
    <row r="30" spans="1:13" ht="27.6" customHeight="1" x14ac:dyDescent="0.4">
      <c r="A30" s="3"/>
      <c r="B30" s="66"/>
      <c r="C30" s="55">
        <v>10</v>
      </c>
      <c r="D30" s="73" t="s">
        <v>19</v>
      </c>
      <c r="E30" s="74"/>
      <c r="F30" s="75"/>
      <c r="G30" s="75"/>
      <c r="H30" s="75"/>
      <c r="I30" s="75"/>
      <c r="J30" s="76"/>
      <c r="K30" s="77"/>
      <c r="L30" s="78" t="s">
        <v>9</v>
      </c>
      <c r="M30" s="121">
        <f>SUM(M27:M29)</f>
        <v>0</v>
      </c>
    </row>
    <row r="31" spans="1:13" ht="27.6" customHeight="1" x14ac:dyDescent="0.4">
      <c r="A31" s="3"/>
      <c r="B31" s="66"/>
      <c r="C31" s="55">
        <v>11</v>
      </c>
      <c r="D31" s="73" t="s">
        <v>11</v>
      </c>
      <c r="E31" s="74"/>
      <c r="F31" s="75"/>
      <c r="G31" s="75"/>
      <c r="H31" s="75"/>
      <c r="I31" s="75"/>
      <c r="J31" s="76"/>
      <c r="K31" s="77"/>
      <c r="L31" s="77"/>
      <c r="M31" s="121" t="str">
        <f>IF(Contracting!$B$29&gt;0,Contracting!$B$29,"")</f>
        <v/>
      </c>
    </row>
    <row r="32" spans="1:13" ht="27.6" customHeight="1" x14ac:dyDescent="0.4">
      <c r="A32" s="3"/>
      <c r="B32" s="3"/>
      <c r="C32" s="6"/>
      <c r="D32" s="186"/>
      <c r="E32" s="187"/>
      <c r="F32" s="188"/>
      <c r="G32" s="188"/>
      <c r="H32" s="188"/>
      <c r="I32" s="188"/>
      <c r="J32" s="188"/>
      <c r="K32" s="187"/>
      <c r="L32" s="187"/>
      <c r="M32" s="189"/>
    </row>
    <row r="33" spans="1:13" ht="14.85" customHeight="1" x14ac:dyDescent="0.35">
      <c r="A33" s="67" t="s">
        <v>78</v>
      </c>
      <c r="B33" s="1"/>
    </row>
    <row r="34" spans="1:13" x14ac:dyDescent="0.35">
      <c r="A34" s="67" t="s">
        <v>27</v>
      </c>
      <c r="B34" s="1"/>
    </row>
    <row r="35" spans="1:13" x14ac:dyDescent="0.35">
      <c r="A35" s="3"/>
      <c r="B35" s="3"/>
      <c r="C35" s="6"/>
      <c r="D35" s="3"/>
      <c r="E35" s="3"/>
      <c r="F35" s="42"/>
      <c r="G35" s="42"/>
      <c r="H35" s="42"/>
      <c r="I35" s="42"/>
      <c r="J35" s="42"/>
      <c r="K35" s="3"/>
      <c r="L35" s="3"/>
    </row>
    <row r="36" spans="1:13" ht="15.75" customHeight="1" x14ac:dyDescent="0.35">
      <c r="A36" s="10"/>
      <c r="B36" s="10"/>
      <c r="C36" s="9"/>
      <c r="D36" s="5"/>
      <c r="E36" s="5"/>
      <c r="F36" s="86"/>
      <c r="G36" s="87"/>
      <c r="H36" s="87"/>
      <c r="I36" s="47"/>
      <c r="J36" s="87"/>
      <c r="K36" s="88"/>
      <c r="L36" s="88"/>
      <c r="M36" s="89"/>
    </row>
    <row r="37" spans="1:13" x14ac:dyDescent="0.35">
      <c r="A37" s="5"/>
      <c r="B37" s="5"/>
      <c r="C37" s="9"/>
      <c r="D37" s="5"/>
      <c r="E37" s="5"/>
      <c r="F37" s="47"/>
      <c r="G37" s="87"/>
      <c r="H37" s="87"/>
      <c r="I37" s="87"/>
      <c r="J37" s="87"/>
      <c r="K37" s="88"/>
      <c r="L37" s="88"/>
      <c r="M37" s="89"/>
    </row>
    <row r="38" spans="1:13" x14ac:dyDescent="0.35">
      <c r="A38" s="20"/>
      <c r="B38" s="5"/>
      <c r="C38" s="9"/>
      <c r="D38" s="5"/>
      <c r="E38" s="5"/>
      <c r="F38" s="90"/>
      <c r="G38" s="87"/>
      <c r="H38" s="87"/>
      <c r="I38" s="87"/>
      <c r="J38" s="87"/>
      <c r="K38" s="88"/>
      <c r="L38" s="88"/>
      <c r="M38" s="89"/>
    </row>
    <row r="39" spans="1:13" ht="15" customHeight="1" x14ac:dyDescent="0.35">
      <c r="A39" s="10"/>
      <c r="B39" s="10"/>
      <c r="C39" s="9"/>
      <c r="D39" s="5"/>
      <c r="E39" s="5"/>
      <c r="F39" s="48"/>
      <c r="G39" s="87"/>
      <c r="H39" s="87"/>
      <c r="I39" s="47"/>
      <c r="J39" s="87"/>
      <c r="K39" s="88"/>
      <c r="L39" s="88"/>
      <c r="M39" s="89"/>
    </row>
    <row r="40" spans="1:13" x14ac:dyDescent="0.35">
      <c r="A40" s="84"/>
      <c r="B40" s="84"/>
      <c r="C40" s="85"/>
      <c r="D40" s="84"/>
      <c r="E40" s="84"/>
      <c r="F40" s="83"/>
      <c r="G40" s="83"/>
      <c r="H40" s="83"/>
      <c r="I40" s="83"/>
      <c r="J40" s="83"/>
      <c r="K40" s="84"/>
      <c r="L40" s="84"/>
      <c r="M40" s="83"/>
    </row>
    <row r="41" spans="1:13" x14ac:dyDescent="0.35">
      <c r="A41" s="84"/>
      <c r="B41" s="84"/>
      <c r="C41" s="85"/>
      <c r="D41" s="84"/>
      <c r="E41" s="84"/>
      <c r="F41" s="83"/>
      <c r="G41" s="83"/>
      <c r="H41" s="83"/>
      <c r="I41" s="83"/>
      <c r="J41" s="83"/>
      <c r="K41" s="84"/>
      <c r="L41" s="84"/>
      <c r="M41" s="83"/>
    </row>
    <row r="42" spans="1:13" ht="15" x14ac:dyDescent="0.4">
      <c r="A42" s="198" t="s">
        <v>36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</row>
    <row r="43" spans="1:13" ht="13.15" hidden="1" x14ac:dyDescent="0.4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</row>
    <row r="44" spans="1:13" ht="15" x14ac:dyDescent="0.4">
      <c r="A44" s="200" t="s">
        <v>12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</row>
    <row r="45" spans="1:13" ht="15" x14ac:dyDescent="0.4">
      <c r="A45" s="200" t="s">
        <v>38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</row>
    <row r="46" spans="1:13" ht="15" x14ac:dyDescent="0.4">
      <c r="A46" s="213" t="s">
        <v>84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</row>
    <row r="47" spans="1:13" ht="13.15" x14ac:dyDescent="0.4">
      <c r="A47" s="145" t="s">
        <v>142</v>
      </c>
      <c r="F47" s="209" t="s">
        <v>85</v>
      </c>
      <c r="G47" s="209"/>
      <c r="H47" s="209"/>
    </row>
    <row r="48" spans="1:13" ht="13.15" x14ac:dyDescent="0.4">
      <c r="F48" s="197"/>
      <c r="G48" s="197"/>
      <c r="H48" s="197"/>
    </row>
    <row r="50" spans="1:12" x14ac:dyDescent="0.35">
      <c r="A50" s="3"/>
      <c r="B50" s="3"/>
      <c r="C50" s="6"/>
      <c r="D50" s="3"/>
      <c r="E50" s="3"/>
      <c r="F50" s="42"/>
      <c r="G50" s="42"/>
      <c r="H50" s="42"/>
      <c r="I50" s="42"/>
      <c r="J50" s="42"/>
      <c r="K50" s="3"/>
      <c r="L50" s="3"/>
    </row>
    <row r="51" spans="1:12" x14ac:dyDescent="0.35">
      <c r="A51" s="10"/>
      <c r="B51" s="10"/>
      <c r="C51" s="9"/>
      <c r="D51" s="5"/>
      <c r="E51" s="5"/>
      <c r="F51" s="48"/>
      <c r="G51" s="42"/>
      <c r="H51" s="42"/>
      <c r="I51" s="47"/>
      <c r="J51" s="42"/>
      <c r="K51" s="3"/>
      <c r="L51" s="3"/>
    </row>
    <row r="52" spans="1:12" x14ac:dyDescent="0.35">
      <c r="A52" s="5"/>
      <c r="B52" s="5"/>
      <c r="C52" s="9"/>
      <c r="D52" s="5"/>
      <c r="E52" s="5"/>
      <c r="F52" s="47"/>
      <c r="G52" s="42"/>
      <c r="H52" s="42"/>
      <c r="I52" s="42"/>
      <c r="J52" s="42"/>
      <c r="K52" s="3"/>
      <c r="L52" s="3"/>
    </row>
    <row r="53" spans="1:12" x14ac:dyDescent="0.35">
      <c r="A53" s="5"/>
      <c r="B53" s="5"/>
      <c r="C53" s="9"/>
      <c r="D53" s="5"/>
      <c r="E53" s="5"/>
      <c r="F53" s="47"/>
      <c r="G53" s="42"/>
      <c r="H53" s="42"/>
      <c r="I53" s="42"/>
      <c r="J53" s="42"/>
      <c r="K53" s="3"/>
      <c r="L53" s="3"/>
    </row>
    <row r="54" spans="1:12" x14ac:dyDescent="0.35">
      <c r="A54" s="10"/>
      <c r="B54" s="10"/>
      <c r="C54" s="9"/>
      <c r="D54" s="5"/>
      <c r="E54" s="5"/>
      <c r="F54" s="48"/>
      <c r="G54" s="42"/>
      <c r="H54" s="42"/>
      <c r="I54" s="47"/>
      <c r="J54" s="42"/>
      <c r="K54" s="3"/>
      <c r="L54" s="3"/>
    </row>
  </sheetData>
  <sheetProtection password="AEC5" sheet="1" objects="1" scenarios="1"/>
  <mergeCells count="17">
    <mergeCell ref="D8:E8"/>
    <mergeCell ref="H19:I19"/>
    <mergeCell ref="D11:E11"/>
    <mergeCell ref="J19:K19"/>
    <mergeCell ref="H20:I20"/>
    <mergeCell ref="F47:H47"/>
    <mergeCell ref="A46:M46"/>
    <mergeCell ref="J20:K20"/>
    <mergeCell ref="F48:H48"/>
    <mergeCell ref="A42:M42"/>
    <mergeCell ref="A43:M43"/>
    <mergeCell ref="A44:M44"/>
    <mergeCell ref="A45:M45"/>
    <mergeCell ref="A21:B21"/>
    <mergeCell ref="A22:B22"/>
    <mergeCell ref="A23:B23"/>
    <mergeCell ref="A24:B24"/>
  </mergeCells>
  <phoneticPr fontId="0" type="noConversion"/>
  <hyperlinks>
    <hyperlink ref="F47" r:id="rId1" xr:uid="{275509D1-2718-4E80-8E40-9323B657CBC3}"/>
  </hyperlinks>
  <printOptions horizontalCentered="1"/>
  <pageMargins left="0.25" right="0.13" top="0.25" bottom="0.25" header="0.15" footer="0.14000000000000001"/>
  <pageSetup scale="92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3710-571B-448E-B074-20077AB5580B}">
  <sheetPr>
    <pageSetUpPr fitToPage="1"/>
  </sheetPr>
  <dimension ref="A1:K86"/>
  <sheetViews>
    <sheetView topLeftCell="B1" workbookViewId="0">
      <selection activeCell="H15" sqref="H15"/>
    </sheetView>
  </sheetViews>
  <sheetFormatPr defaultRowHeight="12.75" x14ac:dyDescent="0.35"/>
  <cols>
    <col min="1" max="1" width="12.46484375" hidden="1" customWidth="1"/>
    <col min="2" max="2" width="14.1328125" customWidth="1"/>
    <col min="3" max="3" width="2.1328125" hidden="1" customWidth="1"/>
    <col min="4" max="4" width="21.6640625" customWidth="1"/>
    <col min="5" max="5" width="7" customWidth="1"/>
    <col min="6" max="9" width="19.46484375" style="36" customWidth="1"/>
    <col min="10" max="11" width="12.53125" customWidth="1"/>
  </cols>
  <sheetData>
    <row r="1" spans="2:11" ht="18.75" customHeight="1" x14ac:dyDescent="0.4">
      <c r="B1" s="22" t="s">
        <v>28</v>
      </c>
      <c r="D1" s="16"/>
      <c r="E1" s="16"/>
    </row>
    <row r="2" spans="2:11" ht="13.9" x14ac:dyDescent="0.4">
      <c r="B2" s="166" t="s">
        <v>133</v>
      </c>
      <c r="C2" s="4" t="s">
        <v>39</v>
      </c>
      <c r="D2" s="167" t="s">
        <v>65</v>
      </c>
      <c r="E2" s="4"/>
      <c r="F2" s="37"/>
      <c r="G2" s="37"/>
      <c r="H2" s="37"/>
      <c r="I2" s="37"/>
      <c r="J2" s="4"/>
    </row>
    <row r="3" spans="2:11" x14ac:dyDescent="0.35">
      <c r="B3" s="113" t="s">
        <v>68</v>
      </c>
      <c r="D3" s="84"/>
    </row>
    <row r="4" spans="2:11" ht="13.15" x14ac:dyDescent="0.4">
      <c r="F4" s="168" t="s">
        <v>23</v>
      </c>
    </row>
    <row r="5" spans="2:11" s="4" customFormat="1" ht="13.9" x14ac:dyDescent="0.4">
      <c r="B5" s="33" t="s">
        <v>69</v>
      </c>
      <c r="C5" s="4" t="s">
        <v>33</v>
      </c>
      <c r="D5" s="84" t="s">
        <v>45</v>
      </c>
      <c r="F5" s="37"/>
      <c r="G5" s="37"/>
      <c r="H5" s="37"/>
      <c r="I5" s="37"/>
      <c r="K5"/>
    </row>
    <row r="6" spans="2:11" s="4" customFormat="1" x14ac:dyDescent="0.35">
      <c r="C6" s="4" t="s">
        <v>34</v>
      </c>
      <c r="D6" s="84" t="s">
        <v>66</v>
      </c>
      <c r="F6" s="37"/>
      <c r="G6" s="37"/>
      <c r="H6" s="37"/>
      <c r="I6" s="37"/>
      <c r="K6"/>
    </row>
    <row r="7" spans="2:11" s="4" customFormat="1" x14ac:dyDescent="0.35">
      <c r="C7" s="4" t="s">
        <v>35</v>
      </c>
      <c r="D7" s="84" t="s">
        <v>67</v>
      </c>
      <c r="F7" s="37"/>
      <c r="G7" s="37"/>
      <c r="H7" s="37"/>
      <c r="I7" s="37"/>
      <c r="K7"/>
    </row>
    <row r="8" spans="2:11" s="4" customFormat="1" x14ac:dyDescent="0.35">
      <c r="C8" s="4" t="s">
        <v>13</v>
      </c>
      <c r="D8" s="84" t="s">
        <v>13</v>
      </c>
      <c r="F8" s="37"/>
      <c r="G8" s="37"/>
      <c r="H8" s="37"/>
      <c r="I8" s="37"/>
      <c r="K8"/>
    </row>
    <row r="9" spans="2:11" s="4" customFormat="1" x14ac:dyDescent="0.35">
      <c r="C9" s="4" t="s">
        <v>14</v>
      </c>
      <c r="D9" s="84" t="s">
        <v>14</v>
      </c>
      <c r="F9" s="37"/>
      <c r="G9" s="37"/>
      <c r="H9" s="37"/>
      <c r="I9" s="37"/>
      <c r="K9"/>
    </row>
    <row r="10" spans="2:11" s="4" customFormat="1" ht="12.75" customHeight="1" x14ac:dyDescent="0.35">
      <c r="F10" s="37"/>
      <c r="G10" s="37"/>
      <c r="H10" s="37"/>
      <c r="I10" s="37"/>
      <c r="K10"/>
    </row>
    <row r="11" spans="2:11" s="4" customFormat="1" ht="13.15" x14ac:dyDescent="0.4">
      <c r="B11" s="91" t="s">
        <v>134</v>
      </c>
      <c r="C11" s="4" t="s">
        <v>24</v>
      </c>
      <c r="F11" s="37"/>
      <c r="G11" s="37"/>
      <c r="H11" s="37"/>
      <c r="I11" s="37"/>
      <c r="K11"/>
    </row>
    <row r="12" spans="2:11" s="4" customFormat="1" x14ac:dyDescent="0.35">
      <c r="B12" s="67" t="s">
        <v>135</v>
      </c>
      <c r="F12" s="37"/>
      <c r="G12" s="37"/>
      <c r="H12" s="37"/>
      <c r="I12" s="37"/>
      <c r="K12"/>
    </row>
    <row r="13" spans="2:11" ht="12.75" customHeight="1" x14ac:dyDescent="0.35"/>
    <row r="14" spans="2:11" s="4" customFormat="1" ht="13.9" x14ac:dyDescent="0.4">
      <c r="B14" s="33" t="s">
        <v>79</v>
      </c>
      <c r="F14" s="37"/>
      <c r="G14" s="37"/>
      <c r="H14" s="37"/>
      <c r="I14" s="37"/>
      <c r="K14"/>
    </row>
    <row r="15" spans="2:11" s="4" customFormat="1" x14ac:dyDescent="0.35">
      <c r="C15" s="12" t="s">
        <v>20</v>
      </c>
      <c r="D15" s="67" t="s">
        <v>70</v>
      </c>
      <c r="F15" s="37"/>
      <c r="G15" s="37"/>
      <c r="H15" s="37"/>
      <c r="I15" s="37"/>
      <c r="K15"/>
    </row>
    <row r="16" spans="2:11" s="4" customFormat="1" x14ac:dyDescent="0.35">
      <c r="C16" s="12" t="s">
        <v>20</v>
      </c>
      <c r="D16" s="67" t="s">
        <v>71</v>
      </c>
      <c r="F16" s="37"/>
      <c r="G16" s="37"/>
      <c r="H16" s="37"/>
      <c r="I16" s="37"/>
      <c r="K16"/>
    </row>
    <row r="17" spans="1:11" s="4" customFormat="1" x14ac:dyDescent="0.35">
      <c r="C17" s="12" t="s">
        <v>20</v>
      </c>
      <c r="D17" s="67" t="s">
        <v>72</v>
      </c>
      <c r="F17" s="37"/>
      <c r="G17" s="37"/>
      <c r="H17" s="37"/>
      <c r="I17" s="37"/>
      <c r="K17"/>
    </row>
    <row r="18" spans="1:11" s="4" customFormat="1" x14ac:dyDescent="0.35">
      <c r="C18" s="12" t="s">
        <v>20</v>
      </c>
      <c r="D18" s="67" t="s">
        <v>73</v>
      </c>
      <c r="F18" s="37"/>
      <c r="G18" s="37"/>
      <c r="H18" s="37"/>
      <c r="I18" s="37"/>
      <c r="K18"/>
    </row>
    <row r="19" spans="1:11" s="4" customFormat="1" x14ac:dyDescent="0.35">
      <c r="F19" s="37"/>
      <c r="G19" s="37"/>
      <c r="H19" s="37"/>
      <c r="I19" s="37"/>
      <c r="K19"/>
    </row>
    <row r="20" spans="1:11" s="11" customFormat="1" ht="14.25" thickBot="1" x14ac:dyDescent="0.45">
      <c r="B20" s="107" t="s">
        <v>64</v>
      </c>
      <c r="C20" s="108"/>
      <c r="D20" s="108"/>
      <c r="E20" s="108"/>
      <c r="F20" s="109"/>
      <c r="G20" s="109"/>
      <c r="H20" s="110"/>
      <c r="I20" s="110"/>
      <c r="J20" s="20"/>
      <c r="K20"/>
    </row>
    <row r="21" spans="1:11" ht="13.9" x14ac:dyDescent="0.4">
      <c r="B21" s="33" t="s">
        <v>80</v>
      </c>
    </row>
    <row r="22" spans="1:11" s="4" customFormat="1" x14ac:dyDescent="0.35">
      <c r="B22" s="67" t="s">
        <v>40</v>
      </c>
      <c r="F22" s="37"/>
      <c r="G22" s="37"/>
      <c r="H22" s="37"/>
      <c r="I22" s="37"/>
      <c r="K22"/>
    </row>
    <row r="23" spans="1:11" s="4" customFormat="1" x14ac:dyDescent="0.35">
      <c r="B23" s="67" t="s">
        <v>41</v>
      </c>
      <c r="F23" s="37"/>
      <c r="G23" s="37"/>
      <c r="H23" s="37"/>
      <c r="I23" s="37"/>
      <c r="K23"/>
    </row>
    <row r="24" spans="1:11" s="4" customFormat="1" x14ac:dyDescent="0.35">
      <c r="B24" s="67" t="s">
        <v>42</v>
      </c>
      <c r="F24" s="37"/>
      <c r="G24" s="37"/>
      <c r="H24" s="37"/>
      <c r="I24" s="37"/>
      <c r="K24"/>
    </row>
    <row r="25" spans="1:11" s="4" customFormat="1" x14ac:dyDescent="0.35">
      <c r="B25" s="92" t="s">
        <v>81</v>
      </c>
      <c r="F25" s="37"/>
      <c r="G25" s="37"/>
      <c r="H25" s="37"/>
      <c r="I25" s="37"/>
      <c r="K25"/>
    </row>
    <row r="26" spans="1:11" s="4" customFormat="1" ht="13.15" x14ac:dyDescent="0.4">
      <c r="B26" s="91" t="s">
        <v>82</v>
      </c>
      <c r="C26"/>
      <c r="D26"/>
      <c r="E26"/>
      <c r="F26" s="36"/>
      <c r="G26" s="36"/>
      <c r="H26" s="36"/>
      <c r="I26" s="36"/>
      <c r="J26"/>
      <c r="K26"/>
    </row>
    <row r="27" spans="1:11" s="4" customFormat="1" x14ac:dyDescent="0.35">
      <c r="B27" s="11"/>
      <c r="F27" s="37"/>
      <c r="G27" s="37"/>
      <c r="H27" s="37"/>
      <c r="I27" s="37"/>
      <c r="K27"/>
    </row>
    <row r="28" spans="1:11" s="4" customFormat="1" x14ac:dyDescent="0.35">
      <c r="E28" s="17"/>
      <c r="F28" s="93" t="s">
        <v>2</v>
      </c>
      <c r="G28" s="93" t="s">
        <v>2</v>
      </c>
      <c r="H28" s="93" t="s">
        <v>2</v>
      </c>
      <c r="I28" s="93" t="s">
        <v>2</v>
      </c>
      <c r="J28" s="17"/>
      <c r="K28"/>
    </row>
    <row r="29" spans="1:11" s="4" customFormat="1" ht="13.15" x14ac:dyDescent="0.4">
      <c r="A29" s="1"/>
      <c r="E29" s="17"/>
      <c r="F29" s="123" t="str">
        <f>IF(Contracting!$B$12="", "",Contracting!$B$12)</f>
        <v/>
      </c>
      <c r="G29" s="123" t="str">
        <f>IF(Contracting!$B$13="", "",Contracting!$B$13)</f>
        <v/>
      </c>
      <c r="H29" s="123"/>
      <c r="I29" s="94"/>
      <c r="J29" s="17"/>
      <c r="K29"/>
    </row>
    <row r="30" spans="1:11" s="4" customFormat="1" x14ac:dyDescent="0.35">
      <c r="A30" s="31" t="s">
        <v>43</v>
      </c>
      <c r="B30" s="100" t="s">
        <v>43</v>
      </c>
      <c r="C30" s="101"/>
      <c r="D30" s="99"/>
      <c r="E30" s="95" t="s">
        <v>44</v>
      </c>
      <c r="F30" s="96" t="s">
        <v>15</v>
      </c>
      <c r="G30" s="96" t="s">
        <v>16</v>
      </c>
      <c r="H30" s="96" t="s">
        <v>17</v>
      </c>
      <c r="I30" s="96" t="s">
        <v>18</v>
      </c>
      <c r="J30" s="18"/>
      <c r="K30"/>
    </row>
    <row r="31" spans="1:11" s="4" customFormat="1" ht="20.100000000000001" customHeight="1" x14ac:dyDescent="0.4">
      <c r="A31" s="27" t="s">
        <v>37</v>
      </c>
      <c r="B31" s="102" t="s">
        <v>46</v>
      </c>
      <c r="C31" s="103"/>
      <c r="D31" s="104"/>
      <c r="E31" s="51">
        <v>11</v>
      </c>
      <c r="F31" s="124" t="str">
        <f>IF(Contracting!$E$43&gt;0,Contracting!$E$43,"")</f>
        <v/>
      </c>
      <c r="G31" s="152" t="str">
        <f>IF(Contracting!$E$44&gt;0,Contracting!$E$44,"")</f>
        <v/>
      </c>
      <c r="H31" s="152"/>
      <c r="I31" s="97"/>
      <c r="J31" s="5"/>
      <c r="K31"/>
    </row>
    <row r="32" spans="1:11" s="4" customFormat="1" ht="19.5" customHeight="1" x14ac:dyDescent="0.35">
      <c r="A32" s="13"/>
      <c r="B32" s="102"/>
      <c r="C32" s="103"/>
      <c r="D32" s="104"/>
      <c r="E32" s="51"/>
      <c r="F32" s="150"/>
      <c r="G32" s="125"/>
      <c r="H32" s="125"/>
      <c r="I32" s="97"/>
      <c r="J32" s="5"/>
      <c r="K32"/>
    </row>
    <row r="33" spans="1:11" s="4" customFormat="1" ht="20.100000000000001" customHeight="1" x14ac:dyDescent="0.35">
      <c r="A33" s="13">
        <v>12</v>
      </c>
      <c r="B33" s="102" t="s">
        <v>47</v>
      </c>
      <c r="C33" s="103"/>
      <c r="D33" s="104"/>
      <c r="E33" s="51">
        <v>12</v>
      </c>
      <c r="F33" s="150"/>
      <c r="G33" s="125"/>
      <c r="H33" s="125"/>
      <c r="I33" s="97"/>
      <c r="J33" s="5"/>
      <c r="K33"/>
    </row>
    <row r="34" spans="1:11" s="4" customFormat="1" ht="20.100000000000001" customHeight="1" x14ac:dyDescent="0.4">
      <c r="A34" s="13">
        <v>3</v>
      </c>
      <c r="B34" s="102" t="s">
        <v>48</v>
      </c>
      <c r="C34" s="103"/>
      <c r="D34" s="104"/>
      <c r="E34" s="51">
        <v>3</v>
      </c>
      <c r="F34" s="151"/>
      <c r="G34" s="126"/>
      <c r="H34" s="126"/>
      <c r="I34" s="97"/>
      <c r="J34" s="5"/>
      <c r="K34"/>
    </row>
    <row r="35" spans="1:11" s="4" customFormat="1" ht="20.100000000000001" customHeight="1" x14ac:dyDescent="0.35">
      <c r="A35" s="13">
        <v>5</v>
      </c>
      <c r="B35" s="102" t="s">
        <v>49</v>
      </c>
      <c r="C35" s="103"/>
      <c r="D35" s="104"/>
      <c r="E35" s="51">
        <v>5</v>
      </c>
      <c r="F35" s="150"/>
      <c r="G35" s="125"/>
      <c r="H35" s="125"/>
      <c r="I35" s="97"/>
      <c r="J35" s="5"/>
      <c r="K35"/>
    </row>
    <row r="36" spans="1:11" s="4" customFormat="1" ht="20.100000000000001" customHeight="1" x14ac:dyDescent="0.35">
      <c r="A36" s="13">
        <v>2</v>
      </c>
      <c r="B36" s="102" t="s">
        <v>50</v>
      </c>
      <c r="C36" s="103"/>
      <c r="D36" s="104"/>
      <c r="E36" s="51">
        <v>2</v>
      </c>
      <c r="F36" s="150"/>
      <c r="G36" s="125"/>
      <c r="H36" s="125"/>
      <c r="I36" s="97"/>
      <c r="J36" s="5"/>
      <c r="K36"/>
    </row>
    <row r="37" spans="1:11" s="4" customFormat="1" ht="20.100000000000001" customHeight="1" x14ac:dyDescent="0.35">
      <c r="A37" s="13">
        <v>13</v>
      </c>
      <c r="B37" s="102" t="s">
        <v>51</v>
      </c>
      <c r="C37" s="103"/>
      <c r="D37" s="104"/>
      <c r="E37" s="51">
        <v>13</v>
      </c>
      <c r="F37" s="150"/>
      <c r="G37" s="125"/>
      <c r="H37" s="125"/>
      <c r="I37" s="97"/>
      <c r="J37" s="5"/>
      <c r="K37"/>
    </row>
    <row r="38" spans="1:11" s="4" customFormat="1" ht="20.100000000000001" customHeight="1" x14ac:dyDescent="0.35">
      <c r="A38" s="13">
        <v>16</v>
      </c>
      <c r="B38" s="102" t="s">
        <v>52</v>
      </c>
      <c r="C38" s="103"/>
      <c r="D38" s="104"/>
      <c r="E38" s="51">
        <v>16</v>
      </c>
      <c r="F38" s="150"/>
      <c r="G38" s="125"/>
      <c r="H38" s="125"/>
      <c r="I38" s="97"/>
      <c r="J38" s="5"/>
      <c r="K38"/>
    </row>
    <row r="39" spans="1:11" s="1" customFormat="1" ht="19.5" customHeight="1" x14ac:dyDescent="0.35">
      <c r="A39" s="28">
        <v>4</v>
      </c>
      <c r="B39" s="102" t="s">
        <v>53</v>
      </c>
      <c r="C39" s="105"/>
      <c r="D39" s="104"/>
      <c r="E39" s="51">
        <v>4</v>
      </c>
      <c r="F39" s="150"/>
      <c r="G39" s="125"/>
      <c r="H39" s="125"/>
      <c r="I39" s="98"/>
      <c r="J39" s="14"/>
      <c r="K39"/>
    </row>
    <row r="40" spans="1:11" s="1" customFormat="1" ht="24.75" customHeight="1" x14ac:dyDescent="0.35">
      <c r="A40" s="28"/>
      <c r="B40" s="102"/>
      <c r="C40" s="105"/>
      <c r="D40" s="104"/>
      <c r="E40" s="51"/>
      <c r="F40" s="150"/>
      <c r="G40" s="125"/>
      <c r="H40" s="125"/>
      <c r="I40" s="98"/>
      <c r="J40" s="14"/>
      <c r="K40"/>
    </row>
    <row r="41" spans="1:11" s="1" customFormat="1" ht="19.5" customHeight="1" x14ac:dyDescent="0.4">
      <c r="A41" s="28">
        <v>9</v>
      </c>
      <c r="B41" s="102" t="s">
        <v>54</v>
      </c>
      <c r="C41" s="105"/>
      <c r="D41" s="104"/>
      <c r="E41" s="51">
        <v>9</v>
      </c>
      <c r="F41" s="124" t="str">
        <f>IF(Contracting!$C$43="", "",Contracting!$C$43)</f>
        <v/>
      </c>
      <c r="G41" s="153" t="str">
        <f>IF(Contracting!$C$44="", "",Contracting!$C$44)</f>
        <v/>
      </c>
      <c r="H41" s="153"/>
      <c r="I41" s="98"/>
      <c r="J41" s="14"/>
      <c r="K41"/>
    </row>
    <row r="42" spans="1:11" s="1" customFormat="1" ht="19.5" customHeight="1" x14ac:dyDescent="0.4">
      <c r="A42" s="28">
        <v>10</v>
      </c>
      <c r="B42" s="102" t="s">
        <v>55</v>
      </c>
      <c r="C42" s="105"/>
      <c r="D42" s="104"/>
      <c r="E42" s="51">
        <v>10</v>
      </c>
      <c r="F42" s="151"/>
      <c r="G42" s="126"/>
      <c r="H42" s="126"/>
      <c r="I42" s="98"/>
      <c r="J42" s="14"/>
      <c r="K42"/>
    </row>
    <row r="43" spans="1:11" s="1" customFormat="1" ht="20.100000000000001" customHeight="1" x14ac:dyDescent="0.4">
      <c r="A43" s="28">
        <v>8</v>
      </c>
      <c r="B43" s="102" t="s">
        <v>56</v>
      </c>
      <c r="C43" s="105"/>
      <c r="D43" s="104"/>
      <c r="E43" s="51">
        <v>6</v>
      </c>
      <c r="F43" s="151" t="str">
        <f>IF(Contracting!$F$43="", "",Contracting!$F$43)</f>
        <v/>
      </c>
      <c r="G43" s="126" t="str">
        <f>IF(Contracting!$F$44="", "",Contracting!$F$44)</f>
        <v/>
      </c>
      <c r="H43" s="153"/>
      <c r="I43" s="98"/>
      <c r="J43" s="14"/>
      <c r="K43"/>
    </row>
    <row r="44" spans="1:11" s="1" customFormat="1" ht="20.100000000000001" customHeight="1" x14ac:dyDescent="0.4">
      <c r="A44" s="28">
        <v>6</v>
      </c>
      <c r="B44" s="102" t="s">
        <v>57</v>
      </c>
      <c r="C44" s="105"/>
      <c r="D44" s="104"/>
      <c r="E44" s="51">
        <v>7</v>
      </c>
      <c r="F44" s="151" t="str">
        <f>IF(Contracting!$B$43="", "",Contracting!$B$43)</f>
        <v/>
      </c>
      <c r="G44" s="126" t="str">
        <f>IF(Contracting!$B$44="", "",Contracting!$B$44)</f>
        <v/>
      </c>
      <c r="H44" s="126"/>
      <c r="I44" s="98"/>
      <c r="J44" s="14"/>
      <c r="K44"/>
    </row>
    <row r="45" spans="1:11" s="1" customFormat="1" ht="20.100000000000001" customHeight="1" x14ac:dyDescent="0.4">
      <c r="A45" s="28">
        <v>7</v>
      </c>
      <c r="B45" s="102" t="s">
        <v>58</v>
      </c>
      <c r="C45" s="105"/>
      <c r="D45" s="104"/>
      <c r="E45" s="51">
        <v>1</v>
      </c>
      <c r="F45" s="124"/>
      <c r="G45" s="153"/>
      <c r="H45" s="153"/>
      <c r="I45" s="98"/>
      <c r="J45" s="14"/>
      <c r="K45"/>
    </row>
    <row r="46" spans="1:11" s="1" customFormat="1" ht="20.100000000000001" customHeight="1" x14ac:dyDescent="0.35">
      <c r="A46" s="28">
        <v>1</v>
      </c>
      <c r="B46" s="102" t="s">
        <v>59</v>
      </c>
      <c r="C46" s="105"/>
      <c r="D46" s="104"/>
      <c r="E46" s="51">
        <v>18</v>
      </c>
      <c r="F46" s="150"/>
      <c r="G46" s="125"/>
      <c r="H46" s="125"/>
      <c r="I46" s="98"/>
      <c r="J46" s="14"/>
      <c r="K46"/>
    </row>
    <row r="47" spans="1:11" s="1" customFormat="1" ht="20.100000000000001" customHeight="1" x14ac:dyDescent="0.35">
      <c r="A47" s="28">
        <v>18</v>
      </c>
      <c r="B47" s="102" t="s">
        <v>60</v>
      </c>
      <c r="C47" s="105"/>
      <c r="D47" s="104"/>
      <c r="E47" s="51">
        <v>17</v>
      </c>
      <c r="F47" s="150"/>
      <c r="G47" s="125"/>
      <c r="H47" s="125"/>
      <c r="I47" s="98"/>
      <c r="J47" s="14"/>
      <c r="K47"/>
    </row>
    <row r="48" spans="1:11" s="1" customFormat="1" ht="20.100000000000001" customHeight="1" x14ac:dyDescent="0.35">
      <c r="A48" s="28">
        <v>17</v>
      </c>
      <c r="B48" s="102" t="s">
        <v>61</v>
      </c>
      <c r="C48" s="105"/>
      <c r="D48" s="104"/>
      <c r="E48" s="51">
        <v>14</v>
      </c>
      <c r="F48" s="150"/>
      <c r="G48" s="125"/>
      <c r="H48" s="125"/>
      <c r="I48" s="98"/>
      <c r="J48" s="14"/>
      <c r="K48"/>
    </row>
    <row r="49" spans="1:11" s="1" customFormat="1" ht="20.100000000000001" customHeight="1" x14ac:dyDescent="0.4">
      <c r="A49" s="28">
        <v>14</v>
      </c>
      <c r="B49" s="102" t="s">
        <v>62</v>
      </c>
      <c r="C49" s="105"/>
      <c r="D49" s="104"/>
      <c r="E49" s="51">
        <v>15</v>
      </c>
      <c r="F49" s="151"/>
      <c r="G49" s="126"/>
      <c r="H49" s="126"/>
      <c r="I49" s="98"/>
      <c r="J49" s="14"/>
      <c r="K49"/>
    </row>
    <row r="50" spans="1:11" s="1" customFormat="1" ht="20.100000000000001" customHeight="1" x14ac:dyDescent="0.35">
      <c r="A50" s="28">
        <v>15</v>
      </c>
      <c r="B50" s="102" t="s">
        <v>132</v>
      </c>
      <c r="C50" s="103"/>
      <c r="D50" s="104"/>
      <c r="E50" s="51">
        <v>19</v>
      </c>
      <c r="F50" s="150"/>
      <c r="G50" s="125"/>
      <c r="H50" s="125"/>
      <c r="I50" s="98"/>
      <c r="J50" s="14"/>
      <c r="K50"/>
    </row>
    <row r="51" spans="1:11" s="1" customFormat="1" ht="20.100000000000001" customHeight="1" x14ac:dyDescent="0.35">
      <c r="A51" s="28"/>
      <c r="B51" s="102" t="s">
        <v>75</v>
      </c>
      <c r="C51" s="103"/>
      <c r="D51" s="104"/>
      <c r="E51" s="51">
        <v>20</v>
      </c>
      <c r="F51" s="150"/>
      <c r="G51" s="125"/>
      <c r="H51" s="125"/>
      <c r="I51" s="98"/>
      <c r="J51" s="14"/>
      <c r="K51"/>
    </row>
    <row r="52" spans="1:11" s="1" customFormat="1" ht="20.100000000000001" customHeight="1" x14ac:dyDescent="0.35">
      <c r="A52" s="32">
        <v>19</v>
      </c>
      <c r="B52" s="102" t="s">
        <v>138</v>
      </c>
      <c r="C52" s="103"/>
      <c r="D52" s="104"/>
      <c r="E52" s="51">
        <v>21</v>
      </c>
      <c r="F52" s="150"/>
      <c r="G52" s="125"/>
      <c r="H52" s="125"/>
      <c r="I52" s="98"/>
      <c r="J52" s="14"/>
      <c r="K52"/>
    </row>
    <row r="53" spans="1:11" s="1" customFormat="1" ht="20.100000000000001" customHeight="1" x14ac:dyDescent="0.35">
      <c r="A53" s="28">
        <v>19</v>
      </c>
      <c r="B53" s="102" t="s">
        <v>139</v>
      </c>
      <c r="C53" s="103"/>
      <c r="D53" s="104"/>
      <c r="E53" s="51">
        <v>22</v>
      </c>
      <c r="F53" s="150"/>
      <c r="G53" s="125"/>
      <c r="H53" s="125"/>
      <c r="I53" s="98"/>
      <c r="J53" s="14"/>
      <c r="K53"/>
    </row>
    <row r="54" spans="1:11" s="1" customFormat="1" ht="19.5" customHeight="1" thickBot="1" x14ac:dyDescent="0.45">
      <c r="B54" s="22" t="s">
        <v>63</v>
      </c>
      <c r="E54" s="14"/>
      <c r="F54" s="127">
        <f>SUM(F31:F53)</f>
        <v>0</v>
      </c>
      <c r="G54" s="127">
        <f>SUM(G31:G53)</f>
        <v>0</v>
      </c>
      <c r="H54" s="127"/>
      <c r="I54" s="106"/>
      <c r="J54" s="14"/>
      <c r="K54"/>
    </row>
    <row r="55" spans="1:11" s="1" customFormat="1" ht="6" hidden="1" customHeight="1" x14ac:dyDescent="0.35">
      <c r="B55" s="20"/>
      <c r="C55" s="14"/>
      <c r="D55" s="14"/>
      <c r="E55" s="14"/>
      <c r="F55" s="38"/>
      <c r="G55" s="38"/>
      <c r="H55" s="38"/>
      <c r="I55" s="38"/>
      <c r="J55" s="14"/>
      <c r="K55"/>
    </row>
    <row r="56" spans="1:11" s="1" customFormat="1" hidden="1" x14ac:dyDescent="0.35">
      <c r="B56" s="21"/>
      <c r="C56" s="14"/>
      <c r="D56" s="14"/>
      <c r="E56" s="14"/>
      <c r="F56" s="38"/>
      <c r="G56" s="38"/>
      <c r="H56" s="38"/>
      <c r="I56" s="38"/>
      <c r="J56" s="14"/>
      <c r="K56"/>
    </row>
    <row r="57" spans="1:11" s="1" customFormat="1" hidden="1" x14ac:dyDescent="0.35">
      <c r="B57" s="14"/>
      <c r="C57" s="14"/>
      <c r="D57" s="14"/>
      <c r="E57" s="14"/>
      <c r="F57" s="38"/>
      <c r="G57" s="38"/>
      <c r="H57" s="38"/>
      <c r="I57" s="38"/>
      <c r="J57" s="14"/>
      <c r="K57"/>
    </row>
    <row r="58" spans="1:11" s="1" customFormat="1" hidden="1" x14ac:dyDescent="0.35">
      <c r="B58" s="14"/>
      <c r="C58" s="14"/>
      <c r="D58" s="14"/>
      <c r="E58" s="14"/>
      <c r="F58" s="38"/>
      <c r="G58" s="38"/>
      <c r="H58" s="38"/>
      <c r="I58" s="38"/>
      <c r="J58" s="14"/>
      <c r="K58"/>
    </row>
    <row r="59" spans="1:11" s="1" customFormat="1" x14ac:dyDescent="0.35">
      <c r="F59" s="39"/>
      <c r="G59" s="39"/>
      <c r="H59" s="39"/>
      <c r="I59" s="39"/>
      <c r="J59" s="14"/>
      <c r="K59"/>
    </row>
    <row r="60" spans="1:11" s="1" customFormat="1" ht="13.15" x14ac:dyDescent="0.4">
      <c r="F60" s="197"/>
      <c r="G60" s="197"/>
      <c r="H60" s="49"/>
      <c r="I60" s="39"/>
      <c r="K60"/>
    </row>
    <row r="61" spans="1:11" s="1" customFormat="1" x14ac:dyDescent="0.35">
      <c r="F61" s="39"/>
      <c r="G61" s="39"/>
      <c r="H61" s="39"/>
      <c r="I61" s="39"/>
      <c r="K61"/>
    </row>
    <row r="62" spans="1:11" s="1" customFormat="1" x14ac:dyDescent="0.35">
      <c r="F62" s="39"/>
      <c r="G62" s="39"/>
      <c r="H62" s="39"/>
      <c r="I62" s="39"/>
      <c r="K62"/>
    </row>
    <row r="63" spans="1:11" s="1" customFormat="1" x14ac:dyDescent="0.35">
      <c r="F63" s="39"/>
      <c r="G63" s="39"/>
      <c r="H63" s="39"/>
      <c r="I63" s="39"/>
      <c r="K63"/>
    </row>
    <row r="64" spans="1:11" s="1" customFormat="1" x14ac:dyDescent="0.35">
      <c r="F64" s="39"/>
      <c r="G64" s="39"/>
      <c r="H64" s="39"/>
      <c r="I64" s="39"/>
      <c r="K64"/>
    </row>
    <row r="65" spans="6:11" s="1" customFormat="1" x14ac:dyDescent="0.35">
      <c r="F65" s="39"/>
      <c r="G65" s="39"/>
      <c r="H65" s="39"/>
      <c r="I65" s="39"/>
      <c r="K65"/>
    </row>
    <row r="66" spans="6:11" s="1" customFormat="1" x14ac:dyDescent="0.35">
      <c r="F66" s="39"/>
      <c r="G66" s="39"/>
      <c r="H66" s="39"/>
      <c r="I66" s="39"/>
      <c r="K66"/>
    </row>
    <row r="67" spans="6:11" s="1" customFormat="1" x14ac:dyDescent="0.35">
      <c r="F67" s="39"/>
      <c r="G67" s="39"/>
      <c r="H67" s="39"/>
      <c r="I67" s="39"/>
      <c r="K67"/>
    </row>
    <row r="68" spans="6:11" s="1" customFormat="1" x14ac:dyDescent="0.35">
      <c r="F68" s="39"/>
      <c r="G68" s="39"/>
      <c r="H68" s="39"/>
      <c r="I68" s="39"/>
      <c r="K68"/>
    </row>
    <row r="69" spans="6:11" s="1" customFormat="1" x14ac:dyDescent="0.35">
      <c r="F69" s="39"/>
      <c r="G69" s="39"/>
      <c r="H69" s="39"/>
      <c r="I69" s="39"/>
      <c r="K69"/>
    </row>
    <row r="70" spans="6:11" s="1" customFormat="1" x14ac:dyDescent="0.35">
      <c r="F70" s="39"/>
      <c r="G70" s="39"/>
      <c r="H70" s="39"/>
      <c r="I70" s="39"/>
      <c r="K70"/>
    </row>
    <row r="71" spans="6:11" s="1" customFormat="1" x14ac:dyDescent="0.35">
      <c r="F71" s="39"/>
      <c r="G71" s="39"/>
      <c r="H71" s="39"/>
      <c r="I71" s="39"/>
      <c r="K71"/>
    </row>
    <row r="72" spans="6:11" s="1" customFormat="1" x14ac:dyDescent="0.35">
      <c r="F72" s="39"/>
      <c r="G72" s="39"/>
      <c r="H72" s="39"/>
      <c r="I72" s="39"/>
      <c r="K72"/>
    </row>
    <row r="73" spans="6:11" s="1" customFormat="1" x14ac:dyDescent="0.35">
      <c r="F73" s="39"/>
      <c r="G73" s="39"/>
      <c r="H73" s="39"/>
      <c r="I73" s="39"/>
      <c r="K73"/>
    </row>
    <row r="74" spans="6:11" s="1" customFormat="1" x14ac:dyDescent="0.35">
      <c r="F74" s="39"/>
      <c r="G74" s="39"/>
      <c r="H74" s="39"/>
      <c r="I74" s="39"/>
      <c r="K74"/>
    </row>
    <row r="75" spans="6:11" s="1" customFormat="1" x14ac:dyDescent="0.35">
      <c r="F75" s="39"/>
      <c r="G75" s="39"/>
      <c r="H75" s="39"/>
      <c r="I75" s="39"/>
      <c r="K75"/>
    </row>
    <row r="76" spans="6:11" s="1" customFormat="1" x14ac:dyDescent="0.35">
      <c r="F76" s="39"/>
      <c r="G76" s="39"/>
      <c r="H76" s="39"/>
      <c r="I76" s="39"/>
      <c r="K76"/>
    </row>
    <row r="77" spans="6:11" s="1" customFormat="1" x14ac:dyDescent="0.35">
      <c r="F77" s="39"/>
      <c r="G77" s="39"/>
      <c r="H77" s="39"/>
      <c r="I77" s="39"/>
      <c r="K77"/>
    </row>
    <row r="78" spans="6:11" s="1" customFormat="1" x14ac:dyDescent="0.35">
      <c r="F78" s="39"/>
      <c r="G78" s="39"/>
      <c r="H78" s="39"/>
      <c r="I78" s="39"/>
      <c r="K78"/>
    </row>
    <row r="79" spans="6:11" s="1" customFormat="1" x14ac:dyDescent="0.35">
      <c r="F79" s="39"/>
      <c r="G79" s="39"/>
      <c r="H79" s="39"/>
      <c r="I79" s="39"/>
      <c r="K79"/>
    </row>
    <row r="80" spans="6:11" s="1" customFormat="1" x14ac:dyDescent="0.35">
      <c r="F80" s="39"/>
      <c r="G80" s="39"/>
      <c r="H80" s="39"/>
      <c r="I80" s="39"/>
      <c r="K80"/>
    </row>
    <row r="81" spans="6:11" s="1" customFormat="1" x14ac:dyDescent="0.35">
      <c r="F81" s="39"/>
      <c r="G81" s="39"/>
      <c r="H81" s="39"/>
      <c r="I81" s="39"/>
      <c r="K81"/>
    </row>
    <row r="82" spans="6:11" s="1" customFormat="1" x14ac:dyDescent="0.35">
      <c r="F82" s="39"/>
      <c r="G82" s="39"/>
      <c r="H82" s="39"/>
      <c r="I82" s="39"/>
      <c r="K82"/>
    </row>
    <row r="83" spans="6:11" s="1" customFormat="1" x14ac:dyDescent="0.35">
      <c r="F83" s="39"/>
      <c r="G83" s="39"/>
      <c r="H83" s="39"/>
      <c r="I83" s="39"/>
      <c r="K83"/>
    </row>
    <row r="84" spans="6:11" s="1" customFormat="1" x14ac:dyDescent="0.35">
      <c r="F84" s="39"/>
      <c r="G84" s="39"/>
      <c r="H84" s="39"/>
      <c r="I84" s="39"/>
      <c r="K84"/>
    </row>
    <row r="85" spans="6:11" s="1" customFormat="1" x14ac:dyDescent="0.35">
      <c r="F85" s="39"/>
      <c r="G85" s="39"/>
      <c r="H85" s="39"/>
      <c r="I85" s="39"/>
      <c r="K85"/>
    </row>
    <row r="86" spans="6:11" s="1" customFormat="1" x14ac:dyDescent="0.35">
      <c r="F86" s="39"/>
      <c r="G86" s="39"/>
      <c r="H86" s="39"/>
      <c r="I86" s="39"/>
      <c r="K86"/>
    </row>
  </sheetData>
  <sheetProtection password="AEC5" sheet="1" objects="1" scenarios="1"/>
  <mergeCells count="1">
    <mergeCell ref="F60:G60"/>
  </mergeCells>
  <phoneticPr fontId="0" type="noConversion"/>
  <printOptions horizontalCentered="1"/>
  <pageMargins left="0.25" right="0.25" top="0.25" bottom="0.25" header="0.1" footer="0.1"/>
  <pageSetup scale="84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Contracting</vt:lpstr>
      <vt:lpstr>TPT Return Front Page</vt:lpstr>
      <vt:lpstr>TPT Return Back Page</vt:lpstr>
      <vt:lpstr>'TPT Return Front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RCHEEMA</dc:creator>
  <cp:lastModifiedBy>ly Gu</cp:lastModifiedBy>
  <cp:lastPrinted>2007-08-01T15:18:26Z</cp:lastPrinted>
  <dcterms:created xsi:type="dcterms:W3CDTF">2000-03-13T16:06:35Z</dcterms:created>
  <dcterms:modified xsi:type="dcterms:W3CDTF">2026-02-11T09:39:50Z</dcterms:modified>
</cp:coreProperties>
</file>