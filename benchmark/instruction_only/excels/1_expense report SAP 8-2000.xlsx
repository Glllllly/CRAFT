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1A616B48-4FB1-44DB-AB74-01DBF6E81573}" xr6:coauthVersionLast="47" xr6:coauthVersionMax="47" xr10:uidLastSave="{00000000-0000-0000-0000-000000000000}"/>
  <bookViews>
    <workbookView xWindow="735" yWindow="735" windowWidth="17280" windowHeight="9983" tabRatio="739" firstSheet="1" activeTab="1" xr2:uid="{7AB80D30-F914-42A9-AB6B-38D59B7A642F}"/>
  </bookViews>
  <sheets>
    <sheet name="Coding Page" sheetId="1" state="hidden" r:id="rId1"/>
    <sheet name="Short Form" sheetId="2" r:id="rId2"/>
    <sheet name="Travel Form" sheetId="3" r:id="rId3"/>
    <sheet name="Meals and Ent Sup" sheetId="4" r:id="rId4"/>
    <sheet name="Misc. Exp. Sup" sheetId="5" r:id="rId5"/>
    <sheet name="Travel Sup (2)" sheetId="6" r:id="rId6"/>
    <sheet name="Meals and Ent Sup (2)" sheetId="7" r:id="rId7"/>
    <sheet name="Misc. Exp. Sup (2)" sheetId="8" r:id="rId8"/>
    <sheet name="VBACode " sheetId="9" state="veryHidden" r:id=""/>
  </sheets>
  <definedNames>
    <definedName name="date">'Short Form'!$N$2</definedName>
    <definedName name="expns">'Short Form'!$A$61:$N$62</definedName>
    <definedName name="_xlnm.Print_Area" localSheetId="3">'Meals and Ent Sup'!$A$1:$N$56</definedName>
    <definedName name="_xlnm.Print_Area" localSheetId="6">'Meals and Ent Sup (2)'!$A$1:$N$56</definedName>
    <definedName name="_xlnm.Print_Area" localSheetId="4">'Misc. Exp. Sup'!$A$1:$O$56</definedName>
    <definedName name="_xlnm.Print_Area" localSheetId="7">'Misc. Exp. Sup (2)'!$A$1:$O$56</definedName>
    <definedName name="_xlnm.Print_Area" localSheetId="1">'Short Form'!$A$1:$N$60</definedName>
    <definedName name="_xlnm.Print_Area" localSheetId="2">'Travel Form'!$A$1:$O$56</definedName>
    <definedName name="_xlnm.Print_Area" localSheetId="5">'Travel Sup (2)'!$A$1:$O$56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H3" i="1"/>
  <c r="J3" i="1"/>
  <c r="K3" i="1"/>
  <c r="D4" i="1"/>
  <c r="H4" i="1"/>
  <c r="B5" i="1"/>
  <c r="C5" i="1"/>
  <c r="D5" i="1"/>
  <c r="H5" i="1"/>
  <c r="J5" i="1"/>
  <c r="K5" i="1"/>
  <c r="D6" i="1"/>
  <c r="H6" i="1"/>
  <c r="B7" i="1"/>
  <c r="C7" i="1"/>
  <c r="D7" i="1"/>
  <c r="H7" i="1"/>
  <c r="J7" i="1"/>
  <c r="K7" i="1"/>
  <c r="D8" i="1"/>
  <c r="H8" i="1"/>
  <c r="B9" i="1"/>
  <c r="C9" i="1"/>
  <c r="D9" i="1"/>
  <c r="H9" i="1"/>
  <c r="J9" i="1"/>
  <c r="K9" i="1"/>
  <c r="D10" i="1"/>
  <c r="H10" i="1"/>
  <c r="B11" i="1"/>
  <c r="C11" i="1"/>
  <c r="D11" i="1"/>
  <c r="H11" i="1"/>
  <c r="J11" i="1"/>
  <c r="K11" i="1"/>
  <c r="D12" i="1"/>
  <c r="H12" i="1"/>
  <c r="B13" i="1"/>
  <c r="C13" i="1"/>
  <c r="D13" i="1"/>
  <c r="H13" i="1"/>
  <c r="J13" i="1"/>
  <c r="K13" i="1"/>
  <c r="D14" i="1"/>
  <c r="H14" i="1"/>
  <c r="B15" i="1"/>
  <c r="C15" i="1"/>
  <c r="D15" i="1"/>
  <c r="H15" i="1"/>
  <c r="J15" i="1"/>
  <c r="K15" i="1"/>
  <c r="D16" i="1"/>
  <c r="H16" i="1"/>
  <c r="B17" i="1"/>
  <c r="C17" i="1"/>
  <c r="D17" i="1"/>
  <c r="H17" i="1"/>
  <c r="J17" i="1"/>
  <c r="K17" i="1"/>
  <c r="D18" i="1"/>
  <c r="H18" i="1"/>
  <c r="A19" i="1"/>
  <c r="B19" i="1"/>
  <c r="C19" i="1"/>
  <c r="D19" i="1"/>
  <c r="H19" i="1"/>
  <c r="I19" i="1"/>
  <c r="J19" i="1"/>
  <c r="K19" i="1"/>
  <c r="D20" i="1"/>
  <c r="H20" i="1"/>
  <c r="I20" i="1"/>
  <c r="B21" i="1"/>
  <c r="C21" i="1"/>
  <c r="D21" i="1"/>
  <c r="H21" i="1"/>
  <c r="I21" i="1"/>
  <c r="J21" i="1"/>
  <c r="K21" i="1"/>
  <c r="D22" i="1"/>
  <c r="H22" i="1"/>
  <c r="I22" i="1"/>
  <c r="B23" i="1"/>
  <c r="C23" i="1"/>
  <c r="D23" i="1"/>
  <c r="H23" i="1"/>
  <c r="I23" i="1"/>
  <c r="J23" i="1"/>
  <c r="K23" i="1"/>
  <c r="D24" i="1"/>
  <c r="H24" i="1"/>
  <c r="I24" i="1"/>
  <c r="B25" i="1"/>
  <c r="C25" i="1"/>
  <c r="D25" i="1"/>
  <c r="H25" i="1"/>
  <c r="J25" i="1"/>
  <c r="K25" i="1"/>
  <c r="D26" i="1"/>
  <c r="H26" i="1"/>
  <c r="B27" i="1"/>
  <c r="C27" i="1"/>
  <c r="D27" i="1"/>
  <c r="H27" i="1"/>
  <c r="J27" i="1"/>
  <c r="K27" i="1"/>
  <c r="D28" i="1"/>
  <c r="H28" i="1"/>
  <c r="B29" i="1"/>
  <c r="C29" i="1"/>
  <c r="D29" i="1"/>
  <c r="H29" i="1"/>
  <c r="J29" i="1"/>
  <c r="K29" i="1"/>
  <c r="D30" i="1"/>
  <c r="H30" i="1"/>
  <c r="B31" i="1"/>
  <c r="C31" i="1"/>
  <c r="D31" i="1"/>
  <c r="E31" i="1"/>
  <c r="F31" i="1"/>
  <c r="G31" i="1"/>
  <c r="H31" i="1"/>
  <c r="I31" i="1"/>
  <c r="J31" i="1"/>
  <c r="K31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J33" i="1"/>
  <c r="K33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J35" i="1"/>
  <c r="K35" i="1"/>
  <c r="D36" i="1"/>
  <c r="E36" i="1"/>
  <c r="F36" i="1"/>
  <c r="G36" i="1"/>
  <c r="H36" i="1"/>
  <c r="I36" i="1"/>
  <c r="B37" i="1"/>
  <c r="C37" i="1"/>
  <c r="D37" i="1"/>
  <c r="H37" i="1"/>
  <c r="I37" i="1"/>
  <c r="J37" i="1"/>
  <c r="K37" i="1"/>
  <c r="D38" i="1"/>
  <c r="E38" i="1"/>
  <c r="F38" i="1"/>
  <c r="G38" i="1"/>
  <c r="H38" i="1"/>
  <c r="I38" i="1"/>
  <c r="B39" i="1"/>
  <c r="C39" i="1"/>
  <c r="D39" i="1"/>
  <c r="H39" i="1"/>
  <c r="I39" i="1"/>
  <c r="J39" i="1"/>
  <c r="K39" i="1"/>
  <c r="D40" i="1"/>
  <c r="E40" i="1"/>
  <c r="F40" i="1"/>
  <c r="G40" i="1"/>
  <c r="H40" i="1"/>
  <c r="I40" i="1"/>
  <c r="B41" i="1"/>
  <c r="C41" i="1"/>
  <c r="D41" i="1"/>
  <c r="H41" i="1"/>
  <c r="I41" i="1"/>
  <c r="J41" i="1"/>
  <c r="K41" i="1"/>
  <c r="D42" i="1"/>
  <c r="E42" i="1"/>
  <c r="F42" i="1"/>
  <c r="G42" i="1"/>
  <c r="H42" i="1"/>
  <c r="I42" i="1"/>
  <c r="A5" i="4"/>
  <c r="E5" i="4"/>
  <c r="H5" i="4"/>
  <c r="L5" i="4"/>
  <c r="N10" i="4"/>
  <c r="N11" i="4"/>
  <c r="N12" i="4"/>
  <c r="N13" i="4"/>
  <c r="N14" i="4"/>
  <c r="N41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K41" i="4"/>
  <c r="N51" i="4"/>
  <c r="A15" i="1"/>
  <c r="N53" i="4"/>
  <c r="A17" i="1"/>
  <c r="A5" i="7"/>
  <c r="E5" i="7"/>
  <c r="H5" i="7"/>
  <c r="L5" i="7"/>
  <c r="N10" i="7"/>
  <c r="N11" i="7"/>
  <c r="N4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K41" i="7"/>
  <c r="N49" i="7"/>
  <c r="A31" i="1"/>
  <c r="N50" i="7"/>
  <c r="N51" i="7"/>
  <c r="A33" i="1"/>
  <c r="N52" i="7"/>
  <c r="N53" i="7"/>
  <c r="A35" i="1"/>
  <c r="N54" i="7"/>
  <c r="L55" i="7"/>
  <c r="A5" i="5"/>
  <c r="E5" i="5"/>
  <c r="H5" i="5"/>
  <c r="K5" i="5"/>
  <c r="O10" i="5"/>
  <c r="O11" i="5"/>
  <c r="O4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K41" i="5"/>
  <c r="O49" i="5"/>
  <c r="O55" i="5"/>
  <c r="O50" i="5"/>
  <c r="O51" i="5"/>
  <c r="A21" i="1"/>
  <c r="O52" i="5"/>
  <c r="O53" i="5"/>
  <c r="A23" i="1"/>
  <c r="O54" i="5"/>
  <c r="L55" i="5"/>
  <c r="A5" i="8"/>
  <c r="E5" i="8"/>
  <c r="H5" i="8"/>
  <c r="K5" i="8"/>
  <c r="O10" i="8"/>
  <c r="O11" i="8"/>
  <c r="O4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K41" i="8"/>
  <c r="O49" i="8"/>
  <c r="A37" i="1"/>
  <c r="O50" i="8"/>
  <c r="O51" i="8"/>
  <c r="A39" i="1"/>
  <c r="O52" i="8"/>
  <c r="O53" i="8"/>
  <c r="A41" i="1"/>
  <c r="O54" i="8"/>
  <c r="L55" i="8"/>
  <c r="P2" i="2"/>
  <c r="N14" i="2"/>
  <c r="N15" i="2"/>
  <c r="N16" i="2"/>
  <c r="N27" i="2"/>
  <c r="N17" i="2"/>
  <c r="N18" i="2"/>
  <c r="N19" i="2"/>
  <c r="N20" i="2"/>
  <c r="N21" i="2"/>
  <c r="N22" i="2"/>
  <c r="N23" i="2"/>
  <c r="N24" i="2"/>
  <c r="N25" i="2"/>
  <c r="N26" i="2"/>
  <c r="N34" i="2"/>
  <c r="N35" i="2"/>
  <c r="N36" i="2"/>
  <c r="N37" i="2"/>
  <c r="N38" i="2"/>
  <c r="N39" i="2"/>
  <c r="N40" i="2"/>
  <c r="N41" i="2"/>
  <c r="N42" i="2"/>
  <c r="A5" i="1"/>
  <c r="N50" i="2"/>
  <c r="F53" i="2"/>
  <c r="A62" i="2"/>
  <c r="B62" i="2"/>
  <c r="C62" i="2"/>
  <c r="D62" i="2"/>
  <c r="H62" i="2"/>
  <c r="N2" i="3"/>
  <c r="I62" i="2"/>
  <c r="M2" i="4"/>
  <c r="J62" i="2"/>
  <c r="N2" i="5"/>
  <c r="K62" i="2"/>
  <c r="N2" i="6"/>
  <c r="O2" i="6"/>
  <c r="L62" i="2"/>
  <c r="M2" i="7"/>
  <c r="N2" i="7"/>
  <c r="M62" i="2"/>
  <c r="N2" i="8"/>
  <c r="O2" i="8"/>
  <c r="N62" i="2"/>
  <c r="A5" i="3"/>
  <c r="E5" i="3"/>
  <c r="H5" i="3"/>
  <c r="K5" i="3"/>
  <c r="O12" i="3"/>
  <c r="O41" i="3"/>
  <c r="O13" i="3"/>
  <c r="O14" i="3"/>
  <c r="O15" i="3"/>
  <c r="O49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K41" i="3"/>
  <c r="O51" i="3"/>
  <c r="A9" i="1"/>
  <c r="O53" i="3"/>
  <c r="A11" i="1"/>
  <c r="A5" i="6"/>
  <c r="E5" i="6"/>
  <c r="H5" i="6"/>
  <c r="K5" i="6"/>
  <c r="O12" i="6"/>
  <c r="O13" i="6"/>
  <c r="O41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K41" i="6"/>
  <c r="O49" i="6"/>
  <c r="O55" i="6"/>
  <c r="O50" i="6"/>
  <c r="O51" i="6"/>
  <c r="A27" i="1"/>
  <c r="O52" i="6"/>
  <c r="O53" i="6"/>
  <c r="A29" i="1"/>
  <c r="O54" i="6"/>
  <c r="L55" i="6"/>
  <c r="A3" i="1"/>
  <c r="L46" i="7"/>
  <c r="L46" i="5"/>
  <c r="L46" i="6"/>
  <c r="A7" i="1"/>
  <c r="O55" i="3"/>
  <c r="N48" i="2"/>
  <c r="N3" i="2"/>
  <c r="O2" i="5"/>
  <c r="O55" i="8"/>
  <c r="L46" i="8"/>
  <c r="N55" i="7"/>
  <c r="N49" i="4"/>
  <c r="A25" i="1"/>
  <c r="O2" i="3"/>
  <c r="N43" i="2"/>
  <c r="N44" i="2"/>
  <c r="N2" i="4"/>
  <c r="A13" i="1"/>
  <c r="A43" i="1"/>
  <c r="N55" i="4"/>
  <c r="L46" i="3"/>
  <c r="N28" i="2"/>
  <c r="N29" i="2"/>
  <c r="N49" i="2"/>
  <c r="L46" i="4"/>
  <c r="N52" i="2"/>
  <c r="E62" i="2"/>
  <c r="L51" i="2"/>
  <c r="L52" i="2"/>
</calcChain>
</file>

<file path=xl/sharedStrings.xml><?xml version="1.0" encoding="utf-8"?>
<sst xmlns="http://schemas.openxmlformats.org/spreadsheetml/2006/main" count="422" uniqueCount="159">
  <si>
    <t>Expense Report Coding Form</t>
  </si>
  <si>
    <t>AMOUNT</t>
  </si>
  <si>
    <t>Enron Corp</t>
  </si>
  <si>
    <t xml:space="preserve">Employee Expense Report </t>
  </si>
  <si>
    <t>EXP</t>
  </si>
  <si>
    <t>Short Form</t>
  </si>
  <si>
    <t xml:space="preserve">Page </t>
  </si>
  <si>
    <t xml:space="preserve">of </t>
  </si>
  <si>
    <t>LAST NAME</t>
  </si>
  <si>
    <t>FIRST NAME, INITIAL</t>
  </si>
  <si>
    <t>TITLE</t>
  </si>
  <si>
    <t xml:space="preserve">OFFICE NUMBER/FIELD LOCATION </t>
  </si>
  <si>
    <r>
      <t>MEALS AND ENTERTAINMENT</t>
    </r>
    <r>
      <rPr>
        <sz val="10"/>
        <color indexed="12"/>
        <rFont val="Arial"/>
        <family val="2"/>
      </rPr>
      <t xml:space="preserve"> -  Enter the cost of all meals (including food charges from hotel receipts) and entertainment.  Attach guest list for entertainment expense. </t>
    </r>
  </si>
  <si>
    <t>Date</t>
  </si>
  <si>
    <t>Meal</t>
  </si>
  <si>
    <t xml:space="preserve">   Location and Business Purpose</t>
  </si>
  <si>
    <t>Guests</t>
  </si>
  <si>
    <t>Cost/Quantity</t>
  </si>
  <si>
    <t>Rate</t>
  </si>
  <si>
    <t>$ Amount</t>
  </si>
  <si>
    <r>
      <t>ACCOUNT CODING</t>
    </r>
    <r>
      <rPr>
        <sz val="10"/>
        <color indexed="12"/>
        <rFont val="Arial"/>
        <family val="2"/>
      </rPr>
      <t xml:space="preserve"> - For multiple lines of coding, use supplemental page.</t>
    </r>
  </si>
  <si>
    <t>MEALS THIS PAGE</t>
  </si>
  <si>
    <t>MEALS, SUPP PAGES</t>
  </si>
  <si>
    <t>TOTAL MEALS</t>
  </si>
  <si>
    <r>
      <t>MISCELLANEOUS EXPENSE</t>
    </r>
    <r>
      <rPr>
        <sz val="12"/>
        <color indexed="12"/>
        <rFont val="Arial"/>
        <family val="2"/>
      </rPr>
      <t xml:space="preserve"> </t>
    </r>
    <r>
      <rPr>
        <sz val="10"/>
        <color indexed="12"/>
        <rFont val="Arial"/>
        <family val="2"/>
      </rPr>
      <t>-  Enter all other expenses (memberships, fees, supplies, mileage, etc.) not associated with business transportation or lodging.</t>
    </r>
  </si>
  <si>
    <t>Description</t>
  </si>
  <si>
    <t>MISC THIS PAGE</t>
  </si>
  <si>
    <t>MISC., SUPP PAGES</t>
  </si>
  <si>
    <t>TOTAL MISC</t>
  </si>
  <si>
    <r>
      <t>This section used in conjunction with all expense reports</t>
    </r>
    <r>
      <rPr>
        <sz val="10"/>
        <color indexed="12"/>
        <rFont val="Arial"/>
        <family val="2"/>
      </rPr>
      <t>.</t>
    </r>
  </si>
  <si>
    <t>Total Travel  (attach Summary)</t>
  </si>
  <si>
    <t>ADVANCES TO BE CLEARED</t>
  </si>
  <si>
    <t>Total Expenses (travel, entertainment, misc.)</t>
  </si>
  <si>
    <t>DATE</t>
  </si>
  <si>
    <t>CO.</t>
  </si>
  <si>
    <t>Less: Total Advances</t>
  </si>
  <si>
    <t>Balance Due:</t>
  </si>
  <si>
    <t>Company</t>
  </si>
  <si>
    <t>Employee</t>
  </si>
  <si>
    <t>TOTAL ADVANCES</t>
  </si>
  <si>
    <t>Personal Check Amount</t>
  </si>
  <si>
    <t>SIGNATURES</t>
  </si>
  <si>
    <t>I have paid the amount shown on this statement for necessary expenses incurred on behalf of the Company.  Original receipts are attached or have been mailed to Accounts Payable.</t>
  </si>
  <si>
    <t>EMPLOYEE</t>
  </si>
  <si>
    <t>APPROVAL</t>
  </si>
  <si>
    <t xml:space="preserve"> (Print Name)</t>
  </si>
  <si>
    <t>lname</t>
  </si>
  <si>
    <t>fname</t>
  </si>
  <si>
    <t>expdate</t>
  </si>
  <si>
    <t>socsec</t>
  </si>
  <si>
    <t>bal</t>
  </si>
  <si>
    <t>code</t>
  </si>
  <si>
    <t>sform</t>
  </si>
  <si>
    <t>trav</t>
  </si>
  <si>
    <t>mealsup</t>
  </si>
  <si>
    <t>miscsup</t>
  </si>
  <si>
    <t>travsup2</t>
  </si>
  <si>
    <t>mealsup2</t>
  </si>
  <si>
    <t>miscsup2</t>
  </si>
  <si>
    <t>cono</t>
  </si>
  <si>
    <t>1</t>
  </si>
  <si>
    <t>2</t>
  </si>
  <si>
    <t>Employee Expense Report</t>
  </si>
  <si>
    <t>Travel Expense Summary</t>
  </si>
  <si>
    <t>Page</t>
  </si>
  <si>
    <r>
      <t>TRAVEL EXPENSE</t>
    </r>
    <r>
      <rPr>
        <sz val="8"/>
        <color indexed="12"/>
        <rFont val="Arial"/>
        <family val="2"/>
      </rPr>
      <t xml:space="preserve"> </t>
    </r>
    <r>
      <rPr>
        <sz val="9"/>
        <color indexed="12"/>
        <rFont val="Arial"/>
        <family val="2"/>
      </rPr>
      <t xml:space="preserve">- </t>
    </r>
    <r>
      <rPr>
        <sz val="10"/>
        <color indexed="12"/>
        <rFont val="Arial"/>
        <family val="2"/>
      </rPr>
      <t>Enter all transportation and lodging expenses by receipt total (airline tickets, rental car receipts, taxis, hotel, tips, personal mileage, etc.).  Exclude meals and entertainment.</t>
    </r>
  </si>
  <si>
    <t>Designate type of transportation used: B = Bus,  C = Cab, P = Plane,  PC = Personal Car,  CC = Company Car, RC = Rental Car, T = Train.</t>
  </si>
  <si>
    <t>Assign a reference symbol for each accounting classification to be used.  Charges to be allocated do not require a reference symbol.</t>
  </si>
  <si>
    <t>REF</t>
  </si>
  <si>
    <t>Location and Business Purpose</t>
  </si>
  <si>
    <t>Type</t>
  </si>
  <si>
    <t>Cost/Miles</t>
  </si>
  <si>
    <t xml:space="preserve"> $ Amount</t>
  </si>
  <si>
    <t>Expense allocation</t>
  </si>
  <si>
    <t>Allocated amount:</t>
  </si>
  <si>
    <t>TOTAL</t>
  </si>
  <si>
    <t>Enter an allocation factor next to each account receiving allocated</t>
  </si>
  <si>
    <t>Total travel expense must be shown on Page 1,</t>
  </si>
  <si>
    <t xml:space="preserve">charges.  Lines not assigned an allocation factor will not </t>
  </si>
  <si>
    <t>Employee Expense Report Short Form.</t>
  </si>
  <si>
    <t>receive an allocation; lines without a REF code will be allocated.</t>
  </si>
  <si>
    <t>The total of all allocation factors must equal 1.</t>
  </si>
  <si>
    <t xml:space="preserve">ACCOUNT DISTRIBUTION  </t>
  </si>
  <si>
    <t xml:space="preserve">Show the total amount for each accounting classification referenced above.  </t>
  </si>
  <si>
    <t>ALLOC FACTOR</t>
  </si>
  <si>
    <t>Amount</t>
  </si>
  <si>
    <t>Meals and Entertainment Supplement</t>
  </si>
  <si>
    <r>
      <t xml:space="preserve"> </t>
    </r>
    <r>
      <rPr>
        <b/>
        <sz val="12"/>
        <color indexed="12"/>
        <rFont val="Arial"/>
        <family val="2"/>
      </rPr>
      <t>MEALS AND ENTERTAINMENT</t>
    </r>
    <r>
      <rPr>
        <sz val="10"/>
        <color indexed="12"/>
        <rFont val="Arial"/>
        <family val="2"/>
      </rPr>
      <t xml:space="preserve"> - Enter the cost of all meals (including food charges from hotel receipts) and entertainment.  Attach guest list for entertainment expense.  Meal: B = Breakfast, </t>
    </r>
  </si>
  <si>
    <t xml:space="preserve"> L = Lunch, D = Dinner, R = Refreshments, T = Travel Status.  Assign a reference symbol for each accounting classification to be used.  Charges to be allocated do not require a reference symbol.</t>
  </si>
  <si>
    <t>Cost/Qty</t>
  </si>
  <si>
    <t>Show the total amount for each accounting classification referenced above.</t>
  </si>
  <si>
    <t>Miscellaneous Expense Supplement</t>
  </si>
  <si>
    <r>
      <t>MISCELLANEOUS EXPENSE</t>
    </r>
    <r>
      <rPr>
        <sz val="12"/>
        <color indexed="12"/>
        <rFont val="Arial"/>
        <family val="2"/>
      </rPr>
      <t xml:space="preserve"> </t>
    </r>
    <r>
      <rPr>
        <sz val="8"/>
        <color indexed="12"/>
        <rFont val="Arial"/>
        <family val="2"/>
      </rPr>
      <t xml:space="preserve">-  </t>
    </r>
    <r>
      <rPr>
        <sz val="10"/>
        <color indexed="12"/>
        <rFont val="Arial"/>
        <family val="2"/>
      </rPr>
      <t>Enter all other expenses (memberships, fees, supplies, mileage, etc.) not associated with business transportation or lodging.</t>
    </r>
  </si>
  <si>
    <t>Travel Expense Summary (2)</t>
  </si>
  <si>
    <t>Meals and Entertainment Supplement (2)</t>
  </si>
  <si>
    <t>Miscellaneous Expense Supplement (2)</t>
  </si>
  <si>
    <t>GL Account Number</t>
  </si>
  <si>
    <t>Material</t>
  </si>
  <si>
    <t>Plant</t>
  </si>
  <si>
    <t xml:space="preserve">GL Co </t>
  </si>
  <si>
    <t>Cost Center                WBS Element</t>
  </si>
  <si>
    <t>Order                                      Network</t>
  </si>
  <si>
    <t>PHONE NUMBER FOR QUESTIONS</t>
  </si>
  <si>
    <t>EMPLOYEE NUMBER</t>
  </si>
  <si>
    <t>Cost Center                  WBS Element</t>
  </si>
  <si>
    <t>GL Co Trd Ptr</t>
  </si>
  <si>
    <t>GL Acct      Asset</t>
  </si>
  <si>
    <t>Revised 7/1/00</t>
  </si>
  <si>
    <t>GL Co Tr Ptr</t>
  </si>
  <si>
    <t>COMPANY NUMBER</t>
  </si>
  <si>
    <t>Cost Center                           WBS Element</t>
  </si>
  <si>
    <t>GL Co       Tr Ptr</t>
  </si>
  <si>
    <t>GL Co    Tr Ptr</t>
  </si>
  <si>
    <t>GL Co     Tr Ptr</t>
  </si>
  <si>
    <t>GL Co           Tr Ptr</t>
  </si>
  <si>
    <t xml:space="preserve"> Meal: B = Breakfast, L = Lunch, D = Dinner, R = Refreshments, T = Travel Status.  See the Accounts Payable information page at http://hrweb.enron.com/accts/index.asp for detailed instructions.</t>
  </si>
  <si>
    <r>
      <t xml:space="preserve"> </t>
    </r>
    <r>
      <rPr>
        <b/>
        <sz val="12"/>
        <color indexed="12"/>
        <rFont val="Arial"/>
        <family val="2"/>
      </rPr>
      <t>MEALS AND ENTERTAINMENT</t>
    </r>
    <r>
      <rPr>
        <sz val="10"/>
        <color indexed="12"/>
        <rFont val="Arial"/>
        <family val="2"/>
      </rPr>
      <t xml:space="preserve"> - </t>
    </r>
    <r>
      <rPr>
        <sz val="9"/>
        <color indexed="12"/>
        <rFont val="Arial"/>
        <family val="2"/>
      </rPr>
      <t>Enter the cost of all meals (including food charges from hotel receipts) and entertainment.  Attach guest list for entertainment expense.  Meal: B = Breakfast,</t>
    </r>
    <r>
      <rPr>
        <sz val="10"/>
        <color indexed="12"/>
        <rFont val="Arial"/>
        <family val="2"/>
      </rPr>
      <t xml:space="preserve"> </t>
    </r>
  </si>
  <si>
    <t>Plant                            Func Area</t>
  </si>
  <si>
    <t>Material        Activity</t>
  </si>
  <si>
    <t>Plant                      Func Area</t>
  </si>
  <si>
    <t>Material       Activity</t>
  </si>
  <si>
    <t>0060</t>
  </si>
  <si>
    <t>01</t>
  </si>
  <si>
    <t>8/14-8/18</t>
  </si>
  <si>
    <t>Roswell to Albuq. To Roswell    DES and Interim Review Mtg</t>
  </si>
  <si>
    <t>P</t>
  </si>
  <si>
    <t>B,D</t>
  </si>
  <si>
    <t>Laguna Tribal Mtg. Remediatioin</t>
  </si>
  <si>
    <t xml:space="preserve"> 8/3/00</t>
  </si>
  <si>
    <t>L</t>
  </si>
  <si>
    <t>7 members Laguna Team 3 members Tribe</t>
  </si>
  <si>
    <t>B,L,D</t>
  </si>
  <si>
    <t>Title V Mtg, Eunice Team</t>
  </si>
  <si>
    <t>B</t>
  </si>
  <si>
    <t>Title V Mtg, C/S No. 5, Thoreau</t>
  </si>
  <si>
    <t>52004500</t>
  </si>
  <si>
    <t>111102</t>
  </si>
  <si>
    <t>05</t>
  </si>
  <si>
    <t>52003000</t>
  </si>
  <si>
    <t>9000060</t>
  </si>
  <si>
    <t>B,L</t>
  </si>
  <si>
    <t>Env. Team, Interim Review</t>
  </si>
  <si>
    <t>DES Interim Review</t>
  </si>
  <si>
    <t>D</t>
  </si>
  <si>
    <t>Env. Team</t>
  </si>
  <si>
    <t>DES Interim Review Rental Car</t>
  </si>
  <si>
    <t>RC</t>
  </si>
  <si>
    <t>DES Interim Review Rental Car Gasoline</t>
  </si>
  <si>
    <t>Title V Mtg Texas Teams</t>
  </si>
  <si>
    <t xml:space="preserve"> </t>
  </si>
  <si>
    <t>11 Team Members</t>
  </si>
  <si>
    <t>EOTT Pipeline Due Diligence</t>
  </si>
  <si>
    <t>R.Loveless</t>
  </si>
  <si>
    <t>EOTT Pipeline Due Diligence-Supplies</t>
  </si>
  <si>
    <t>8/232/00</t>
  </si>
  <si>
    <t>Roswell to Farmington NM EOTT Pipeline Due Diligence</t>
  </si>
  <si>
    <t>L,D</t>
  </si>
  <si>
    <t>EOTT Pipeline Due Diligence Rental Car</t>
  </si>
  <si>
    <t>EOTT Pipeline Dur Diligence Rental Car 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</si>
</sst>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7" formatCode="&quot;$&quot;#,##0_);[Red]\(&quot;$&quot;#,##0\)"/>
    <numFmt numFmtId="178" formatCode="&quot;$&quot;#,##0.00_);\(&quot;$&quot;#,##0.00\)"/>
    <numFmt numFmtId="179" formatCode="&quot;$&quot;#,##0.00_);[Red]\(&quot;$&quot;#,##0.00\)"/>
    <numFmt numFmtId="183" formatCode="_(* #,##0.00_);_(* \(#,##0.00\);_(* &quot;-&quot;??_);_(@_)"/>
    <numFmt numFmtId="184" formatCode="General_)"/>
    <numFmt numFmtId="185" formatCode="###\-##\-####"/>
    <numFmt numFmtId="191" formatCode="#;\(\ \ @\ \ \ \)"/>
    <numFmt numFmtId="196" formatCode="000"/>
    <numFmt numFmtId="198" formatCode="0.000"/>
    <numFmt numFmtId="200" formatCode="0.0000"/>
    <numFmt numFmtId="202" formatCode="_(* #,##0.000_);_(* \(#,##0.000\);_(* &quot;-&quot;??_);_(@_)"/>
    <numFmt numFmtId="206" formatCode=".0000"/>
    <numFmt numFmtId="208" formatCode="mmddyy"/>
    <numFmt numFmtId="216" formatCode="0\ &quot; of&quot;"/>
    <numFmt numFmtId="217" formatCode="\(\ ###\ \)\ ###\-####"/>
  </numFmts>
  <fonts count="60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2"/>
      <name val="Helv"/>
      <family val="2"/>
    </font>
    <font>
      <b/>
      <sz val="9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4"/>
      <name val="Arial Rounded MT Bold"/>
      <family val="2"/>
    </font>
    <font>
      <sz val="12"/>
      <name val="Arial Rounded MT Bold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name val="Helv"/>
      <family val="2"/>
    </font>
    <font>
      <b/>
      <sz val="12"/>
      <name val="Helv"/>
      <family val="2"/>
    </font>
    <font>
      <sz val="14"/>
      <name val="Arial"/>
      <family val="2"/>
    </font>
    <font>
      <sz val="16"/>
      <name val="Arial Rounded MT Bold"/>
      <family val="2"/>
    </font>
    <font>
      <b/>
      <sz val="16"/>
      <name val="Arial Rounded MT Bold"/>
      <family val="2"/>
    </font>
    <font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b/>
      <sz val="9"/>
      <color indexed="8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6"/>
      <color indexed="12"/>
      <name val="Arial"/>
      <family val="2"/>
    </font>
    <font>
      <i/>
      <sz val="10"/>
      <color indexed="12"/>
      <name val="Arial"/>
      <family val="2"/>
    </font>
    <font>
      <b/>
      <sz val="16"/>
      <color indexed="12"/>
      <name val="Arial Rounded MT Bold"/>
      <family val="2"/>
    </font>
    <font>
      <sz val="8"/>
      <color indexed="12"/>
      <name val="Arial"/>
      <family val="2"/>
    </font>
    <font>
      <sz val="9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Helv"/>
      <family val="2"/>
    </font>
    <font>
      <i/>
      <sz val="8"/>
      <color indexed="12"/>
      <name val="Arial"/>
      <family val="2"/>
    </font>
    <font>
      <sz val="12"/>
      <color indexed="12"/>
      <name val="Helv"/>
      <family val="2"/>
    </font>
    <font>
      <sz val="12"/>
      <color indexed="8"/>
      <name val="Arial"/>
      <family val="2"/>
    </font>
    <font>
      <b/>
      <sz val="11"/>
      <color indexed="12"/>
      <name val="Arial"/>
      <family val="2"/>
    </font>
    <font>
      <sz val="16"/>
      <color indexed="12"/>
      <name val="Arial Rounded MT Bold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sz val="18"/>
      <color indexed="12"/>
      <name val="Arial"/>
      <family val="2"/>
    </font>
    <font>
      <b/>
      <sz val="12"/>
      <color indexed="10"/>
      <name val="Arial"/>
      <family val="2"/>
    </font>
    <font>
      <b/>
      <sz val="11"/>
      <name val="Arial"/>
      <family val="2"/>
    </font>
    <font>
      <b/>
      <sz val="9"/>
      <color indexed="12"/>
      <name val="Arial"/>
      <family val="2"/>
    </font>
    <font>
      <sz val="10"/>
      <color indexed="38"/>
      <name val="Arial"/>
      <family val="2"/>
    </font>
    <font>
      <b/>
      <sz val="11"/>
      <name val="Arial"/>
      <family val="2"/>
    </font>
    <font>
      <b/>
      <sz val="11"/>
      <name val="Book Antiqua"/>
      <family val="1"/>
    </font>
    <font>
      <b/>
      <sz val="18"/>
      <color indexed="10"/>
      <name val="Arial"/>
      <family val="2"/>
    </font>
    <font>
      <sz val="9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43"/>
        <bgColor indexed="8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ck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38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84" fontId="14" fillId="0" borderId="0"/>
    <xf numFmtId="184" fontId="4" fillId="0" borderId="0"/>
    <xf numFmtId="183" fontId="2" fillId="0" borderId="0" applyFont="0" applyFill="0" applyBorder="0" applyAlignment="0" applyProtection="0"/>
  </cellStyleXfs>
  <cellXfs count="408">
    <xf numFmtId="0" fontId="0" fillId="0" borderId="0" xfId="0"/>
    <xf numFmtId="184" fontId="7" fillId="0" borderId="0" xfId="6" applyFont="1" applyProtection="1">
      <protection locked="0"/>
    </xf>
    <xf numFmtId="184" fontId="14" fillId="0" borderId="0" xfId="6" applyProtection="1">
      <protection locked="0"/>
    </xf>
    <xf numFmtId="184" fontId="2" fillId="0" borderId="0" xfId="6" applyFont="1" applyProtection="1">
      <protection locked="0"/>
    </xf>
    <xf numFmtId="184" fontId="19" fillId="0" borderId="0" xfId="6" applyFont="1" applyProtection="1">
      <protection locked="0"/>
    </xf>
    <xf numFmtId="184" fontId="14" fillId="0" borderId="0" xfId="6" applyFont="1" applyProtection="1">
      <protection locked="0"/>
    </xf>
    <xf numFmtId="184" fontId="6" fillId="0" borderId="0" xfId="6" applyFont="1" applyProtection="1">
      <protection locked="0"/>
    </xf>
    <xf numFmtId="184" fontId="1" fillId="0" borderId="0" xfId="6" applyFont="1" applyProtection="1">
      <protection locked="0"/>
    </xf>
    <xf numFmtId="184" fontId="22" fillId="0" borderId="0" xfId="6" applyFont="1" applyProtection="1">
      <protection locked="0"/>
    </xf>
    <xf numFmtId="184" fontId="14" fillId="0" borderId="0" xfId="6" applyProtection="1"/>
    <xf numFmtId="184" fontId="7" fillId="0" borderId="0" xfId="7" applyFont="1" applyProtection="1">
      <protection locked="0"/>
    </xf>
    <xf numFmtId="184" fontId="4" fillId="0" borderId="0" xfId="7" applyProtection="1">
      <protection locked="0"/>
    </xf>
    <xf numFmtId="184" fontId="2" fillId="0" borderId="0" xfId="7" applyFont="1" applyProtection="1">
      <protection locked="0"/>
    </xf>
    <xf numFmtId="184" fontId="19" fillId="0" borderId="0" xfId="7" applyFont="1" applyProtection="1">
      <protection locked="0"/>
    </xf>
    <xf numFmtId="184" fontId="22" fillId="0" borderId="0" xfId="7" applyFont="1" applyProtection="1">
      <protection locked="0"/>
    </xf>
    <xf numFmtId="184" fontId="6" fillId="0" borderId="0" xfId="7" applyFont="1" applyProtection="1">
      <protection locked="0"/>
    </xf>
    <xf numFmtId="184" fontId="1" fillId="0" borderId="0" xfId="7" applyFont="1" applyProtection="1">
      <protection locked="0"/>
    </xf>
    <xf numFmtId="184" fontId="9" fillId="0" borderId="1" xfId="7" applyNumberFormat="1" applyFont="1" applyBorder="1" applyProtection="1"/>
    <xf numFmtId="184" fontId="9" fillId="0" borderId="2" xfId="7" applyFont="1" applyBorder="1" applyProtection="1"/>
    <xf numFmtId="184" fontId="9" fillId="0" borderId="1" xfId="6" applyFont="1" applyBorder="1" applyProtection="1"/>
    <xf numFmtId="184" fontId="9" fillId="0" borderId="1" xfId="6" applyNumberFormat="1" applyFont="1" applyBorder="1" applyProtection="1"/>
    <xf numFmtId="184" fontId="9" fillId="0" borderId="2" xfId="6" applyNumberFormat="1" applyFont="1" applyBorder="1" applyProtection="1"/>
    <xf numFmtId="184" fontId="2" fillId="0" borderId="3" xfId="6" applyNumberFormat="1" applyFont="1" applyBorder="1" applyProtection="1"/>
    <xf numFmtId="184" fontId="7" fillId="0" borderId="3" xfId="6" applyNumberFormat="1" applyFont="1" applyBorder="1" applyProtection="1"/>
    <xf numFmtId="184" fontId="7" fillId="0" borderId="4" xfId="6" applyNumberFormat="1" applyFont="1" applyBorder="1" applyProtection="1"/>
    <xf numFmtId="184" fontId="8" fillId="0" borderId="5" xfId="6" applyNumberFormat="1" applyFont="1" applyBorder="1" applyProtection="1"/>
    <xf numFmtId="184" fontId="7" fillId="0" borderId="6" xfId="6" applyNumberFormat="1" applyFont="1" applyBorder="1" applyProtection="1"/>
    <xf numFmtId="184" fontId="7" fillId="0" borderId="5" xfId="6" applyNumberFormat="1" applyFont="1" applyBorder="1" applyProtection="1"/>
    <xf numFmtId="184" fontId="14" fillId="0" borderId="3" xfId="6" applyBorder="1" applyProtection="1"/>
    <xf numFmtId="184" fontId="9" fillId="0" borderId="0" xfId="6" applyFont="1" applyProtection="1"/>
    <xf numFmtId="184" fontId="12" fillId="0" borderId="5" xfId="6" applyNumberFormat="1" applyFont="1" applyBorder="1" applyProtection="1"/>
    <xf numFmtId="184" fontId="2" fillId="0" borderId="5" xfId="6" applyNumberFormat="1" applyFont="1" applyBorder="1" applyProtection="1"/>
    <xf numFmtId="184" fontId="2" fillId="0" borderId="6" xfId="6" applyNumberFormat="1" applyFont="1" applyBorder="1" applyProtection="1"/>
    <xf numFmtId="184" fontId="14" fillId="0" borderId="7" xfId="6" applyNumberFormat="1" applyFont="1" applyBorder="1" applyAlignment="1" applyProtection="1">
      <alignment horizontal="left"/>
    </xf>
    <xf numFmtId="184" fontId="15" fillId="0" borderId="5" xfId="6" applyNumberFormat="1" applyFont="1" applyBorder="1" applyAlignment="1" applyProtection="1">
      <alignment horizontal="left"/>
    </xf>
    <xf numFmtId="184" fontId="14" fillId="0" borderId="8" xfId="6" applyNumberFormat="1" applyFont="1" applyBorder="1" applyAlignment="1" applyProtection="1">
      <alignment horizontal="left"/>
    </xf>
    <xf numFmtId="184" fontId="16" fillId="0" borderId="0" xfId="6" applyFont="1" applyProtection="1"/>
    <xf numFmtId="184" fontId="18" fillId="0" borderId="0" xfId="6" applyFont="1" applyProtection="1"/>
    <xf numFmtId="184" fontId="7" fillId="0" borderId="0" xfId="6" applyFont="1" applyProtection="1"/>
    <xf numFmtId="184" fontId="18" fillId="0" borderId="0" xfId="6" applyFont="1" applyBorder="1" applyProtection="1"/>
    <xf numFmtId="184" fontId="17" fillId="0" borderId="0" xfId="6" applyFont="1" applyProtection="1"/>
    <xf numFmtId="184" fontId="14" fillId="0" borderId="0" xfId="6" applyFont="1" applyProtection="1"/>
    <xf numFmtId="184" fontId="14" fillId="0" borderId="0" xfId="6" applyNumberFormat="1" applyFont="1" applyProtection="1"/>
    <xf numFmtId="184" fontId="7" fillId="0" borderId="1" xfId="6" applyFont="1" applyBorder="1" applyProtection="1"/>
    <xf numFmtId="184" fontId="7" fillId="0" borderId="9" xfId="6" applyFont="1" applyBorder="1" applyProtection="1"/>
    <xf numFmtId="184" fontId="26" fillId="0" borderId="5" xfId="6" applyNumberFormat="1" applyFont="1" applyBorder="1" applyProtection="1"/>
    <xf numFmtId="184" fontId="14" fillId="0" borderId="3" xfId="6" applyFont="1" applyBorder="1" applyProtection="1"/>
    <xf numFmtId="184" fontId="14" fillId="0" borderId="10" xfId="6" applyNumberFormat="1" applyFont="1" applyBorder="1" applyAlignment="1" applyProtection="1">
      <alignment horizontal="left"/>
    </xf>
    <xf numFmtId="184" fontId="26" fillId="0" borderId="7" xfId="6" applyNumberFormat="1" applyFont="1" applyBorder="1" applyAlignment="1" applyProtection="1">
      <alignment horizontal="left"/>
    </xf>
    <xf numFmtId="184" fontId="27" fillId="0" borderId="3" xfId="6" applyFont="1" applyBorder="1" applyProtection="1"/>
    <xf numFmtId="184" fontId="28" fillId="0" borderId="6" xfId="6" applyNumberFormat="1" applyFont="1" applyBorder="1" applyAlignment="1" applyProtection="1">
      <alignment horizontal="left"/>
    </xf>
    <xf numFmtId="184" fontId="28" fillId="0" borderId="8" xfId="6" applyNumberFormat="1" applyFont="1" applyBorder="1" applyAlignment="1" applyProtection="1">
      <alignment horizontal="left"/>
    </xf>
    <xf numFmtId="184" fontId="27" fillId="0" borderId="0" xfId="6" applyFont="1" applyProtection="1"/>
    <xf numFmtId="184" fontId="28" fillId="0" borderId="4" xfId="6" applyNumberFormat="1" applyFont="1" applyBorder="1" applyAlignment="1" applyProtection="1">
      <alignment horizontal="center"/>
    </xf>
    <xf numFmtId="184" fontId="24" fillId="0" borderId="0" xfId="6" applyFont="1" applyProtection="1"/>
    <xf numFmtId="184" fontId="10" fillId="0" borderId="0" xfId="6" applyFont="1" applyProtection="1"/>
    <xf numFmtId="0" fontId="23" fillId="0" borderId="0" xfId="0" applyFont="1" applyProtection="1"/>
    <xf numFmtId="184" fontId="13" fillId="0" borderId="0" xfId="6" applyNumberFormat="1" applyFont="1" applyAlignment="1" applyProtection="1">
      <alignment horizontal="left"/>
    </xf>
    <xf numFmtId="184" fontId="7" fillId="0" borderId="0" xfId="6" applyFont="1" applyAlignment="1" applyProtection="1">
      <alignment horizontal="center"/>
    </xf>
    <xf numFmtId="184" fontId="19" fillId="0" borderId="11" xfId="6" applyNumberFormat="1" applyFont="1" applyBorder="1" applyProtection="1"/>
    <xf numFmtId="184" fontId="19" fillId="0" borderId="12" xfId="6" applyNumberFormat="1" applyFont="1" applyBorder="1" applyProtection="1"/>
    <xf numFmtId="184" fontId="19" fillId="0" borderId="13" xfId="6" applyNumberFormat="1" applyFont="1" applyBorder="1" applyProtection="1"/>
    <xf numFmtId="184" fontId="19" fillId="0" borderId="1" xfId="6" applyNumberFormat="1" applyFont="1" applyBorder="1" applyProtection="1"/>
    <xf numFmtId="184" fontId="19" fillId="0" borderId="14" xfId="6" applyNumberFormat="1" applyFont="1" applyBorder="1" applyProtection="1"/>
    <xf numFmtId="184" fontId="19" fillId="0" borderId="2" xfId="6" applyNumberFormat="1" applyFont="1" applyBorder="1" applyProtection="1"/>
    <xf numFmtId="184" fontId="14" fillId="0" borderId="0" xfId="6" applyFont="1" applyBorder="1" applyAlignment="1" applyProtection="1">
      <alignment horizontal="centerContinuous"/>
    </xf>
    <xf numFmtId="184" fontId="14" fillId="0" borderId="0" xfId="6" applyNumberFormat="1" applyFont="1" applyBorder="1" applyProtection="1"/>
    <xf numFmtId="184" fontId="14" fillId="0" borderId="0" xfId="6" applyFont="1" applyBorder="1" applyProtection="1"/>
    <xf numFmtId="184" fontId="17" fillId="0" borderId="0" xfId="6" applyNumberFormat="1" applyFont="1" applyFill="1" applyBorder="1" applyAlignment="1" applyProtection="1">
      <alignment horizontal="center"/>
    </xf>
    <xf numFmtId="0" fontId="24" fillId="0" borderId="0" xfId="0" applyFont="1" applyProtection="1"/>
    <xf numFmtId="184" fontId="7" fillId="0" borderId="0" xfId="7" applyFont="1" applyProtection="1"/>
    <xf numFmtId="184" fontId="5" fillId="0" borderId="0" xfId="7" applyNumberFormat="1" applyFont="1" applyBorder="1" applyProtection="1"/>
    <xf numFmtId="0" fontId="0" fillId="0" borderId="0" xfId="0" applyProtection="1"/>
    <xf numFmtId="184" fontId="14" fillId="0" borderId="0" xfId="7" applyFont="1" applyProtection="1"/>
    <xf numFmtId="184" fontId="5" fillId="0" borderId="0" xfId="7" applyNumberFormat="1" applyFont="1" applyProtection="1"/>
    <xf numFmtId="184" fontId="1" fillId="0" borderId="0" xfId="7" applyNumberFormat="1" applyFont="1" applyBorder="1" applyAlignment="1" applyProtection="1">
      <alignment horizontal="left"/>
    </xf>
    <xf numFmtId="184" fontId="2" fillId="0" borderId="0" xfId="7" applyNumberFormat="1" applyFont="1" applyBorder="1" applyProtection="1"/>
    <xf numFmtId="0" fontId="14" fillId="0" borderId="0" xfId="0" applyFont="1" applyProtection="1"/>
    <xf numFmtId="184" fontId="4" fillId="0" borderId="0" xfId="7" applyProtection="1"/>
    <xf numFmtId="184" fontId="4" fillId="0" borderId="3" xfId="7" applyBorder="1" applyProtection="1"/>
    <xf numFmtId="184" fontId="7" fillId="0" borderId="5" xfId="7" applyNumberFormat="1" applyFont="1" applyBorder="1" applyProtection="1"/>
    <xf numFmtId="184" fontId="14" fillId="0" borderId="15" xfId="7" applyNumberFormat="1" applyFont="1" applyBorder="1" applyProtection="1"/>
    <xf numFmtId="184" fontId="7" fillId="0" borderId="3" xfId="7" applyNumberFormat="1" applyFont="1" applyBorder="1" applyProtection="1"/>
    <xf numFmtId="184" fontId="4" fillId="0" borderId="4" xfId="7" applyBorder="1" applyProtection="1"/>
    <xf numFmtId="0" fontId="2" fillId="0" borderId="0" xfId="7" applyNumberFormat="1" applyFont="1" applyBorder="1" applyProtection="1"/>
    <xf numFmtId="184" fontId="4" fillId="0" borderId="0" xfId="7" applyBorder="1" applyProtection="1"/>
    <xf numFmtId="184" fontId="4" fillId="0" borderId="0" xfId="7" applyFont="1" applyBorder="1" applyProtection="1"/>
    <xf numFmtId="184" fontId="1" fillId="0" borderId="0" xfId="7" applyNumberFormat="1" applyFont="1" applyBorder="1" applyProtection="1"/>
    <xf numFmtId="184" fontId="2" fillId="0" borderId="0" xfId="7" applyNumberFormat="1" applyFont="1" applyBorder="1" applyAlignment="1" applyProtection="1">
      <alignment horizontal="left"/>
    </xf>
    <xf numFmtId="184" fontId="19" fillId="0" borderId="0" xfId="7" applyNumberFormat="1" applyFont="1" applyProtection="1"/>
    <xf numFmtId="184" fontId="21" fillId="0" borderId="0" xfId="7" applyFont="1" applyProtection="1"/>
    <xf numFmtId="184" fontId="19" fillId="0" borderId="0" xfId="7" applyFont="1" applyProtection="1"/>
    <xf numFmtId="184" fontId="17" fillId="2" borderId="0" xfId="7" applyNumberFormat="1" applyFont="1" applyFill="1" applyBorder="1" applyAlignment="1" applyProtection="1">
      <alignment horizontal="left"/>
    </xf>
    <xf numFmtId="184" fontId="17" fillId="2" borderId="0" xfId="7" applyNumberFormat="1" applyFont="1" applyFill="1" applyBorder="1" applyProtection="1"/>
    <xf numFmtId="184" fontId="14" fillId="3" borderId="0" xfId="7" applyFont="1" applyFill="1" applyProtection="1"/>
    <xf numFmtId="184" fontId="14" fillId="0" borderId="0" xfId="7" applyNumberFormat="1" applyFont="1" applyBorder="1" applyProtection="1"/>
    <xf numFmtId="184" fontId="14" fillId="4" borderId="0" xfId="7" applyNumberFormat="1" applyFont="1" applyFill="1" applyBorder="1" applyProtection="1"/>
    <xf numFmtId="178" fontId="14" fillId="0" borderId="0" xfId="5" quotePrefix="1" applyNumberFormat="1" applyFont="1" applyBorder="1" applyAlignment="1" applyProtection="1">
      <alignment horizontal="right"/>
    </xf>
    <xf numFmtId="184" fontId="25" fillId="0" borderId="0" xfId="6" applyNumberFormat="1" applyFont="1" applyFill="1" applyBorder="1" applyAlignment="1" applyProtection="1">
      <alignment horizontal="centerContinuous"/>
    </xf>
    <xf numFmtId="184" fontId="6" fillId="0" borderId="0" xfId="6" applyNumberFormat="1" applyFont="1" applyFill="1" applyBorder="1" applyAlignment="1" applyProtection="1">
      <alignment horizontal="center"/>
    </xf>
    <xf numFmtId="184" fontId="5" fillId="0" borderId="0" xfId="6" applyNumberFormat="1" applyFont="1" applyFill="1" applyBorder="1" applyAlignment="1" applyProtection="1">
      <alignment horizontal="centerContinuous"/>
    </xf>
    <xf numFmtId="184" fontId="7" fillId="0" borderId="0" xfId="6" applyFont="1" applyFill="1" applyBorder="1" applyProtection="1"/>
    <xf numFmtId="184" fontId="5" fillId="0" borderId="0" xfId="6" applyNumberFormat="1" applyFont="1" applyFill="1" applyBorder="1" applyProtection="1"/>
    <xf numFmtId="184" fontId="8" fillId="0" borderId="0" xfId="6" applyNumberFormat="1" applyFont="1" applyFill="1" applyBorder="1" applyProtection="1"/>
    <xf numFmtId="184" fontId="7" fillId="0" borderId="0" xfId="6" applyNumberFormat="1" applyFont="1" applyFill="1" applyBorder="1" applyProtection="1"/>
    <xf numFmtId="184" fontId="2" fillId="0" borderId="0" xfId="6" applyNumberFormat="1" applyFont="1" applyFill="1" applyBorder="1" applyProtection="1"/>
    <xf numFmtId="184" fontId="14" fillId="0" borderId="15" xfId="6" applyNumberFormat="1" applyFont="1" applyBorder="1" applyProtection="1"/>
    <xf numFmtId="184" fontId="7" fillId="0" borderId="0" xfId="6" applyFont="1" applyBorder="1" applyProtection="1"/>
    <xf numFmtId="184" fontId="17" fillId="0" borderId="0" xfId="6" applyNumberFormat="1" applyFont="1" applyFill="1" applyBorder="1" applyProtection="1"/>
    <xf numFmtId="179" fontId="14" fillId="0" borderId="0" xfId="4" applyFont="1" applyBorder="1" applyProtection="1"/>
    <xf numFmtId="184" fontId="2" fillId="0" borderId="0" xfId="6" applyFont="1" applyProtection="1"/>
    <xf numFmtId="49" fontId="14" fillId="0" borderId="8" xfId="6" applyNumberFormat="1" applyFont="1" applyBorder="1" applyAlignment="1" applyProtection="1">
      <alignment horizontal="left"/>
    </xf>
    <xf numFmtId="49" fontId="14" fillId="0" borderId="7" xfId="6" applyNumberFormat="1" applyFont="1" applyBorder="1" applyAlignment="1" applyProtection="1">
      <alignment horizontal="left"/>
    </xf>
    <xf numFmtId="184" fontId="9" fillId="0" borderId="1" xfId="7" applyNumberFormat="1" applyFont="1" applyBorder="1" applyAlignment="1" applyProtection="1">
      <alignment horizontal="centerContinuous"/>
    </xf>
    <xf numFmtId="185" fontId="9" fillId="0" borderId="14" xfId="6" applyNumberFormat="1" applyFont="1" applyBorder="1" applyAlignment="1" applyProtection="1">
      <alignment horizontal="centerContinuous"/>
      <protection locked="0"/>
    </xf>
    <xf numFmtId="184" fontId="9" fillId="0" borderId="1" xfId="6" applyNumberFormat="1" applyFont="1" applyBorder="1" applyAlignment="1" applyProtection="1">
      <alignment horizontal="centerContinuous"/>
    </xf>
    <xf numFmtId="185" fontId="9" fillId="0" borderId="14" xfId="7" applyNumberFormat="1" applyFont="1" applyBorder="1" applyAlignment="1" applyProtection="1">
      <alignment horizontal="centerContinuous"/>
    </xf>
    <xf numFmtId="184" fontId="5" fillId="2" borderId="0" xfId="7" applyNumberFormat="1" applyFont="1" applyFill="1" applyBorder="1" applyAlignment="1" applyProtection="1">
      <alignment horizontal="centerContinuous"/>
    </xf>
    <xf numFmtId="184" fontId="6" fillId="2" borderId="0" xfId="7" applyNumberFormat="1" applyFont="1" applyFill="1" applyBorder="1" applyAlignment="1" applyProtection="1">
      <alignment horizontal="left"/>
    </xf>
    <xf numFmtId="184" fontId="12" fillId="2" borderId="0" xfId="7" applyNumberFormat="1" applyFont="1" applyFill="1" applyBorder="1" applyAlignment="1" applyProtection="1">
      <alignment horizontal="centerContinuous"/>
    </xf>
    <xf numFmtId="184" fontId="18" fillId="0" borderId="0" xfId="6" applyNumberFormat="1" applyFont="1" applyProtection="1"/>
    <xf numFmtId="184" fontId="9" fillId="0" borderId="12" xfId="6" applyNumberFormat="1" applyFont="1" applyBorder="1" applyAlignment="1" applyProtection="1">
      <alignment horizontal="centerContinuous"/>
    </xf>
    <xf numFmtId="184" fontId="14" fillId="0" borderId="16" xfId="6" applyNumberFormat="1" applyFont="1" applyBorder="1" applyProtection="1"/>
    <xf numFmtId="184" fontId="14" fillId="0" borderId="3" xfId="6" applyNumberFormat="1" applyFont="1" applyBorder="1" applyProtection="1"/>
    <xf numFmtId="184" fontId="9" fillId="0" borderId="17" xfId="7" applyNumberFormat="1" applyFont="1" applyBorder="1" applyProtection="1">
      <protection locked="0"/>
    </xf>
    <xf numFmtId="178" fontId="9" fillId="0" borderId="18" xfId="5" quotePrefix="1" applyNumberFormat="1" applyFont="1" applyBorder="1" applyAlignment="1" applyProtection="1">
      <alignment horizontal="right"/>
    </xf>
    <xf numFmtId="184" fontId="9" fillId="0" borderId="19" xfId="6" applyNumberFormat="1" applyFont="1" applyBorder="1" applyProtection="1">
      <protection locked="0"/>
    </xf>
    <xf numFmtId="184" fontId="9" fillId="0" borderId="3" xfId="6" applyFont="1" applyBorder="1" applyProtection="1">
      <protection locked="0"/>
    </xf>
    <xf numFmtId="178" fontId="9" fillId="0" borderId="20" xfId="6" applyNumberFormat="1" applyFont="1" applyBorder="1" applyProtection="1"/>
    <xf numFmtId="184" fontId="9" fillId="0" borderId="17" xfId="6" applyNumberFormat="1" applyFont="1" applyBorder="1" applyProtection="1">
      <protection locked="0"/>
    </xf>
    <xf numFmtId="183" fontId="9" fillId="0" borderId="20" xfId="4" applyNumberFormat="1" applyFont="1" applyBorder="1" applyProtection="1"/>
    <xf numFmtId="179" fontId="9" fillId="0" borderId="18" xfId="4" applyFont="1" applyBorder="1" applyProtection="1"/>
    <xf numFmtId="178" fontId="9" fillId="0" borderId="21" xfId="6" applyNumberFormat="1" applyFont="1" applyBorder="1" applyProtection="1"/>
    <xf numFmtId="178" fontId="9" fillId="0" borderId="18" xfId="4" applyNumberFormat="1" applyFont="1" applyBorder="1" applyAlignment="1" applyProtection="1">
      <alignment horizontal="right"/>
      <protection locked="0"/>
    </xf>
    <xf numFmtId="196" fontId="14" fillId="0" borderId="0" xfId="6" applyNumberFormat="1" applyFont="1" applyProtection="1"/>
    <xf numFmtId="184" fontId="9" fillId="0" borderId="22" xfId="6" applyNumberFormat="1" applyFont="1" applyBorder="1" applyAlignment="1" applyProtection="1">
      <alignment horizontal="center"/>
      <protection locked="0"/>
    </xf>
    <xf numFmtId="49" fontId="9" fillId="0" borderId="17" xfId="6" applyNumberFormat="1" applyFont="1" applyBorder="1" applyAlignment="1" applyProtection="1">
      <alignment horizontal="center"/>
      <protection locked="0"/>
    </xf>
    <xf numFmtId="184" fontId="9" fillId="0" borderId="17" xfId="7" applyNumberFormat="1" applyFont="1" applyBorder="1" applyAlignment="1" applyProtection="1">
      <protection locked="0"/>
    </xf>
    <xf numFmtId="183" fontId="9" fillId="0" borderId="23" xfId="6" applyNumberFormat="1" applyFont="1" applyBorder="1" applyAlignment="1" applyProtection="1">
      <alignment horizontal="centerContinuous"/>
    </xf>
    <xf numFmtId="183" fontId="9" fillId="0" borderId="2" xfId="6" applyNumberFormat="1" applyFont="1" applyBorder="1" applyAlignment="1" applyProtection="1">
      <alignment horizontal="centerContinuous"/>
    </xf>
    <xf numFmtId="178" fontId="12" fillId="0" borderId="24" xfId="4" applyNumberFormat="1" applyFont="1" applyBorder="1" applyAlignment="1" applyProtection="1">
      <alignment horizontal="right"/>
    </xf>
    <xf numFmtId="49" fontId="9" fillId="0" borderId="25" xfId="6" applyNumberFormat="1" applyFont="1" applyBorder="1" applyAlignment="1" applyProtection="1">
      <alignment horizontal="centerContinuous"/>
      <protection locked="0"/>
    </xf>
    <xf numFmtId="49" fontId="9" fillId="0" borderId="14" xfId="6" applyNumberFormat="1" applyFont="1" applyBorder="1" applyAlignment="1" applyProtection="1">
      <alignment horizontal="centerContinuous"/>
      <protection locked="0"/>
    </xf>
    <xf numFmtId="4" fontId="9" fillId="2" borderId="1" xfId="6" applyNumberFormat="1" applyFont="1" applyFill="1" applyBorder="1" applyAlignment="1" applyProtection="1">
      <alignment horizontal="centerContinuous"/>
      <protection locked="0"/>
    </xf>
    <xf numFmtId="185" fontId="9" fillId="0" borderId="14" xfId="6" applyNumberFormat="1" applyFont="1" applyBorder="1" applyAlignment="1" applyProtection="1">
      <alignment horizontal="centerContinuous"/>
    </xf>
    <xf numFmtId="184" fontId="9" fillId="0" borderId="1" xfId="6" applyFont="1" applyBorder="1" applyAlignment="1" applyProtection="1">
      <alignment horizontal="center"/>
    </xf>
    <xf numFmtId="14" fontId="29" fillId="0" borderId="17" xfId="6" applyNumberFormat="1" applyFont="1" applyBorder="1" applyAlignment="1" applyProtection="1">
      <alignment horizontal="left"/>
      <protection locked="0"/>
    </xf>
    <xf numFmtId="14" fontId="30" fillId="0" borderId="6" xfId="6" applyNumberFormat="1" applyFont="1" applyBorder="1" applyProtection="1">
      <protection locked="0"/>
    </xf>
    <xf numFmtId="14" fontId="29" fillId="0" borderId="17" xfId="7" applyNumberFormat="1" applyFont="1" applyBorder="1" applyAlignment="1" applyProtection="1">
      <alignment horizontal="left"/>
      <protection locked="0"/>
    </xf>
    <xf numFmtId="184" fontId="11" fillId="0" borderId="0" xfId="6" applyFont="1" applyProtection="1"/>
    <xf numFmtId="184" fontId="19" fillId="0" borderId="0" xfId="6" applyFont="1" applyProtection="1"/>
    <xf numFmtId="178" fontId="14" fillId="0" borderId="0" xfId="6" applyNumberFormat="1" applyProtection="1"/>
    <xf numFmtId="184" fontId="6" fillId="0" borderId="0" xfId="6" applyFont="1" applyProtection="1"/>
    <xf numFmtId="184" fontId="1" fillId="0" borderId="0" xfId="6" applyFont="1" applyProtection="1"/>
    <xf numFmtId="184" fontId="22" fillId="0" borderId="0" xfId="6" applyFont="1" applyProtection="1"/>
    <xf numFmtId="184" fontId="9" fillId="0" borderId="19" xfId="6" applyNumberFormat="1" applyFont="1" applyBorder="1" applyProtection="1"/>
    <xf numFmtId="184" fontId="9" fillId="0" borderId="26" xfId="6" applyNumberFormat="1" applyFont="1" applyBorder="1" applyProtection="1"/>
    <xf numFmtId="184" fontId="9" fillId="0" borderId="23" xfId="6" applyNumberFormat="1" applyFont="1" applyBorder="1" applyProtection="1"/>
    <xf numFmtId="184" fontId="9" fillId="0" borderId="0" xfId="6" applyFont="1" applyBorder="1" applyProtection="1"/>
    <xf numFmtId="184" fontId="9" fillId="0" borderId="3" xfId="6" applyFont="1" applyBorder="1" applyProtection="1"/>
    <xf numFmtId="183" fontId="9" fillId="0" borderId="27" xfId="4" applyNumberFormat="1" applyFont="1" applyBorder="1" applyProtection="1"/>
    <xf numFmtId="183" fontId="9" fillId="0" borderId="24" xfId="4" applyNumberFormat="1" applyFont="1" applyBorder="1" applyProtection="1"/>
    <xf numFmtId="178" fontId="9" fillId="0" borderId="1" xfId="6" applyNumberFormat="1" applyFont="1" applyBorder="1" applyAlignment="1" applyProtection="1">
      <alignment horizontal="centerContinuous"/>
    </xf>
    <xf numFmtId="184" fontId="2" fillId="0" borderId="0" xfId="7" applyFont="1" applyProtection="1"/>
    <xf numFmtId="184" fontId="22" fillId="0" borderId="0" xfId="7" applyFont="1" applyProtection="1"/>
    <xf numFmtId="184" fontId="6" fillId="0" borderId="0" xfId="7" applyFont="1" applyProtection="1"/>
    <xf numFmtId="184" fontId="9" fillId="0" borderId="19" xfId="7" applyNumberFormat="1" applyFont="1" applyBorder="1" applyProtection="1"/>
    <xf numFmtId="184" fontId="9" fillId="0" borderId="26" xfId="7" applyNumberFormat="1" applyFont="1" applyBorder="1" applyProtection="1"/>
    <xf numFmtId="184" fontId="9" fillId="0" borderId="0" xfId="7" applyFont="1" applyProtection="1"/>
    <xf numFmtId="183" fontId="9" fillId="0" borderId="20" xfId="8" applyFont="1" applyBorder="1" applyProtection="1"/>
    <xf numFmtId="183" fontId="9" fillId="0" borderId="0" xfId="7" applyNumberFormat="1" applyFont="1" applyBorder="1" applyProtection="1"/>
    <xf numFmtId="184" fontId="17" fillId="0" borderId="0" xfId="7" applyFont="1" applyProtection="1"/>
    <xf numFmtId="184" fontId="9" fillId="0" borderId="12" xfId="6" applyNumberFormat="1" applyFont="1" applyBorder="1" applyAlignment="1" applyProtection="1">
      <alignment horizontal="left"/>
    </xf>
    <xf numFmtId="184" fontId="9" fillId="0" borderId="28" xfId="6" applyNumberFormat="1" applyFont="1" applyBorder="1" applyAlignment="1" applyProtection="1">
      <alignment horizontal="left"/>
    </xf>
    <xf numFmtId="184" fontId="9" fillId="0" borderId="29" xfId="6" applyNumberFormat="1" applyFont="1" applyBorder="1" applyAlignment="1" applyProtection="1">
      <alignment horizontal="centerContinuous"/>
      <protection locked="0"/>
    </xf>
    <xf numFmtId="184" fontId="9" fillId="0" borderId="2" xfId="6" applyNumberFormat="1" applyFont="1" applyBorder="1" applyAlignment="1" applyProtection="1">
      <alignment horizontal="left"/>
    </xf>
    <xf numFmtId="184" fontId="9" fillId="0" borderId="0" xfId="6" applyFont="1" applyAlignment="1" applyProtection="1">
      <alignment horizontal="left"/>
    </xf>
    <xf numFmtId="184" fontId="9" fillId="0" borderId="12" xfId="7" applyNumberFormat="1" applyFont="1" applyBorder="1" applyAlignment="1" applyProtection="1">
      <alignment horizontal="centerContinuous"/>
    </xf>
    <xf numFmtId="184" fontId="9" fillId="0" borderId="29" xfId="7" applyNumberFormat="1" applyFont="1" applyBorder="1" applyAlignment="1" applyProtection="1">
      <alignment horizontal="centerContinuous"/>
    </xf>
    <xf numFmtId="184" fontId="9" fillId="0" borderId="1" xfId="7" applyFont="1" applyBorder="1" applyAlignment="1" applyProtection="1">
      <alignment horizontal="centerContinuous"/>
    </xf>
    <xf numFmtId="184" fontId="2" fillId="0" borderId="4" xfId="6" applyNumberFormat="1" applyFont="1" applyBorder="1" applyAlignment="1" applyProtection="1">
      <alignment horizontal="center"/>
    </xf>
    <xf numFmtId="184" fontId="19" fillId="0" borderId="0" xfId="6" applyNumberFormat="1" applyFont="1" applyBorder="1" applyProtection="1"/>
    <xf numFmtId="184" fontId="19" fillId="0" borderId="9" xfId="6" applyNumberFormat="1" applyFont="1" applyBorder="1" applyProtection="1"/>
    <xf numFmtId="178" fontId="9" fillId="0" borderId="18" xfId="4" applyNumberFormat="1" applyFont="1" applyBorder="1" applyProtection="1"/>
    <xf numFmtId="49" fontId="14" fillId="0" borderId="0" xfId="7" applyNumberFormat="1" applyFont="1" applyBorder="1" applyProtection="1"/>
    <xf numFmtId="49" fontId="14" fillId="0" borderId="0" xfId="0" applyNumberFormat="1" applyFont="1" applyProtection="1"/>
    <xf numFmtId="49" fontId="9" fillId="0" borderId="30" xfId="7" applyNumberFormat="1" applyFont="1" applyBorder="1" applyAlignment="1" applyProtection="1">
      <alignment horizontal="center"/>
      <protection locked="0"/>
    </xf>
    <xf numFmtId="49" fontId="9" fillId="0" borderId="22" xfId="7" applyNumberFormat="1" applyFont="1" applyBorder="1" applyAlignment="1" applyProtection="1">
      <alignment horizontal="center"/>
      <protection locked="0"/>
    </xf>
    <xf numFmtId="183" fontId="9" fillId="0" borderId="24" xfId="6" applyNumberFormat="1" applyFont="1" applyBorder="1" applyProtection="1"/>
    <xf numFmtId="184" fontId="9" fillId="0" borderId="2" xfId="6" applyFont="1" applyBorder="1" applyAlignment="1" applyProtection="1">
      <alignment horizontal="left"/>
    </xf>
    <xf numFmtId="49" fontId="9" fillId="0" borderId="11" xfId="6" applyNumberFormat="1" applyFont="1" applyBorder="1" applyAlignment="1" applyProtection="1">
      <alignment horizontal="left"/>
      <protection locked="0"/>
    </xf>
    <xf numFmtId="184" fontId="9" fillId="0" borderId="1" xfId="6" applyFont="1" applyBorder="1" applyAlignment="1" applyProtection="1">
      <alignment horizontal="left"/>
    </xf>
    <xf numFmtId="184" fontId="35" fillId="0" borderId="0" xfId="6" applyNumberFormat="1" applyFont="1" applyAlignment="1" applyProtection="1">
      <alignment horizontal="left"/>
    </xf>
    <xf numFmtId="184" fontId="33" fillId="0" borderId="0" xfId="6" applyNumberFormat="1" applyFont="1" applyAlignment="1" applyProtection="1">
      <alignment horizontal="left"/>
    </xf>
    <xf numFmtId="184" fontId="35" fillId="0" borderId="7" xfId="6" applyNumberFormat="1" applyFont="1" applyBorder="1" applyAlignment="1" applyProtection="1">
      <alignment horizontal="left"/>
    </xf>
    <xf numFmtId="206" fontId="9" fillId="0" borderId="11" xfId="6" applyNumberFormat="1" applyFont="1" applyBorder="1" applyProtection="1">
      <protection locked="0"/>
    </xf>
    <xf numFmtId="184" fontId="32" fillId="0" borderId="19" xfId="7" applyNumberFormat="1" applyFont="1" applyBorder="1" applyProtection="1"/>
    <xf numFmtId="184" fontId="39" fillId="0" borderId="0" xfId="7" applyNumberFormat="1" applyFont="1" applyAlignment="1" applyProtection="1">
      <alignment horizontal="left"/>
    </xf>
    <xf numFmtId="184" fontId="39" fillId="0" borderId="0" xfId="7" applyFont="1" applyProtection="1"/>
    <xf numFmtId="184" fontId="33" fillId="0" borderId="0" xfId="7" applyNumberFormat="1" applyFont="1" applyAlignment="1" applyProtection="1">
      <alignment horizontal="left"/>
    </xf>
    <xf numFmtId="184" fontId="40" fillId="0" borderId="0" xfId="7" applyNumberFormat="1" applyFont="1" applyProtection="1"/>
    <xf numFmtId="184" fontId="40" fillId="0" borderId="0" xfId="7" applyNumberFormat="1" applyFont="1" applyAlignment="1" applyProtection="1">
      <alignment horizontal="left"/>
    </xf>
    <xf numFmtId="184" fontId="42" fillId="0" borderId="0" xfId="7" applyFont="1" applyProtection="1"/>
    <xf numFmtId="184" fontId="35" fillId="0" borderId="0" xfId="7" applyFont="1" applyProtection="1"/>
    <xf numFmtId="184" fontId="35" fillId="0" borderId="0" xfId="7" applyNumberFormat="1" applyFont="1" applyBorder="1" applyProtection="1"/>
    <xf numFmtId="184" fontId="43" fillId="0" borderId="0" xfId="7" applyFont="1" applyProtection="1"/>
    <xf numFmtId="184" fontId="40" fillId="0" borderId="0" xfId="7" applyFont="1" applyProtection="1"/>
    <xf numFmtId="184" fontId="44" fillId="0" borderId="0" xfId="7" applyNumberFormat="1" applyFont="1" applyAlignment="1" applyProtection="1">
      <alignment horizontal="left"/>
    </xf>
    <xf numFmtId="184" fontId="45" fillId="0" borderId="0" xfId="7" applyFont="1" applyProtection="1"/>
    <xf numFmtId="184" fontId="35" fillId="4" borderId="0" xfId="7" applyNumberFormat="1" applyFont="1" applyFill="1" applyBorder="1" applyProtection="1"/>
    <xf numFmtId="14" fontId="35" fillId="4" borderId="0" xfId="7" applyNumberFormat="1" applyFont="1" applyFill="1" applyBorder="1" applyProtection="1"/>
    <xf numFmtId="49" fontId="35" fillId="4" borderId="0" xfId="7" applyNumberFormat="1" applyFont="1" applyFill="1" applyBorder="1" applyProtection="1"/>
    <xf numFmtId="178" fontId="9" fillId="0" borderId="31" xfId="6" applyNumberFormat="1" applyFont="1" applyBorder="1" applyProtection="1"/>
    <xf numFmtId="184" fontId="39" fillId="0" borderId="0" xfId="6" applyNumberFormat="1" applyFont="1" applyAlignment="1" applyProtection="1">
      <alignment horizontal="left"/>
    </xf>
    <xf numFmtId="184" fontId="39" fillId="0" borderId="0" xfId="6" applyFont="1" applyProtection="1"/>
    <xf numFmtId="0" fontId="35" fillId="0" borderId="0" xfId="0" applyFont="1"/>
    <xf numFmtId="0" fontId="35" fillId="0" borderId="0" xfId="0" applyFont="1" applyProtection="1"/>
    <xf numFmtId="184" fontId="41" fillId="0" borderId="0" xfId="6" applyFont="1" applyProtection="1"/>
    <xf numFmtId="184" fontId="34" fillId="0" borderId="0" xfId="6" applyFont="1" applyProtection="1"/>
    <xf numFmtId="184" fontId="32" fillId="0" borderId="0" xfId="6" applyFont="1" applyProtection="1"/>
    <xf numFmtId="49" fontId="35" fillId="0" borderId="0" xfId="0" applyNumberFormat="1" applyFont="1" applyProtection="1"/>
    <xf numFmtId="49" fontId="47" fillId="4" borderId="0" xfId="7" applyNumberFormat="1" applyFont="1" applyFill="1" applyBorder="1" applyProtection="1"/>
    <xf numFmtId="0" fontId="48" fillId="0" borderId="0" xfId="0" applyFont="1" applyProtection="1"/>
    <xf numFmtId="184" fontId="48" fillId="0" borderId="0" xfId="7" applyFont="1" applyProtection="1"/>
    <xf numFmtId="184" fontId="39" fillId="0" borderId="0" xfId="7" applyNumberFormat="1" applyFont="1" applyProtection="1"/>
    <xf numFmtId="184" fontId="41" fillId="0" borderId="0" xfId="6" applyNumberFormat="1" applyFont="1" applyProtection="1"/>
    <xf numFmtId="184" fontId="35" fillId="0" borderId="0" xfId="6" applyFont="1" applyProtection="1"/>
    <xf numFmtId="184" fontId="34" fillId="0" borderId="0" xfId="6" applyNumberFormat="1" applyFont="1" applyProtection="1"/>
    <xf numFmtId="178" fontId="9" fillId="0" borderId="20" xfId="4" applyNumberFormat="1" applyFont="1" applyBorder="1" applyProtection="1"/>
    <xf numFmtId="14" fontId="29" fillId="0" borderId="17" xfId="6" applyNumberFormat="1" applyFont="1" applyFill="1" applyBorder="1" applyAlignment="1" applyProtection="1">
      <alignment horizontal="left"/>
      <protection locked="0"/>
    </xf>
    <xf numFmtId="178" fontId="9" fillId="0" borderId="20" xfId="8" applyNumberFormat="1" applyFont="1" applyBorder="1" applyProtection="1"/>
    <xf numFmtId="184" fontId="9" fillId="0" borderId="12" xfId="6" applyNumberFormat="1" applyFont="1" applyBorder="1" applyProtection="1">
      <protection locked="0"/>
    </xf>
    <xf numFmtId="184" fontId="9" fillId="0" borderId="14" xfId="6" applyNumberFormat="1" applyFont="1" applyBorder="1" applyProtection="1">
      <protection locked="0"/>
    </xf>
    <xf numFmtId="184" fontId="19" fillId="0" borderId="0" xfId="6" applyFont="1" applyAlignment="1" applyProtection="1">
      <alignment horizontal="left"/>
      <protection locked="0"/>
    </xf>
    <xf numFmtId="184" fontId="9" fillId="0" borderId="1" xfId="6" applyNumberFormat="1" applyFont="1" applyBorder="1" applyProtection="1">
      <protection locked="0"/>
    </xf>
    <xf numFmtId="184" fontId="9" fillId="0" borderId="2" xfId="6" applyNumberFormat="1" applyFont="1" applyBorder="1" applyProtection="1">
      <protection locked="0"/>
    </xf>
    <xf numFmtId="184" fontId="14" fillId="0" borderId="5" xfId="6" applyNumberFormat="1" applyFont="1" applyBorder="1" applyProtection="1"/>
    <xf numFmtId="184" fontId="14" fillId="0" borderId="15" xfId="6" applyNumberFormat="1" applyFont="1" applyBorder="1" applyAlignment="1" applyProtection="1">
      <alignment horizontal="left"/>
    </xf>
    <xf numFmtId="184" fontId="31" fillId="0" borderId="0" xfId="6" applyNumberFormat="1" applyFont="1" applyFill="1" applyBorder="1" applyAlignment="1" applyProtection="1">
      <alignment horizontal="centerContinuous"/>
    </xf>
    <xf numFmtId="184" fontId="51" fillId="0" borderId="0" xfId="6" applyNumberFormat="1" applyFont="1" applyAlignment="1" applyProtection="1">
      <alignment horizontal="left"/>
    </xf>
    <xf numFmtId="0" fontId="37" fillId="0" borderId="0" xfId="0" applyFont="1" applyProtection="1"/>
    <xf numFmtId="49" fontId="9" fillId="0" borderId="0" xfId="6" applyNumberFormat="1" applyFont="1" applyFill="1" applyBorder="1" applyProtection="1"/>
    <xf numFmtId="0" fontId="0" fillId="0" borderId="0" xfId="0" quotePrefix="1" applyProtection="1"/>
    <xf numFmtId="0" fontId="9" fillId="0" borderId="17" xfId="8" applyNumberFormat="1" applyFont="1" applyBorder="1" applyProtection="1">
      <protection locked="0"/>
    </xf>
    <xf numFmtId="0" fontId="9" fillId="0" borderId="17" xfId="7" applyNumberFormat="1" applyFont="1" applyBorder="1" applyProtection="1">
      <protection locked="0"/>
    </xf>
    <xf numFmtId="184" fontId="9" fillId="0" borderId="11" xfId="6" applyNumberFormat="1" applyFont="1" applyBorder="1" applyAlignment="1" applyProtection="1">
      <alignment horizontal="centerContinuous"/>
    </xf>
    <xf numFmtId="14" fontId="14" fillId="0" borderId="0" xfId="6" applyNumberFormat="1" applyFont="1" applyBorder="1" applyProtection="1"/>
    <xf numFmtId="14" fontId="19" fillId="0" borderId="0" xfId="6" applyNumberFormat="1" applyFont="1" applyBorder="1" applyProtection="1"/>
    <xf numFmtId="184" fontId="38" fillId="0" borderId="3" xfId="6" applyFont="1" applyBorder="1" applyAlignment="1" applyProtection="1">
      <alignment vertical="top"/>
    </xf>
    <xf numFmtId="184" fontId="0" fillId="0" borderId="0" xfId="0" applyNumberFormat="1" applyProtection="1"/>
    <xf numFmtId="178" fontId="0" fillId="0" borderId="0" xfId="0" applyNumberFormat="1" applyProtection="1"/>
    <xf numFmtId="184" fontId="33" fillId="0" borderId="0" xfId="6" applyFont="1" applyProtection="1"/>
    <xf numFmtId="184" fontId="9" fillId="0" borderId="29" xfId="7" applyNumberFormat="1" applyFont="1" applyBorder="1" applyAlignment="1" applyProtection="1"/>
    <xf numFmtId="184" fontId="9" fillId="0" borderId="29" xfId="6" applyNumberFormat="1" applyFont="1" applyBorder="1" applyAlignment="1" applyProtection="1"/>
    <xf numFmtId="184" fontId="9" fillId="0" borderId="17" xfId="7" applyNumberFormat="1" applyFont="1" applyBorder="1" applyAlignment="1" applyProtection="1">
      <alignment horizontal="center"/>
      <protection locked="0"/>
    </xf>
    <xf numFmtId="200" fontId="46" fillId="0" borderId="22" xfId="6" applyNumberFormat="1" applyFont="1" applyFill="1" applyBorder="1" applyAlignment="1" applyProtection="1">
      <alignment horizontal="center"/>
      <protection locked="0"/>
    </xf>
    <xf numFmtId="206" fontId="9" fillId="0" borderId="22" xfId="7" applyNumberFormat="1" applyFont="1" applyBorder="1" applyAlignment="1" applyProtection="1">
      <alignment horizontal="center"/>
      <protection locked="0"/>
    </xf>
    <xf numFmtId="206" fontId="9" fillId="0" borderId="22" xfId="8" applyNumberFormat="1" applyFont="1" applyBorder="1" applyAlignment="1" applyProtection="1">
      <alignment horizontal="center"/>
      <protection locked="0"/>
    </xf>
    <xf numFmtId="0" fontId="9" fillId="0" borderId="11" xfId="6" applyNumberFormat="1" applyFont="1" applyBorder="1" applyProtection="1">
      <protection locked="0"/>
    </xf>
    <xf numFmtId="0" fontId="46" fillId="0" borderId="22" xfId="8" applyNumberFormat="1" applyFont="1" applyFill="1" applyBorder="1" applyAlignment="1" applyProtection="1">
      <protection locked="0"/>
    </xf>
    <xf numFmtId="208" fontId="49" fillId="0" borderId="0" xfId="6" applyNumberFormat="1" applyFont="1" applyBorder="1" applyAlignment="1" applyProtection="1">
      <alignment horizontal="center"/>
      <protection locked="0"/>
    </xf>
    <xf numFmtId="184" fontId="9" fillId="0" borderId="19" xfId="6" applyNumberFormat="1" applyFont="1" applyBorder="1" applyAlignment="1" applyProtection="1"/>
    <xf numFmtId="184" fontId="9" fillId="0" borderId="26" xfId="6" applyNumberFormat="1" applyFont="1" applyBorder="1" applyAlignment="1" applyProtection="1"/>
    <xf numFmtId="184" fontId="9" fillId="0" borderId="0" xfId="6" applyFont="1" applyBorder="1" applyAlignment="1" applyProtection="1"/>
    <xf numFmtId="184" fontId="9" fillId="0" borderId="3" xfId="6" applyFont="1" applyBorder="1" applyAlignment="1" applyProtection="1">
      <protection locked="0"/>
    </xf>
    <xf numFmtId="184" fontId="9" fillId="0" borderId="19" xfId="6" applyNumberFormat="1" applyFont="1" applyBorder="1" applyAlignment="1" applyProtection="1">
      <protection locked="0"/>
    </xf>
    <xf numFmtId="0" fontId="20" fillId="0" borderId="0" xfId="0" applyFont="1" applyAlignment="1">
      <alignment horizontal="right"/>
    </xf>
    <xf numFmtId="216" fontId="20" fillId="0" borderId="0" xfId="0" applyNumberFormat="1" applyFont="1"/>
    <xf numFmtId="184" fontId="20" fillId="0" borderId="0" xfId="7" applyFont="1" applyAlignment="1" applyProtection="1">
      <alignment horizontal="center"/>
    </xf>
    <xf numFmtId="217" fontId="9" fillId="0" borderId="14" xfId="6" applyNumberFormat="1" applyFont="1" applyBorder="1" applyAlignment="1" applyProtection="1">
      <alignment horizontal="centerContinuous"/>
      <protection locked="0"/>
    </xf>
    <xf numFmtId="184" fontId="52" fillId="3" borderId="0" xfId="7" applyFont="1" applyFill="1" applyProtection="1"/>
    <xf numFmtId="184" fontId="53" fillId="0" borderId="0" xfId="7" applyNumberFormat="1" applyFont="1" applyBorder="1" applyAlignment="1" applyProtection="1">
      <alignment horizontal="center"/>
    </xf>
    <xf numFmtId="184" fontId="33" fillId="0" borderId="0" xfId="7" applyNumberFormat="1" applyFont="1" applyBorder="1" applyProtection="1"/>
    <xf numFmtId="0" fontId="14" fillId="0" borderId="0" xfId="0" applyFont="1" applyAlignment="1" applyProtection="1">
      <alignment wrapText="1"/>
    </xf>
    <xf numFmtId="0" fontId="0" fillId="0" borderId="0" xfId="0" applyAlignment="1">
      <alignment wrapText="1"/>
    </xf>
    <xf numFmtId="0" fontId="14" fillId="0" borderId="0" xfId="0" applyFont="1" applyAlignment="1" applyProtection="1"/>
    <xf numFmtId="184" fontId="9" fillId="0" borderId="0" xfId="7" applyFont="1" applyBorder="1" applyProtection="1"/>
    <xf numFmtId="0" fontId="14" fillId="0" borderId="0" xfId="0" applyFont="1"/>
    <xf numFmtId="0" fontId="14" fillId="0" borderId="0" xfId="0" applyFont="1" applyBorder="1" applyProtection="1"/>
    <xf numFmtId="0" fontId="55" fillId="0" borderId="0" xfId="0" applyFont="1"/>
    <xf numFmtId="184" fontId="54" fillId="0" borderId="14" xfId="7" applyFont="1" applyBorder="1" applyAlignment="1" applyProtection="1">
      <alignment horizontal="right" wrapText="1"/>
    </xf>
    <xf numFmtId="4" fontId="9" fillId="0" borderId="2" xfId="8" applyNumberFormat="1" applyFont="1" applyBorder="1" applyProtection="1"/>
    <xf numFmtId="198" fontId="9" fillId="0" borderId="32" xfId="8" applyNumberFormat="1" applyFont="1" applyBorder="1" applyAlignment="1" applyProtection="1">
      <alignment horizontal="right"/>
      <protection locked="0"/>
    </xf>
    <xf numFmtId="198" fontId="9" fillId="0" borderId="33" xfId="0" applyNumberFormat="1" applyFont="1" applyBorder="1" applyProtection="1">
      <protection locked="0"/>
    </xf>
    <xf numFmtId="184" fontId="2" fillId="0" borderId="0" xfId="6" quotePrefix="1" applyFont="1" applyProtection="1"/>
    <xf numFmtId="184" fontId="36" fillId="0" borderId="0" xfId="6" applyFont="1" applyAlignment="1" applyProtection="1">
      <alignment vertical="center"/>
    </xf>
    <xf numFmtId="0" fontId="1" fillId="0" borderId="0" xfId="0" applyFont="1"/>
    <xf numFmtId="49" fontId="9" fillId="0" borderId="11" xfId="6" applyNumberFormat="1" applyFont="1" applyBorder="1" applyAlignment="1" applyProtection="1">
      <alignment horizontal="centerContinuous"/>
      <protection locked="0"/>
    </xf>
    <xf numFmtId="49" fontId="9" fillId="0" borderId="29" xfId="6" applyNumberFormat="1" applyFont="1" applyBorder="1" applyAlignment="1" applyProtection="1">
      <protection locked="0"/>
    </xf>
    <xf numFmtId="49" fontId="9" fillId="0" borderId="12" xfId="6" applyNumberFormat="1" applyFont="1" applyBorder="1" applyAlignment="1" applyProtection="1">
      <alignment horizontal="centerContinuous"/>
    </xf>
    <xf numFmtId="183" fontId="53" fillId="0" borderId="0" xfId="0" applyNumberFormat="1" applyFont="1"/>
    <xf numFmtId="202" fontId="53" fillId="0" borderId="0" xfId="8" applyNumberFormat="1" applyFont="1" applyAlignment="1"/>
    <xf numFmtId="208" fontId="49" fillId="0" borderId="28" xfId="6" applyNumberFormat="1" applyFont="1" applyBorder="1" applyAlignment="1" applyProtection="1">
      <alignment horizontal="center"/>
      <protection locked="0"/>
    </xf>
    <xf numFmtId="208" fontId="2" fillId="0" borderId="0" xfId="6" applyNumberFormat="1" applyFont="1" applyProtection="1"/>
    <xf numFmtId="49" fontId="9" fillId="0" borderId="22" xfId="6" applyNumberFormat="1" applyFont="1" applyBorder="1" applyAlignment="1" applyProtection="1">
      <alignment vertical="center"/>
      <protection locked="0"/>
    </xf>
    <xf numFmtId="49" fontId="9" fillId="0" borderId="25" xfId="6" applyNumberFormat="1" applyFont="1" applyBorder="1" applyAlignment="1" applyProtection="1">
      <alignment vertical="center"/>
      <protection locked="0"/>
    </xf>
    <xf numFmtId="184" fontId="31" fillId="5" borderId="22" xfId="6" applyNumberFormat="1" applyFont="1" applyFill="1" applyBorder="1" applyAlignment="1" applyProtection="1">
      <alignment horizontal="centerContinuous"/>
    </xf>
    <xf numFmtId="184" fontId="31" fillId="5" borderId="22" xfId="6" applyNumberFormat="1" applyFont="1" applyFill="1" applyBorder="1" applyAlignment="1" applyProtection="1">
      <alignment horizontal="center"/>
    </xf>
    <xf numFmtId="184" fontId="31" fillId="5" borderId="19" xfId="6" applyNumberFormat="1" applyFont="1" applyFill="1" applyBorder="1" applyAlignment="1" applyProtection="1"/>
    <xf numFmtId="184" fontId="31" fillId="5" borderId="34" xfId="6" applyNumberFormat="1" applyFont="1" applyFill="1" applyBorder="1" applyAlignment="1" applyProtection="1"/>
    <xf numFmtId="184" fontId="31" fillId="5" borderId="19" xfId="6" applyNumberFormat="1" applyFont="1" applyFill="1" applyBorder="1" applyAlignment="1" applyProtection="1">
      <alignment horizontal="centerContinuous"/>
    </xf>
    <xf numFmtId="184" fontId="31" fillId="5" borderId="7" xfId="6" applyNumberFormat="1" applyFont="1" applyFill="1" applyBorder="1" applyAlignment="1" applyProtection="1">
      <alignment horizontal="centerContinuous"/>
    </xf>
    <xf numFmtId="184" fontId="50" fillId="5" borderId="35" xfId="6" applyNumberFormat="1" applyFont="1" applyFill="1" applyBorder="1" applyAlignment="1" applyProtection="1">
      <alignment horizontal="centerContinuous"/>
    </xf>
    <xf numFmtId="184" fontId="31" fillId="5" borderId="34" xfId="6" applyNumberFormat="1" applyFont="1" applyFill="1" applyBorder="1" applyAlignment="1" applyProtection="1">
      <alignment horizontal="centerContinuous"/>
    </xf>
    <xf numFmtId="184" fontId="31" fillId="5" borderId="17" xfId="6" applyNumberFormat="1" applyFont="1" applyFill="1" applyBorder="1" applyAlignment="1" applyProtection="1">
      <alignment horizontal="left"/>
    </xf>
    <xf numFmtId="184" fontId="31" fillId="5" borderId="17" xfId="6" applyNumberFormat="1" applyFont="1" applyFill="1" applyBorder="1" applyAlignment="1" applyProtection="1">
      <alignment horizontal="centerContinuous"/>
    </xf>
    <xf numFmtId="184" fontId="31" fillId="5" borderId="22" xfId="6" applyNumberFormat="1" applyFont="1" applyFill="1" applyBorder="1" applyAlignment="1" applyProtection="1">
      <alignment horizontal="left" vertical="center" wrapText="1"/>
    </xf>
    <xf numFmtId="184" fontId="17" fillId="5" borderId="8" xfId="6" applyNumberFormat="1" applyFont="1" applyFill="1" applyBorder="1" applyAlignment="1" applyProtection="1">
      <alignment horizontal="centerContinuous"/>
    </xf>
    <xf numFmtId="184" fontId="17" fillId="5" borderId="3" xfId="6" applyNumberFormat="1" applyFont="1" applyFill="1" applyBorder="1" applyAlignment="1" applyProtection="1">
      <alignment horizontal="centerContinuous"/>
    </xf>
    <xf numFmtId="184" fontId="14" fillId="5" borderId="26" xfId="6" applyNumberFormat="1" applyFont="1" applyFill="1" applyBorder="1" applyAlignment="1" applyProtection="1">
      <alignment horizontal="centerContinuous"/>
    </xf>
    <xf numFmtId="184" fontId="14" fillId="6" borderId="36" xfId="6" applyNumberFormat="1" applyFont="1" applyFill="1" applyBorder="1" applyProtection="1"/>
    <xf numFmtId="184" fontId="1" fillId="5" borderId="26" xfId="6" applyNumberFormat="1" applyFont="1" applyFill="1" applyBorder="1" applyAlignment="1" applyProtection="1">
      <alignment horizontal="centerContinuous"/>
    </xf>
    <xf numFmtId="184" fontId="17" fillId="6" borderId="8" xfId="6" applyFont="1" applyFill="1" applyBorder="1" applyProtection="1"/>
    <xf numFmtId="184" fontId="14" fillId="6" borderId="3" xfId="6" applyFont="1" applyFill="1" applyBorder="1" applyProtection="1"/>
    <xf numFmtId="184" fontId="17" fillId="6" borderId="17" xfId="6" applyNumberFormat="1" applyFont="1" applyFill="1" applyBorder="1" applyAlignment="1" applyProtection="1">
      <alignment horizontal="left"/>
    </xf>
    <xf numFmtId="184" fontId="17" fillId="6" borderId="19" xfId="6" applyNumberFormat="1" applyFont="1" applyFill="1" applyBorder="1" applyProtection="1"/>
    <xf numFmtId="184" fontId="17" fillId="6" borderId="14" xfId="6" applyNumberFormat="1" applyFont="1" applyFill="1" applyBorder="1" applyProtection="1"/>
    <xf numFmtId="184" fontId="17" fillId="6" borderId="1" xfId="6" applyNumberFormat="1" applyFont="1" applyFill="1" applyBorder="1" applyProtection="1"/>
    <xf numFmtId="184" fontId="17" fillId="6" borderId="37" xfId="6" applyNumberFormat="1" applyFont="1" applyFill="1" applyBorder="1" applyProtection="1"/>
    <xf numFmtId="184" fontId="17" fillId="6" borderId="0" xfId="6" applyNumberFormat="1" applyFont="1" applyFill="1" applyProtection="1"/>
    <xf numFmtId="191" fontId="20" fillId="6" borderId="0" xfId="6" applyNumberFormat="1" applyFont="1" applyFill="1" applyBorder="1" applyAlignment="1" applyProtection="1">
      <alignment horizontal="center"/>
    </xf>
    <xf numFmtId="184" fontId="17" fillId="6" borderId="12" xfId="6" applyNumberFormat="1" applyFont="1" applyFill="1" applyBorder="1" applyProtection="1"/>
    <xf numFmtId="191" fontId="20" fillId="6" borderId="1" xfId="6" applyNumberFormat="1" applyFont="1" applyFill="1" applyBorder="1" applyAlignment="1" applyProtection="1">
      <alignment horizontal="center"/>
    </xf>
    <xf numFmtId="184" fontId="1" fillId="6" borderId="12" xfId="6" applyNumberFormat="1" applyFont="1" applyFill="1" applyBorder="1" applyProtection="1"/>
    <xf numFmtId="184" fontId="17" fillId="6" borderId="11" xfId="6" applyNumberFormat="1" applyFont="1" applyFill="1" applyBorder="1" applyAlignment="1" applyProtection="1">
      <alignment horizontal="left"/>
    </xf>
    <xf numFmtId="184" fontId="5" fillId="5" borderId="25" xfId="6" applyNumberFormat="1" applyFont="1" applyFill="1" applyBorder="1" applyAlignment="1" applyProtection="1">
      <alignment horizontal="centerContinuous"/>
    </xf>
    <xf numFmtId="184" fontId="5" fillId="5" borderId="26" xfId="6" applyNumberFormat="1" applyFont="1" applyFill="1" applyBorder="1" applyAlignment="1" applyProtection="1">
      <alignment horizontal="centerContinuous"/>
    </xf>
    <xf numFmtId="184" fontId="7" fillId="5" borderId="26" xfId="6" applyNumberFormat="1" applyFont="1" applyFill="1" applyBorder="1" applyAlignment="1" applyProtection="1">
      <alignment horizontal="centerContinuous"/>
    </xf>
    <xf numFmtId="184" fontId="7" fillId="5" borderId="38" xfId="6" applyNumberFormat="1" applyFont="1" applyFill="1" applyBorder="1" applyAlignment="1" applyProtection="1">
      <alignment horizontal="centerContinuous"/>
    </xf>
    <xf numFmtId="184" fontId="58" fillId="0" borderId="0" xfId="7" applyNumberFormat="1" applyFont="1" applyBorder="1" applyAlignment="1" applyProtection="1">
      <alignment horizontal="left"/>
    </xf>
    <xf numFmtId="184" fontId="31" fillId="5" borderId="39" xfId="6" applyNumberFormat="1" applyFont="1" applyFill="1" applyBorder="1" applyAlignment="1" applyProtection="1">
      <alignment horizontal="left" vertical="center" wrapText="1"/>
    </xf>
    <xf numFmtId="184" fontId="31" fillId="5" borderId="34" xfId="6" applyNumberFormat="1" applyFont="1" applyFill="1" applyBorder="1" applyAlignment="1" applyProtection="1">
      <alignment horizontal="left" vertical="center" wrapText="1"/>
    </xf>
    <xf numFmtId="49" fontId="9" fillId="0" borderId="23" xfId="6" applyNumberFormat="1" applyFont="1" applyBorder="1" applyAlignment="1" applyProtection="1">
      <alignment vertical="center"/>
      <protection locked="0"/>
    </xf>
    <xf numFmtId="178" fontId="9" fillId="0" borderId="0" xfId="4" applyNumberFormat="1" applyFont="1" applyBorder="1" applyProtection="1"/>
    <xf numFmtId="184" fontId="31" fillId="7" borderId="40" xfId="6" applyNumberFormat="1" applyFont="1" applyFill="1" applyBorder="1" applyAlignment="1" applyProtection="1">
      <alignment horizontal="centerContinuous" wrapText="1"/>
    </xf>
    <xf numFmtId="49" fontId="9" fillId="0" borderId="31" xfId="7" applyNumberFormat="1" applyFont="1" applyBorder="1" applyAlignment="1" applyProtection="1">
      <alignment horizontal="center"/>
      <protection locked="0"/>
    </xf>
    <xf numFmtId="49" fontId="9" fillId="0" borderId="41" xfId="7" applyNumberFormat="1" applyFont="1" applyBorder="1" applyAlignment="1" applyProtection="1">
      <alignment horizontal="left"/>
      <protection locked="0"/>
    </xf>
    <xf numFmtId="49" fontId="9" fillId="0" borderId="41" xfId="7" applyNumberFormat="1" applyFont="1" applyBorder="1" applyAlignment="1" applyProtection="1">
      <alignment horizontal="centerContinuous"/>
      <protection locked="0"/>
    </xf>
    <xf numFmtId="49" fontId="9" fillId="0" borderId="18" xfId="7" applyNumberFormat="1" applyFont="1" applyBorder="1" applyAlignment="1" applyProtection="1">
      <alignment horizontal="center"/>
      <protection locked="0"/>
    </xf>
    <xf numFmtId="198" fontId="9" fillId="6" borderId="30" xfId="8" applyNumberFormat="1" applyFont="1" applyFill="1" applyBorder="1" applyAlignment="1" applyProtection="1">
      <alignment horizontal="right"/>
    </xf>
    <xf numFmtId="198" fontId="9" fillId="6" borderId="22" xfId="8" applyNumberFormat="1" applyFont="1" applyFill="1" applyBorder="1" applyAlignment="1" applyProtection="1">
      <alignment horizontal="right"/>
    </xf>
    <xf numFmtId="198" fontId="9" fillId="0" borderId="22" xfId="8" applyNumberFormat="1" applyFont="1" applyBorder="1" applyAlignment="1" applyProtection="1">
      <alignment horizontal="right"/>
      <protection locked="0"/>
    </xf>
    <xf numFmtId="184" fontId="17" fillId="0" borderId="0" xfId="7" applyFont="1" applyBorder="1" applyProtection="1"/>
    <xf numFmtId="198" fontId="9" fillId="0" borderId="6" xfId="8" applyNumberFormat="1" applyFont="1" applyFill="1" applyBorder="1" applyAlignment="1" applyProtection="1">
      <alignment horizontal="right"/>
    </xf>
    <xf numFmtId="184" fontId="31" fillId="5" borderId="22" xfId="6" applyNumberFormat="1" applyFont="1" applyFill="1" applyBorder="1" applyAlignment="1" applyProtection="1">
      <alignment horizontal="center" vertical="center" wrapText="1"/>
    </xf>
    <xf numFmtId="202" fontId="53" fillId="0" borderId="0" xfId="8" applyNumberFormat="1" applyFont="1" applyAlignment="1">
      <alignment horizontal="left"/>
    </xf>
    <xf numFmtId="183" fontId="53" fillId="6" borderId="0" xfId="0" applyNumberFormat="1" applyFont="1" applyFill="1"/>
    <xf numFmtId="183" fontId="9" fillId="6" borderId="20" xfId="8" applyFont="1" applyFill="1" applyBorder="1" applyProtection="1"/>
    <xf numFmtId="183" fontId="57" fillId="6" borderId="0" xfId="0" applyNumberFormat="1" applyFont="1" applyFill="1"/>
    <xf numFmtId="49" fontId="53" fillId="6" borderId="0" xfId="0" applyNumberFormat="1" applyFont="1" applyFill="1"/>
    <xf numFmtId="184" fontId="31" fillId="8" borderId="42" xfId="6" applyNumberFormat="1" applyFont="1" applyFill="1" applyBorder="1" applyAlignment="1" applyProtection="1">
      <alignment horizontal="centerContinuous" wrapText="1"/>
    </xf>
    <xf numFmtId="184" fontId="31" fillId="8" borderId="40" xfId="6" applyNumberFormat="1" applyFont="1" applyFill="1" applyBorder="1" applyAlignment="1" applyProtection="1">
      <alignment horizontal="centerContinuous" wrapText="1"/>
    </xf>
    <xf numFmtId="49" fontId="5" fillId="6" borderId="34" xfId="6" applyNumberFormat="1" applyFont="1" applyFill="1" applyBorder="1" applyAlignment="1" applyProtection="1">
      <alignment horizontal="centerContinuous"/>
    </xf>
    <xf numFmtId="49" fontId="5" fillId="6" borderId="22" xfId="6" applyNumberFormat="1" applyFont="1" applyFill="1" applyBorder="1" applyAlignment="1" applyProtection="1">
      <alignment horizontal="center"/>
    </xf>
    <xf numFmtId="184" fontId="31" fillId="5" borderId="34" xfId="6" applyNumberFormat="1" applyFont="1" applyFill="1" applyBorder="1" applyAlignment="1" applyProtection="1">
      <alignment horizontal="center"/>
    </xf>
    <xf numFmtId="184" fontId="31" fillId="5" borderId="22" xfId="6" applyNumberFormat="1" applyFont="1" applyFill="1" applyBorder="1" applyAlignment="1" applyProtection="1"/>
    <xf numFmtId="198" fontId="9" fillId="0" borderId="10" xfId="8" applyNumberFormat="1" applyFont="1" applyFill="1" applyBorder="1" applyAlignment="1" applyProtection="1">
      <alignment horizontal="right"/>
    </xf>
    <xf numFmtId="198" fontId="9" fillId="0" borderId="4" xfId="8" applyNumberFormat="1" applyFont="1" applyFill="1" applyBorder="1" applyAlignment="1" applyProtection="1">
      <alignment horizontal="right"/>
    </xf>
    <xf numFmtId="183" fontId="53" fillId="6" borderId="0" xfId="0" applyNumberFormat="1" applyFont="1" applyFill="1" applyBorder="1"/>
    <xf numFmtId="0" fontId="1" fillId="0" borderId="0" xfId="0" applyFont="1" applyBorder="1"/>
    <xf numFmtId="183" fontId="56" fillId="0" borderId="0" xfId="0" applyNumberFormat="1" applyFont="1" applyBorder="1"/>
    <xf numFmtId="202" fontId="53" fillId="0" borderId="0" xfId="8" applyNumberFormat="1" applyFont="1" applyBorder="1" applyAlignment="1"/>
    <xf numFmtId="49" fontId="53" fillId="6" borderId="0" xfId="0" applyNumberFormat="1" applyFont="1" applyFill="1" applyBorder="1"/>
    <xf numFmtId="198" fontId="9" fillId="0" borderId="36" xfId="8" applyNumberFormat="1" applyFont="1" applyFill="1" applyBorder="1" applyAlignment="1" applyProtection="1">
      <alignment horizontal="right"/>
    </xf>
    <xf numFmtId="183" fontId="1" fillId="0" borderId="30" xfId="0" applyNumberFormat="1" applyFont="1" applyBorder="1"/>
    <xf numFmtId="184" fontId="31" fillId="5" borderId="38" xfId="6" applyNumberFormat="1" applyFont="1" applyFill="1" applyBorder="1" applyAlignment="1" applyProtection="1">
      <alignment horizontal="center" vertical="center" wrapText="1"/>
    </xf>
    <xf numFmtId="184" fontId="31" fillId="5" borderId="30" xfId="6" applyNumberFormat="1" applyFont="1" applyFill="1" applyBorder="1" applyAlignment="1" applyProtection="1">
      <alignment horizontal="center" vertical="center" wrapText="1"/>
    </xf>
    <xf numFmtId="184" fontId="22" fillId="0" borderId="0" xfId="7" applyFont="1" applyFill="1" applyBorder="1" applyProtection="1"/>
    <xf numFmtId="198" fontId="9" fillId="6" borderId="32" xfId="8" applyNumberFormat="1" applyFont="1" applyFill="1" applyBorder="1" applyAlignment="1" applyProtection="1">
      <alignment horizontal="right"/>
    </xf>
    <xf numFmtId="198" fontId="9" fillId="6" borderId="33" xfId="0" applyNumberFormat="1" applyFont="1" applyFill="1" applyBorder="1" applyProtection="1"/>
    <xf numFmtId="0" fontId="1" fillId="0" borderId="25" xfId="0" applyFont="1" applyBorder="1"/>
    <xf numFmtId="0" fontId="1" fillId="0" borderId="26" xfId="0" applyFont="1" applyBorder="1"/>
    <xf numFmtId="183" fontId="53" fillId="6" borderId="26" xfId="0" applyNumberFormat="1" applyFont="1" applyFill="1" applyBorder="1"/>
    <xf numFmtId="184" fontId="31" fillId="5" borderId="43" xfId="6" applyNumberFormat="1" applyFont="1" applyFill="1" applyBorder="1" applyAlignment="1" applyProtection="1">
      <alignment horizontal="left" vertical="center" wrapText="1"/>
    </xf>
    <xf numFmtId="184" fontId="31" fillId="5" borderId="44" xfId="6" applyNumberFormat="1" applyFont="1" applyFill="1" applyBorder="1" applyAlignment="1" applyProtection="1">
      <alignment horizontal="left" vertical="center" wrapText="1"/>
    </xf>
    <xf numFmtId="184" fontId="31" fillId="5" borderId="45" xfId="6" applyNumberFormat="1" applyFont="1" applyFill="1" applyBorder="1" applyAlignment="1" applyProtection="1">
      <alignment horizontal="left" vertical="center" wrapText="1"/>
    </xf>
    <xf numFmtId="0" fontId="20" fillId="0" borderId="26" xfId="0" applyFont="1" applyBorder="1"/>
    <xf numFmtId="0" fontId="1" fillId="0" borderId="38" xfId="0" applyFont="1" applyBorder="1"/>
    <xf numFmtId="184" fontId="41" fillId="0" borderId="0" xfId="7" applyFont="1" applyProtection="1"/>
    <xf numFmtId="184" fontId="18" fillId="0" borderId="5" xfId="6" applyNumberFormat="1" applyFont="1" applyBorder="1" applyAlignment="1" applyProtection="1">
      <alignment horizontal="left" vertical="top"/>
    </xf>
    <xf numFmtId="184" fontId="2" fillId="0" borderId="5" xfId="6" applyNumberFormat="1" applyFont="1" applyBorder="1" applyAlignment="1" applyProtection="1">
      <alignment vertical="top"/>
    </xf>
    <xf numFmtId="184" fontId="14" fillId="0" borderId="3" xfId="6" applyFont="1" applyBorder="1" applyAlignment="1" applyProtection="1">
      <alignment vertical="top"/>
    </xf>
    <xf numFmtId="184" fontId="14" fillId="0" borderId="10" xfId="6" applyNumberFormat="1" applyFont="1" applyBorder="1" applyAlignment="1" applyProtection="1">
      <alignment horizontal="left" vertical="top"/>
    </xf>
    <xf numFmtId="184" fontId="14" fillId="0" borderId="7" xfId="6" applyNumberFormat="1" applyFont="1" applyBorder="1" applyAlignment="1" applyProtection="1">
      <alignment horizontal="left" vertical="top"/>
    </xf>
    <xf numFmtId="184" fontId="27" fillId="0" borderId="3" xfId="6" applyFont="1" applyBorder="1" applyAlignment="1" applyProtection="1">
      <alignment vertical="top"/>
    </xf>
    <xf numFmtId="184" fontId="2" fillId="0" borderId="6" xfId="6" applyNumberFormat="1" applyFont="1" applyBorder="1" applyAlignment="1" applyProtection="1">
      <alignment horizontal="left" vertical="top"/>
    </xf>
    <xf numFmtId="202" fontId="53" fillId="0" borderId="0" xfId="8" applyNumberFormat="1" applyFont="1" applyAlignment="1">
      <alignment horizontal="left"/>
    </xf>
    <xf numFmtId="202" fontId="53" fillId="0" borderId="0" xfId="8" applyNumberFormat="1" applyFont="1" applyAlignment="1"/>
    <xf numFmtId="184" fontId="31" fillId="5" borderId="26" xfId="6" applyNumberFormat="1" applyFont="1" applyFill="1" applyBorder="1" applyAlignment="1" applyProtection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84" fontId="31" fillId="5" borderId="44" xfId="6" applyNumberFormat="1" applyFont="1" applyFill="1" applyBorder="1" applyAlignment="1" applyProtection="1">
      <alignment horizontal="center" vertical="center" wrapText="1"/>
    </xf>
    <xf numFmtId="202" fontId="53" fillId="0" borderId="0" xfId="8" applyNumberFormat="1" applyFont="1" applyAlignment="1">
      <alignment horizontal="center"/>
    </xf>
    <xf numFmtId="49" fontId="9" fillId="0" borderId="17" xfId="6" applyNumberFormat="1" applyFont="1" applyBorder="1" applyAlignment="1" applyProtection="1">
      <alignment horizontal="center" vertical="center"/>
      <protection locked="0"/>
    </xf>
    <xf numFmtId="49" fontId="9" fillId="0" borderId="34" xfId="6" applyNumberFormat="1" applyFont="1" applyBorder="1" applyAlignment="1" applyProtection="1">
      <alignment horizontal="center" vertical="center"/>
      <protection locked="0"/>
    </xf>
    <xf numFmtId="49" fontId="9" fillId="0" borderId="25" xfId="6" applyNumberFormat="1" applyFont="1" applyBorder="1" applyAlignment="1" applyProtection="1">
      <alignment horizontal="center" vertical="center"/>
      <protection locked="0"/>
    </xf>
    <xf numFmtId="49" fontId="9" fillId="0" borderId="26" xfId="6" applyNumberFormat="1" applyFont="1" applyBorder="1" applyAlignment="1" applyProtection="1">
      <alignment horizontal="center" vertical="center"/>
      <protection locked="0"/>
    </xf>
    <xf numFmtId="49" fontId="9" fillId="0" borderId="45" xfId="6" applyNumberFormat="1" applyFont="1" applyBorder="1" applyAlignment="1" applyProtection="1">
      <alignment horizontal="center" vertical="center"/>
      <protection locked="0"/>
    </xf>
    <xf numFmtId="184" fontId="31" fillId="5" borderId="17" xfId="6" applyNumberFormat="1" applyFont="1" applyFill="1" applyBorder="1" applyAlignment="1" applyProtection="1">
      <alignment horizontal="center" vertical="center" wrapText="1"/>
    </xf>
    <xf numFmtId="184" fontId="31" fillId="5" borderId="34" xfId="6" applyNumberFormat="1" applyFont="1" applyFill="1" applyBorder="1" applyAlignment="1" applyProtection="1">
      <alignment horizontal="center" vertical="center" wrapText="1"/>
    </xf>
    <xf numFmtId="49" fontId="9" fillId="0" borderId="14" xfId="6" applyNumberFormat="1" applyFont="1" applyBorder="1" applyAlignment="1" applyProtection="1">
      <alignment horizontal="center" vertical="center"/>
      <protection locked="0"/>
    </xf>
    <xf numFmtId="49" fontId="9" fillId="0" borderId="1" xfId="6" applyNumberFormat="1" applyFont="1" applyBorder="1" applyAlignment="1" applyProtection="1">
      <alignment horizontal="center" vertical="center"/>
      <protection locked="0"/>
    </xf>
    <xf numFmtId="49" fontId="9" fillId="0" borderId="46" xfId="6" applyNumberFormat="1" applyFont="1" applyBorder="1" applyAlignment="1" applyProtection="1">
      <alignment horizontal="center" vertical="center"/>
      <protection locked="0"/>
    </xf>
    <xf numFmtId="184" fontId="31" fillId="5" borderId="19" xfId="6" applyNumberFormat="1" applyFont="1" applyFill="1" applyBorder="1" applyAlignment="1" applyProtection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9" fillId="0" borderId="47" xfId="7" applyNumberFormat="1" applyFont="1" applyBorder="1" applyAlignment="1" applyProtection="1">
      <alignment horizontal="center"/>
      <protection locked="0"/>
    </xf>
    <xf numFmtId="49" fontId="9" fillId="0" borderId="34" xfId="7" applyNumberFormat="1" applyFont="1" applyBorder="1" applyAlignment="1" applyProtection="1">
      <alignment horizontal="center"/>
      <protection locked="0"/>
    </xf>
    <xf numFmtId="49" fontId="9" fillId="0" borderId="19" xfId="7" applyNumberFormat="1" applyFont="1" applyBorder="1" applyAlignment="1" applyProtection="1">
      <alignment horizontal="center"/>
      <protection locked="0"/>
    </xf>
    <xf numFmtId="49" fontId="9" fillId="0" borderId="23" xfId="7" applyNumberFormat="1" applyFont="1" applyBorder="1" applyAlignment="1" applyProtection="1">
      <alignment horizontal="center"/>
      <protection locked="0"/>
    </xf>
  </cellXfs>
  <cellStyles count="9">
    <cellStyle name="Comma [0]_EXPRPTFM" xfId="1" xr:uid="{C9A98270-F1A2-4F83-91F3-BA50B8FBC944}"/>
    <cellStyle name="Comma_EXPRPTFM" xfId="2" xr:uid="{27782E7D-DD22-46B0-84E2-C3FE60A4531C}"/>
    <cellStyle name="Currency [0]_EXPRPTFM" xfId="3" xr:uid="{6F6243BD-D1AB-4242-B7AA-39103E502D48}"/>
    <cellStyle name="Currency_EXPRPTFM" xfId="4" xr:uid="{D8719965-9675-4C2A-AB6C-6105E5CF860A}"/>
    <cellStyle name="Currency_EXPRPTFM (2)" xfId="5" xr:uid="{668FA664-85F7-41BA-B801-D510441CF95E}"/>
    <cellStyle name="Normal_EXPRPTFM" xfId="6" xr:uid="{B62BC13B-ECB6-4CB9-BB2C-C6DDD9AACA74}"/>
    <cellStyle name="Normal_EXPRPTFM (2)" xfId="7" xr:uid="{487F2662-9FAA-4AF0-87AB-ABD22F8900B6}"/>
    <cellStyle name="常规" xfId="0" builtinId="0"/>
    <cellStyle name="千位分隔" xfId="8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142875</xdr:rowOff>
    </xdr:from>
    <xdr:to>
      <xdr:col>7</xdr:col>
      <xdr:colOff>28575</xdr:colOff>
      <xdr:row>1</xdr:row>
      <xdr:rowOff>142875</xdr:rowOff>
    </xdr:to>
    <xdr:sp macro="" textlink="">
      <xdr:nvSpPr>
        <xdr:cNvPr id="8195" name="Line 1">
          <a:extLst>
            <a:ext uri="{FF2B5EF4-FFF2-40B4-BE49-F238E27FC236}">
              <a16:creationId xmlns:a16="http://schemas.microsoft.com/office/drawing/2014/main" id="{B3A30C06-B388-D2FB-FC8A-8ED150798340}"/>
            </a:ext>
          </a:extLst>
        </xdr:cNvPr>
        <xdr:cNvSpPr>
          <a:spLocks noChangeShapeType="1"/>
        </xdr:cNvSpPr>
      </xdr:nvSpPr>
      <xdr:spPr bwMode="auto">
        <a:xfrm>
          <a:off x="2071688" y="314325"/>
          <a:ext cx="20050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</xdr:row>
      <xdr:rowOff>142875</xdr:rowOff>
    </xdr:from>
    <xdr:to>
      <xdr:col>9</xdr:col>
      <xdr:colOff>0</xdr:colOff>
      <xdr:row>1</xdr:row>
      <xdr:rowOff>142875</xdr:rowOff>
    </xdr:to>
    <xdr:sp macro="" textlink="">
      <xdr:nvSpPr>
        <xdr:cNvPr id="8196" name="Line 2">
          <a:extLst>
            <a:ext uri="{FF2B5EF4-FFF2-40B4-BE49-F238E27FC236}">
              <a16:creationId xmlns:a16="http://schemas.microsoft.com/office/drawing/2014/main" id="{B06FA905-B19D-E2AB-10F6-CFE165C7564E}"/>
            </a:ext>
          </a:extLst>
        </xdr:cNvPr>
        <xdr:cNvSpPr>
          <a:spLocks noChangeShapeType="1"/>
        </xdr:cNvSpPr>
      </xdr:nvSpPr>
      <xdr:spPr bwMode="auto">
        <a:xfrm flipH="1">
          <a:off x="4048125" y="314325"/>
          <a:ext cx="13811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0</xdr:row>
          <xdr:rowOff>0</xdr:rowOff>
        </xdr:from>
        <xdr:to>
          <xdr:col>1</xdr:col>
          <xdr:colOff>52388</xdr:colOff>
          <xdr:row>3</xdr:row>
          <xdr:rowOff>38100</xdr:rowOff>
        </xdr:to>
        <xdr:sp macro="" textlink="">
          <xdr:nvSpPr>
            <xdr:cNvPr id="1033" name="Picture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91C3C02B-00E2-F801-A49A-96D2B6510C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9525</xdr:colOff>
      <xdr:row>27</xdr:row>
      <xdr:rowOff>152400</xdr:rowOff>
    </xdr:from>
    <xdr:to>
      <xdr:col>6</xdr:col>
      <xdr:colOff>9525</xdr:colOff>
      <xdr:row>27</xdr:row>
      <xdr:rowOff>152400</xdr:rowOff>
    </xdr:to>
    <xdr:sp macro="" textlink="">
      <xdr:nvSpPr>
        <xdr:cNvPr id="1048" name="Line 11">
          <a:extLst>
            <a:ext uri="{FF2B5EF4-FFF2-40B4-BE49-F238E27FC236}">
              <a16:creationId xmlns:a16="http://schemas.microsoft.com/office/drawing/2014/main" id="{84DC40BA-C33C-D7FC-1B1D-BB2660B208AC}"/>
            </a:ext>
          </a:extLst>
        </xdr:cNvPr>
        <xdr:cNvSpPr>
          <a:spLocks noChangeShapeType="1"/>
        </xdr:cNvSpPr>
      </xdr:nvSpPr>
      <xdr:spPr bwMode="auto">
        <a:xfrm>
          <a:off x="1447800" y="6729413"/>
          <a:ext cx="26860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</xdr:colOff>
      <xdr:row>27</xdr:row>
      <xdr:rowOff>152400</xdr:rowOff>
    </xdr:from>
    <xdr:to>
      <xdr:col>8</xdr:col>
      <xdr:colOff>0</xdr:colOff>
      <xdr:row>27</xdr:row>
      <xdr:rowOff>152400</xdr:rowOff>
    </xdr:to>
    <xdr:sp macro="" textlink="">
      <xdr:nvSpPr>
        <xdr:cNvPr id="1049" name="Line 12">
          <a:extLst>
            <a:ext uri="{FF2B5EF4-FFF2-40B4-BE49-F238E27FC236}">
              <a16:creationId xmlns:a16="http://schemas.microsoft.com/office/drawing/2014/main" id="{F1180492-C430-5593-287F-488624F8B2A3}"/>
            </a:ext>
          </a:extLst>
        </xdr:cNvPr>
        <xdr:cNvSpPr>
          <a:spLocks noChangeShapeType="1"/>
        </xdr:cNvSpPr>
      </xdr:nvSpPr>
      <xdr:spPr bwMode="auto">
        <a:xfrm>
          <a:off x="4152900" y="6729413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27</xdr:row>
      <xdr:rowOff>152400</xdr:rowOff>
    </xdr:from>
    <xdr:to>
      <xdr:col>6</xdr:col>
      <xdr:colOff>9525</xdr:colOff>
      <xdr:row>27</xdr:row>
      <xdr:rowOff>152400</xdr:rowOff>
    </xdr:to>
    <xdr:sp macro="" textlink="">
      <xdr:nvSpPr>
        <xdr:cNvPr id="1050" name="Line 15">
          <a:extLst>
            <a:ext uri="{FF2B5EF4-FFF2-40B4-BE49-F238E27FC236}">
              <a16:creationId xmlns:a16="http://schemas.microsoft.com/office/drawing/2014/main" id="{D1DBC4CD-A5A1-4A3D-84C9-16999551415C}"/>
            </a:ext>
          </a:extLst>
        </xdr:cNvPr>
        <xdr:cNvSpPr>
          <a:spLocks noChangeShapeType="1"/>
        </xdr:cNvSpPr>
      </xdr:nvSpPr>
      <xdr:spPr bwMode="auto">
        <a:xfrm>
          <a:off x="0" y="6729413"/>
          <a:ext cx="4133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27</xdr:row>
      <xdr:rowOff>152400</xdr:rowOff>
    </xdr:from>
    <xdr:to>
      <xdr:col>8</xdr:col>
      <xdr:colOff>938213</xdr:colOff>
      <xdr:row>27</xdr:row>
      <xdr:rowOff>152400</xdr:rowOff>
    </xdr:to>
    <xdr:sp macro="" textlink="">
      <xdr:nvSpPr>
        <xdr:cNvPr id="1051" name="Line 16">
          <a:extLst>
            <a:ext uri="{FF2B5EF4-FFF2-40B4-BE49-F238E27FC236}">
              <a16:creationId xmlns:a16="http://schemas.microsoft.com/office/drawing/2014/main" id="{8B6069EF-5D94-3815-FF0C-882B6124CAED}"/>
            </a:ext>
          </a:extLst>
        </xdr:cNvPr>
        <xdr:cNvSpPr>
          <a:spLocks noChangeShapeType="1"/>
        </xdr:cNvSpPr>
      </xdr:nvSpPr>
      <xdr:spPr bwMode="auto">
        <a:xfrm flipH="1">
          <a:off x="4124325" y="6729413"/>
          <a:ext cx="27670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42</xdr:row>
      <xdr:rowOff>161925</xdr:rowOff>
    </xdr:from>
    <xdr:to>
      <xdr:col>9</xdr:col>
      <xdr:colOff>9525</xdr:colOff>
      <xdr:row>42</xdr:row>
      <xdr:rowOff>161925</xdr:rowOff>
    </xdr:to>
    <xdr:sp macro="" textlink="">
      <xdr:nvSpPr>
        <xdr:cNvPr id="1052" name="Line 17">
          <a:extLst>
            <a:ext uri="{FF2B5EF4-FFF2-40B4-BE49-F238E27FC236}">
              <a16:creationId xmlns:a16="http://schemas.microsoft.com/office/drawing/2014/main" id="{8E94BCDD-E096-5BD3-BCEA-C77113532C22}"/>
            </a:ext>
          </a:extLst>
        </xdr:cNvPr>
        <xdr:cNvSpPr>
          <a:spLocks noChangeShapeType="1"/>
        </xdr:cNvSpPr>
      </xdr:nvSpPr>
      <xdr:spPr bwMode="auto">
        <a:xfrm>
          <a:off x="9525" y="10948988"/>
          <a:ext cx="690086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42</xdr:row>
      <xdr:rowOff>171450</xdr:rowOff>
    </xdr:from>
    <xdr:to>
      <xdr:col>9</xdr:col>
      <xdr:colOff>876300</xdr:colOff>
      <xdr:row>42</xdr:row>
      <xdr:rowOff>171450</xdr:rowOff>
    </xdr:to>
    <xdr:sp macro="" textlink="">
      <xdr:nvSpPr>
        <xdr:cNvPr id="1053" name="Line 20">
          <a:extLst>
            <a:ext uri="{FF2B5EF4-FFF2-40B4-BE49-F238E27FC236}">
              <a16:creationId xmlns:a16="http://schemas.microsoft.com/office/drawing/2014/main" id="{020F172A-ED2D-1BCE-873F-AEF331551B5D}"/>
            </a:ext>
          </a:extLst>
        </xdr:cNvPr>
        <xdr:cNvSpPr>
          <a:spLocks noChangeShapeType="1"/>
        </xdr:cNvSpPr>
      </xdr:nvSpPr>
      <xdr:spPr bwMode="auto">
        <a:xfrm>
          <a:off x="6900863" y="10958513"/>
          <a:ext cx="876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152400</xdr:rowOff>
    </xdr:from>
    <xdr:to>
      <xdr:col>9</xdr:col>
      <xdr:colOff>876300</xdr:colOff>
      <xdr:row>27</xdr:row>
      <xdr:rowOff>152400</xdr:rowOff>
    </xdr:to>
    <xdr:sp macro="" textlink="">
      <xdr:nvSpPr>
        <xdr:cNvPr id="1054" name="Line 23">
          <a:extLst>
            <a:ext uri="{FF2B5EF4-FFF2-40B4-BE49-F238E27FC236}">
              <a16:creationId xmlns:a16="http://schemas.microsoft.com/office/drawing/2014/main" id="{2819174A-E4E1-B10E-015B-62C532AE905D}"/>
            </a:ext>
          </a:extLst>
        </xdr:cNvPr>
        <xdr:cNvSpPr>
          <a:spLocks noChangeShapeType="1"/>
        </xdr:cNvSpPr>
      </xdr:nvSpPr>
      <xdr:spPr bwMode="auto">
        <a:xfrm>
          <a:off x="6900863" y="6729413"/>
          <a:ext cx="876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214313</xdr:colOff>
      <xdr:row>49</xdr:row>
      <xdr:rowOff>295275</xdr:rowOff>
    </xdr:from>
    <xdr:to>
      <xdr:col>13</xdr:col>
      <xdr:colOff>214313</xdr:colOff>
      <xdr:row>52</xdr:row>
      <xdr:rowOff>219075</xdr:rowOff>
    </xdr:to>
    <xdr:sp macro="" textlink="">
      <xdr:nvSpPr>
        <xdr:cNvPr id="2062" name="Line 2">
          <a:extLst>
            <a:ext uri="{FF2B5EF4-FFF2-40B4-BE49-F238E27FC236}">
              <a16:creationId xmlns:a16="http://schemas.microsoft.com/office/drawing/2014/main" id="{7112C6E2-D835-F29E-0AE2-5A274B318006}"/>
            </a:ext>
          </a:extLst>
        </xdr:cNvPr>
        <xdr:cNvSpPr>
          <a:spLocks noChangeShapeType="1"/>
        </xdr:cNvSpPr>
      </xdr:nvSpPr>
      <xdr:spPr bwMode="auto">
        <a:xfrm>
          <a:off x="9958388" y="13239750"/>
          <a:ext cx="0" cy="838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214313</xdr:colOff>
      <xdr:row>43</xdr:row>
      <xdr:rowOff>0</xdr:rowOff>
    </xdr:from>
    <xdr:to>
      <xdr:col>13</xdr:col>
      <xdr:colOff>233363</xdr:colOff>
      <xdr:row>50</xdr:row>
      <xdr:rowOff>38100</xdr:rowOff>
    </xdr:to>
    <xdr:sp macro="" textlink="">
      <xdr:nvSpPr>
        <xdr:cNvPr id="2063" name="Line 3">
          <a:extLst>
            <a:ext uri="{FF2B5EF4-FFF2-40B4-BE49-F238E27FC236}">
              <a16:creationId xmlns:a16="http://schemas.microsoft.com/office/drawing/2014/main" id="{F08F0DD4-78FB-38B0-0E13-5A4947D0814E}"/>
            </a:ext>
          </a:extLst>
        </xdr:cNvPr>
        <xdr:cNvSpPr>
          <a:spLocks noChangeShapeType="1"/>
        </xdr:cNvSpPr>
      </xdr:nvSpPr>
      <xdr:spPr bwMode="auto">
        <a:xfrm flipV="1">
          <a:off x="9958388" y="11553825"/>
          <a:ext cx="19050" cy="1733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366713</xdr:colOff>
      <xdr:row>47</xdr:row>
      <xdr:rowOff>285750</xdr:rowOff>
    </xdr:from>
    <xdr:to>
      <xdr:col>13</xdr:col>
      <xdr:colOff>100013</xdr:colOff>
      <xdr:row>50</xdr:row>
      <xdr:rowOff>57150</xdr:rowOff>
    </xdr:to>
    <xdr:sp macro="" textlink="">
      <xdr:nvSpPr>
        <xdr:cNvPr id="2052" name="Text 4">
          <a:extLst>
            <a:ext uri="{FF2B5EF4-FFF2-40B4-BE49-F238E27FC236}">
              <a16:creationId xmlns:a16="http://schemas.microsoft.com/office/drawing/2014/main" id="{35498053-6054-C1A5-81AB-BEA8F5D1365F}"/>
            </a:ext>
          </a:extLst>
        </xdr:cNvPr>
        <xdr:cNvSpPr txBox="1">
          <a:spLocks noChangeArrowheads="1"/>
        </xdr:cNvSpPr>
      </xdr:nvSpPr>
      <xdr:spPr bwMode="auto">
        <a:xfrm>
          <a:off x="9305925" y="12620625"/>
          <a:ext cx="538163" cy="685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Must be</a:t>
          </a:r>
        </a:p>
        <a:p>
          <a:pPr algn="l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equal</a:t>
          </a:r>
        </a:p>
      </xdr:txBody>
    </xdr:sp>
    <xdr:clientData/>
  </xdr:twoCellAnchor>
  <xdr:twoCellAnchor>
    <xdr:from>
      <xdr:col>9</xdr:col>
      <xdr:colOff>390525</xdr:colOff>
      <xdr:row>42</xdr:row>
      <xdr:rowOff>76200</xdr:rowOff>
    </xdr:from>
    <xdr:to>
      <xdr:col>11</xdr:col>
      <xdr:colOff>100013</xdr:colOff>
      <xdr:row>46</xdr:row>
      <xdr:rowOff>95250</xdr:rowOff>
    </xdr:to>
    <xdr:sp macro="" textlink="">
      <xdr:nvSpPr>
        <xdr:cNvPr id="2065" name="Line 10">
          <a:extLst>
            <a:ext uri="{FF2B5EF4-FFF2-40B4-BE49-F238E27FC236}">
              <a16:creationId xmlns:a16="http://schemas.microsoft.com/office/drawing/2014/main" id="{262F8D15-4C8A-9ACB-A2FA-7F002912BA56}"/>
            </a:ext>
          </a:extLst>
        </xdr:cNvPr>
        <xdr:cNvSpPr>
          <a:spLocks noChangeShapeType="1"/>
        </xdr:cNvSpPr>
      </xdr:nvSpPr>
      <xdr:spPr bwMode="auto">
        <a:xfrm>
          <a:off x="6900863" y="11430000"/>
          <a:ext cx="1476375" cy="81915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</xdr:colOff>
      <xdr:row>47</xdr:row>
      <xdr:rowOff>171450</xdr:rowOff>
    </xdr:from>
    <xdr:to>
      <xdr:col>10</xdr:col>
      <xdr:colOff>0</xdr:colOff>
      <xdr:row>47</xdr:row>
      <xdr:rowOff>171450</xdr:rowOff>
    </xdr:to>
    <xdr:sp macro="" textlink="">
      <xdr:nvSpPr>
        <xdr:cNvPr id="2066" name="Line 11">
          <a:extLst>
            <a:ext uri="{FF2B5EF4-FFF2-40B4-BE49-F238E27FC236}">
              <a16:creationId xmlns:a16="http://schemas.microsoft.com/office/drawing/2014/main" id="{326CF9F9-B37B-DE88-4C50-D7EFC26293A8}"/>
            </a:ext>
          </a:extLst>
        </xdr:cNvPr>
        <xdr:cNvSpPr>
          <a:spLocks noChangeShapeType="1"/>
        </xdr:cNvSpPr>
      </xdr:nvSpPr>
      <xdr:spPr bwMode="auto">
        <a:xfrm>
          <a:off x="485775" y="12506325"/>
          <a:ext cx="6924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47</xdr:row>
      <xdr:rowOff>171450</xdr:rowOff>
    </xdr:from>
    <xdr:to>
      <xdr:col>11</xdr:col>
      <xdr:colOff>0</xdr:colOff>
      <xdr:row>47</xdr:row>
      <xdr:rowOff>171450</xdr:rowOff>
    </xdr:to>
    <xdr:sp macro="" textlink="">
      <xdr:nvSpPr>
        <xdr:cNvPr id="2067" name="Line 13">
          <a:extLst>
            <a:ext uri="{FF2B5EF4-FFF2-40B4-BE49-F238E27FC236}">
              <a16:creationId xmlns:a16="http://schemas.microsoft.com/office/drawing/2014/main" id="{3C09F0EC-9CB2-5645-CF8D-3F20C6D312E5}"/>
            </a:ext>
          </a:extLst>
        </xdr:cNvPr>
        <xdr:cNvSpPr>
          <a:spLocks noChangeShapeType="1"/>
        </xdr:cNvSpPr>
      </xdr:nvSpPr>
      <xdr:spPr bwMode="auto">
        <a:xfrm>
          <a:off x="7410450" y="12506325"/>
          <a:ext cx="8667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90488</xdr:colOff>
      <xdr:row>46</xdr:row>
      <xdr:rowOff>38100</xdr:rowOff>
    </xdr:from>
    <xdr:to>
      <xdr:col>12</xdr:col>
      <xdr:colOff>661988</xdr:colOff>
      <xdr:row>48</xdr:row>
      <xdr:rowOff>266700</xdr:rowOff>
    </xdr:to>
    <xdr:sp macro="" textlink="">
      <xdr:nvSpPr>
        <xdr:cNvPr id="3078" name="Text 6">
          <a:extLst>
            <a:ext uri="{FF2B5EF4-FFF2-40B4-BE49-F238E27FC236}">
              <a16:creationId xmlns:a16="http://schemas.microsoft.com/office/drawing/2014/main" id="{C58CC8FD-5B49-6E8A-76DE-DE948D38D5C1}"/>
            </a:ext>
          </a:extLst>
        </xdr:cNvPr>
        <xdr:cNvSpPr txBox="1">
          <a:spLocks noChangeArrowheads="1"/>
        </xdr:cNvSpPr>
      </xdr:nvSpPr>
      <xdr:spPr bwMode="auto">
        <a:xfrm>
          <a:off x="9548813" y="12592050"/>
          <a:ext cx="571500" cy="714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Must  be</a:t>
          </a:r>
        </a:p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equal</a:t>
          </a:r>
        </a:p>
      </xdr:txBody>
    </xdr:sp>
    <xdr:clientData/>
  </xdr:twoCellAnchor>
  <xdr:twoCellAnchor>
    <xdr:from>
      <xdr:col>9</xdr:col>
      <xdr:colOff>390525</xdr:colOff>
      <xdr:row>42</xdr:row>
      <xdr:rowOff>76200</xdr:rowOff>
    </xdr:from>
    <xdr:to>
      <xdr:col>11</xdr:col>
      <xdr:colOff>100013</xdr:colOff>
      <xdr:row>46</xdr:row>
      <xdr:rowOff>95250</xdr:rowOff>
    </xdr:to>
    <xdr:sp macro="" textlink="">
      <xdr:nvSpPr>
        <xdr:cNvPr id="3095" name="Line 11">
          <a:extLst>
            <a:ext uri="{FF2B5EF4-FFF2-40B4-BE49-F238E27FC236}">
              <a16:creationId xmlns:a16="http://schemas.microsoft.com/office/drawing/2014/main" id="{55BA753C-F30E-48C3-0EDF-B808CA433FAF}"/>
            </a:ext>
          </a:extLst>
        </xdr:cNvPr>
        <xdr:cNvSpPr>
          <a:spLocks noChangeShapeType="1"/>
        </xdr:cNvSpPr>
      </xdr:nvSpPr>
      <xdr:spPr bwMode="auto">
        <a:xfrm>
          <a:off x="6977063" y="11830050"/>
          <a:ext cx="1752600" cy="81915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742950</xdr:colOff>
      <xdr:row>42</xdr:row>
      <xdr:rowOff>180975</xdr:rowOff>
    </xdr:from>
    <xdr:to>
      <xdr:col>12</xdr:col>
      <xdr:colOff>742950</xdr:colOff>
      <xdr:row>50</xdr:row>
      <xdr:rowOff>152400</xdr:rowOff>
    </xdr:to>
    <xdr:sp macro="" textlink="">
      <xdr:nvSpPr>
        <xdr:cNvPr id="3096" name="Line 17">
          <a:extLst>
            <a:ext uri="{FF2B5EF4-FFF2-40B4-BE49-F238E27FC236}">
              <a16:creationId xmlns:a16="http://schemas.microsoft.com/office/drawing/2014/main" id="{7B2ED5BD-6635-CF41-CE13-D71010BD048E}"/>
            </a:ext>
          </a:extLst>
        </xdr:cNvPr>
        <xdr:cNvSpPr>
          <a:spLocks noChangeShapeType="1"/>
        </xdr:cNvSpPr>
      </xdr:nvSpPr>
      <xdr:spPr bwMode="auto">
        <a:xfrm flipV="1">
          <a:off x="10201275" y="11934825"/>
          <a:ext cx="0" cy="1866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742950</xdr:colOff>
      <xdr:row>50</xdr:row>
      <xdr:rowOff>142875</xdr:rowOff>
    </xdr:from>
    <xdr:to>
      <xdr:col>12</xdr:col>
      <xdr:colOff>742950</xdr:colOff>
      <xdr:row>53</xdr:row>
      <xdr:rowOff>190500</xdr:rowOff>
    </xdr:to>
    <xdr:sp macro="" textlink="">
      <xdr:nvSpPr>
        <xdr:cNvPr id="3097" name="Line 18">
          <a:extLst>
            <a:ext uri="{FF2B5EF4-FFF2-40B4-BE49-F238E27FC236}">
              <a16:creationId xmlns:a16="http://schemas.microsoft.com/office/drawing/2014/main" id="{36FEA4A2-C5E7-6217-73F5-A4F7E17AD0BF}"/>
            </a:ext>
          </a:extLst>
        </xdr:cNvPr>
        <xdr:cNvSpPr>
          <a:spLocks noChangeShapeType="1"/>
        </xdr:cNvSpPr>
      </xdr:nvSpPr>
      <xdr:spPr bwMode="auto">
        <a:xfrm>
          <a:off x="10201275" y="13792200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47</xdr:row>
      <xdr:rowOff>171450</xdr:rowOff>
    </xdr:from>
    <xdr:to>
      <xdr:col>10</xdr:col>
      <xdr:colOff>0</xdr:colOff>
      <xdr:row>47</xdr:row>
      <xdr:rowOff>171450</xdr:rowOff>
    </xdr:to>
    <xdr:sp macro="" textlink="">
      <xdr:nvSpPr>
        <xdr:cNvPr id="3098" name="Line 20">
          <a:extLst>
            <a:ext uri="{FF2B5EF4-FFF2-40B4-BE49-F238E27FC236}">
              <a16:creationId xmlns:a16="http://schemas.microsoft.com/office/drawing/2014/main" id="{CA8D6AED-7850-9E98-8A34-FC3384F1B031}"/>
            </a:ext>
          </a:extLst>
        </xdr:cNvPr>
        <xdr:cNvSpPr>
          <a:spLocks noChangeShapeType="1"/>
        </xdr:cNvSpPr>
      </xdr:nvSpPr>
      <xdr:spPr bwMode="auto">
        <a:xfrm>
          <a:off x="438150" y="12906375"/>
          <a:ext cx="72628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47</xdr:row>
      <xdr:rowOff>171450</xdr:rowOff>
    </xdr:from>
    <xdr:to>
      <xdr:col>11</xdr:col>
      <xdr:colOff>0</xdr:colOff>
      <xdr:row>47</xdr:row>
      <xdr:rowOff>171450</xdr:rowOff>
    </xdr:to>
    <xdr:sp macro="" textlink="">
      <xdr:nvSpPr>
        <xdr:cNvPr id="3099" name="Line 21">
          <a:extLst>
            <a:ext uri="{FF2B5EF4-FFF2-40B4-BE49-F238E27FC236}">
              <a16:creationId xmlns:a16="http://schemas.microsoft.com/office/drawing/2014/main" id="{8ECF37F0-29E2-D0C5-096D-D5E01CD7DF00}"/>
            </a:ext>
          </a:extLst>
        </xdr:cNvPr>
        <xdr:cNvSpPr>
          <a:spLocks noChangeShapeType="1"/>
        </xdr:cNvSpPr>
      </xdr:nvSpPr>
      <xdr:spPr bwMode="auto">
        <a:xfrm>
          <a:off x="7700963" y="12906375"/>
          <a:ext cx="92868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43</xdr:row>
      <xdr:rowOff>47625</xdr:rowOff>
    </xdr:from>
    <xdr:to>
      <xdr:col>13</xdr:col>
      <xdr:colOff>314325</xdr:colOff>
      <xdr:row>53</xdr:row>
      <xdr:rowOff>9525</xdr:rowOff>
    </xdr:to>
    <xdr:sp macro="" textlink="">
      <xdr:nvSpPr>
        <xdr:cNvPr id="4110" name="Line 2">
          <a:extLst>
            <a:ext uri="{FF2B5EF4-FFF2-40B4-BE49-F238E27FC236}">
              <a16:creationId xmlns:a16="http://schemas.microsoft.com/office/drawing/2014/main" id="{8A4512CC-66C8-8F9D-DD93-86C8FBD2A891}"/>
            </a:ext>
          </a:extLst>
        </xdr:cNvPr>
        <xdr:cNvSpPr>
          <a:spLocks noChangeShapeType="1"/>
        </xdr:cNvSpPr>
      </xdr:nvSpPr>
      <xdr:spPr bwMode="auto">
        <a:xfrm>
          <a:off x="9825038" y="11849100"/>
          <a:ext cx="0" cy="2571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400050</xdr:colOff>
      <xdr:row>47</xdr:row>
      <xdr:rowOff>200025</xdr:rowOff>
    </xdr:from>
    <xdr:to>
      <xdr:col>13</xdr:col>
      <xdr:colOff>152400</xdr:colOff>
      <xdr:row>49</xdr:row>
      <xdr:rowOff>238125</xdr:rowOff>
    </xdr:to>
    <xdr:sp macro="" textlink="">
      <xdr:nvSpPr>
        <xdr:cNvPr id="4100" name="Text 4">
          <a:extLst>
            <a:ext uri="{FF2B5EF4-FFF2-40B4-BE49-F238E27FC236}">
              <a16:creationId xmlns:a16="http://schemas.microsoft.com/office/drawing/2014/main" id="{A482C8B4-067D-120A-2817-971A568F4A77}"/>
            </a:ext>
          </a:extLst>
        </xdr:cNvPr>
        <xdr:cNvSpPr txBox="1">
          <a:spLocks noChangeArrowheads="1"/>
        </xdr:cNvSpPr>
      </xdr:nvSpPr>
      <xdr:spPr bwMode="auto">
        <a:xfrm>
          <a:off x="9134475" y="12782550"/>
          <a:ext cx="528638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Must be</a:t>
          </a:r>
        </a:p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equal</a:t>
          </a:r>
        </a:p>
      </xdr:txBody>
    </xdr:sp>
    <xdr:clientData/>
  </xdr:twoCellAnchor>
  <xdr:twoCellAnchor>
    <xdr:from>
      <xdr:col>9</xdr:col>
      <xdr:colOff>338138</xdr:colOff>
      <xdr:row>42</xdr:row>
      <xdr:rowOff>95250</xdr:rowOff>
    </xdr:from>
    <xdr:to>
      <xdr:col>11</xdr:col>
      <xdr:colOff>133350</xdr:colOff>
      <xdr:row>46</xdr:row>
      <xdr:rowOff>123825</xdr:rowOff>
    </xdr:to>
    <xdr:sp macro="" textlink="">
      <xdr:nvSpPr>
        <xdr:cNvPr id="4112" name="Line 7">
          <a:extLst>
            <a:ext uri="{FF2B5EF4-FFF2-40B4-BE49-F238E27FC236}">
              <a16:creationId xmlns:a16="http://schemas.microsoft.com/office/drawing/2014/main" id="{DB143990-CF9A-A56B-41EA-C0315A094120}"/>
            </a:ext>
          </a:extLst>
        </xdr:cNvPr>
        <xdr:cNvSpPr>
          <a:spLocks noChangeShapeType="1"/>
        </xdr:cNvSpPr>
      </xdr:nvSpPr>
      <xdr:spPr bwMode="auto">
        <a:xfrm>
          <a:off x="6548438" y="11696700"/>
          <a:ext cx="1604962" cy="82867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9525</xdr:colOff>
      <xdr:row>47</xdr:row>
      <xdr:rowOff>171450</xdr:rowOff>
    </xdr:from>
    <xdr:to>
      <xdr:col>9</xdr:col>
      <xdr:colOff>881063</xdr:colOff>
      <xdr:row>47</xdr:row>
      <xdr:rowOff>171450</xdr:rowOff>
    </xdr:to>
    <xdr:sp macro="" textlink="">
      <xdr:nvSpPr>
        <xdr:cNvPr id="4113" name="Line 12">
          <a:extLst>
            <a:ext uri="{FF2B5EF4-FFF2-40B4-BE49-F238E27FC236}">
              <a16:creationId xmlns:a16="http://schemas.microsoft.com/office/drawing/2014/main" id="{53EBC3CA-0AF0-6360-114F-DC87CA3AFDE4}"/>
            </a:ext>
          </a:extLst>
        </xdr:cNvPr>
        <xdr:cNvSpPr>
          <a:spLocks noChangeShapeType="1"/>
        </xdr:cNvSpPr>
      </xdr:nvSpPr>
      <xdr:spPr bwMode="auto">
        <a:xfrm>
          <a:off x="419100" y="12753975"/>
          <a:ext cx="667226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47</xdr:row>
      <xdr:rowOff>171450</xdr:rowOff>
    </xdr:from>
    <xdr:to>
      <xdr:col>11</xdr:col>
      <xdr:colOff>0</xdr:colOff>
      <xdr:row>47</xdr:row>
      <xdr:rowOff>171450</xdr:rowOff>
    </xdr:to>
    <xdr:sp macro="" textlink="">
      <xdr:nvSpPr>
        <xdr:cNvPr id="4114" name="Line 13">
          <a:extLst>
            <a:ext uri="{FF2B5EF4-FFF2-40B4-BE49-F238E27FC236}">
              <a16:creationId xmlns:a16="http://schemas.microsoft.com/office/drawing/2014/main" id="{61DE641D-A387-5C9A-4019-5F3B671DEBA1}"/>
            </a:ext>
          </a:extLst>
        </xdr:cNvPr>
        <xdr:cNvSpPr>
          <a:spLocks noChangeShapeType="1"/>
        </xdr:cNvSpPr>
      </xdr:nvSpPr>
      <xdr:spPr bwMode="auto">
        <a:xfrm>
          <a:off x="7110413" y="12753975"/>
          <a:ext cx="9096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214313</xdr:colOff>
      <xdr:row>42</xdr:row>
      <xdr:rowOff>28575</xdr:rowOff>
    </xdr:from>
    <xdr:to>
      <xdr:col>13</xdr:col>
      <xdr:colOff>214313</xdr:colOff>
      <xdr:row>52</xdr:row>
      <xdr:rowOff>219075</xdr:rowOff>
    </xdr:to>
    <xdr:sp macro="" textlink="">
      <xdr:nvSpPr>
        <xdr:cNvPr id="5136" name="Line 2">
          <a:extLst>
            <a:ext uri="{FF2B5EF4-FFF2-40B4-BE49-F238E27FC236}">
              <a16:creationId xmlns:a16="http://schemas.microsoft.com/office/drawing/2014/main" id="{3A87BC54-9A2B-2316-461F-15649DF75D35}"/>
            </a:ext>
          </a:extLst>
        </xdr:cNvPr>
        <xdr:cNvSpPr>
          <a:spLocks noChangeShapeType="1"/>
        </xdr:cNvSpPr>
      </xdr:nvSpPr>
      <xdr:spPr bwMode="auto">
        <a:xfrm>
          <a:off x="9848850" y="11372850"/>
          <a:ext cx="0" cy="2695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214313</xdr:colOff>
      <xdr:row>49</xdr:row>
      <xdr:rowOff>295275</xdr:rowOff>
    </xdr:from>
    <xdr:to>
      <xdr:col>13</xdr:col>
      <xdr:colOff>214313</xdr:colOff>
      <xdr:row>52</xdr:row>
      <xdr:rowOff>219075</xdr:rowOff>
    </xdr:to>
    <xdr:sp macro="" textlink="">
      <xdr:nvSpPr>
        <xdr:cNvPr id="5137" name="Line 10">
          <a:extLst>
            <a:ext uri="{FF2B5EF4-FFF2-40B4-BE49-F238E27FC236}">
              <a16:creationId xmlns:a16="http://schemas.microsoft.com/office/drawing/2014/main" id="{B9EB3644-C5B8-A2E4-DCA3-326D9D0C685E}"/>
            </a:ext>
          </a:extLst>
        </xdr:cNvPr>
        <xdr:cNvSpPr>
          <a:spLocks noChangeShapeType="1"/>
        </xdr:cNvSpPr>
      </xdr:nvSpPr>
      <xdr:spPr bwMode="auto">
        <a:xfrm>
          <a:off x="9848850" y="13230225"/>
          <a:ext cx="0" cy="838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366713</xdr:colOff>
      <xdr:row>47</xdr:row>
      <xdr:rowOff>285750</xdr:rowOff>
    </xdr:from>
    <xdr:to>
      <xdr:col>13</xdr:col>
      <xdr:colOff>100013</xdr:colOff>
      <xdr:row>50</xdr:row>
      <xdr:rowOff>57150</xdr:rowOff>
    </xdr:to>
    <xdr:sp macro="" textlink="">
      <xdr:nvSpPr>
        <xdr:cNvPr id="5131" name="Text 11">
          <a:extLst>
            <a:ext uri="{FF2B5EF4-FFF2-40B4-BE49-F238E27FC236}">
              <a16:creationId xmlns:a16="http://schemas.microsoft.com/office/drawing/2014/main" id="{9184C316-97A4-AF59-2E49-A0D3FC769C9E}"/>
            </a:ext>
          </a:extLst>
        </xdr:cNvPr>
        <xdr:cNvSpPr txBox="1">
          <a:spLocks noChangeArrowheads="1"/>
        </xdr:cNvSpPr>
      </xdr:nvSpPr>
      <xdr:spPr bwMode="auto">
        <a:xfrm>
          <a:off x="9196388" y="12611100"/>
          <a:ext cx="538162" cy="685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Must be</a:t>
          </a:r>
        </a:p>
        <a:p>
          <a:pPr algn="l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equal</a:t>
          </a:r>
        </a:p>
      </xdr:txBody>
    </xdr:sp>
    <xdr:clientData/>
  </xdr:twoCellAnchor>
  <xdr:twoCellAnchor>
    <xdr:from>
      <xdr:col>9</xdr:col>
      <xdr:colOff>385763</xdr:colOff>
      <xdr:row>42</xdr:row>
      <xdr:rowOff>76200</xdr:rowOff>
    </xdr:from>
    <xdr:to>
      <xdr:col>11</xdr:col>
      <xdr:colOff>100013</xdr:colOff>
      <xdr:row>46</xdr:row>
      <xdr:rowOff>95250</xdr:rowOff>
    </xdr:to>
    <xdr:sp macro="" textlink="">
      <xdr:nvSpPr>
        <xdr:cNvPr id="5139" name="Line 12">
          <a:extLst>
            <a:ext uri="{FF2B5EF4-FFF2-40B4-BE49-F238E27FC236}">
              <a16:creationId xmlns:a16="http://schemas.microsoft.com/office/drawing/2014/main" id="{84283A40-E9BA-8AB9-E984-E349B6C6AD7C}"/>
            </a:ext>
          </a:extLst>
        </xdr:cNvPr>
        <xdr:cNvSpPr>
          <a:spLocks noChangeShapeType="1"/>
        </xdr:cNvSpPr>
      </xdr:nvSpPr>
      <xdr:spPr bwMode="auto">
        <a:xfrm>
          <a:off x="6705600" y="11420475"/>
          <a:ext cx="1562100" cy="81915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</xdr:colOff>
      <xdr:row>47</xdr:row>
      <xdr:rowOff>171450</xdr:rowOff>
    </xdr:from>
    <xdr:to>
      <xdr:col>10</xdr:col>
      <xdr:colOff>0</xdr:colOff>
      <xdr:row>47</xdr:row>
      <xdr:rowOff>171450</xdr:rowOff>
    </xdr:to>
    <xdr:sp macro="" textlink="">
      <xdr:nvSpPr>
        <xdr:cNvPr id="5140" name="Line 14">
          <a:extLst>
            <a:ext uri="{FF2B5EF4-FFF2-40B4-BE49-F238E27FC236}">
              <a16:creationId xmlns:a16="http://schemas.microsoft.com/office/drawing/2014/main" id="{2BE03777-6E23-C453-6B62-ABA04978EA92}"/>
            </a:ext>
          </a:extLst>
        </xdr:cNvPr>
        <xdr:cNvSpPr>
          <a:spLocks noChangeShapeType="1"/>
        </xdr:cNvSpPr>
      </xdr:nvSpPr>
      <xdr:spPr bwMode="auto">
        <a:xfrm>
          <a:off x="485775" y="12496800"/>
          <a:ext cx="6753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47</xdr:row>
      <xdr:rowOff>171450</xdr:rowOff>
    </xdr:from>
    <xdr:to>
      <xdr:col>11</xdr:col>
      <xdr:colOff>0</xdr:colOff>
      <xdr:row>47</xdr:row>
      <xdr:rowOff>171450</xdr:rowOff>
    </xdr:to>
    <xdr:sp macro="" textlink="">
      <xdr:nvSpPr>
        <xdr:cNvPr id="5141" name="Line 15">
          <a:extLst>
            <a:ext uri="{FF2B5EF4-FFF2-40B4-BE49-F238E27FC236}">
              <a16:creationId xmlns:a16="http://schemas.microsoft.com/office/drawing/2014/main" id="{8539451A-BD17-EA73-3B65-56BF24D3A1ED}"/>
            </a:ext>
          </a:extLst>
        </xdr:cNvPr>
        <xdr:cNvSpPr>
          <a:spLocks noChangeShapeType="1"/>
        </xdr:cNvSpPr>
      </xdr:nvSpPr>
      <xdr:spPr bwMode="auto">
        <a:xfrm>
          <a:off x="7239000" y="12496800"/>
          <a:ext cx="9286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90488</xdr:colOff>
      <xdr:row>46</xdr:row>
      <xdr:rowOff>38100</xdr:rowOff>
    </xdr:from>
    <xdr:to>
      <xdr:col>12</xdr:col>
      <xdr:colOff>666750</xdr:colOff>
      <xdr:row>48</xdr:row>
      <xdr:rowOff>266700</xdr:rowOff>
    </xdr:to>
    <xdr:sp macro="" textlink="">
      <xdr:nvSpPr>
        <xdr:cNvPr id="6155" name="Text 11">
          <a:extLst>
            <a:ext uri="{FF2B5EF4-FFF2-40B4-BE49-F238E27FC236}">
              <a16:creationId xmlns:a16="http://schemas.microsoft.com/office/drawing/2014/main" id="{D6673298-08FA-80CC-7B58-A0E2F99C88FE}"/>
            </a:ext>
          </a:extLst>
        </xdr:cNvPr>
        <xdr:cNvSpPr txBox="1">
          <a:spLocks noChangeArrowheads="1"/>
        </xdr:cNvSpPr>
      </xdr:nvSpPr>
      <xdr:spPr bwMode="auto">
        <a:xfrm>
          <a:off x="9686925" y="12887325"/>
          <a:ext cx="576263" cy="714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Must  be</a:t>
          </a:r>
        </a:p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equal</a:t>
          </a:r>
        </a:p>
      </xdr:txBody>
    </xdr:sp>
    <xdr:clientData/>
  </xdr:twoCellAnchor>
  <xdr:twoCellAnchor>
    <xdr:from>
      <xdr:col>9</xdr:col>
      <xdr:colOff>390525</xdr:colOff>
      <xdr:row>42</xdr:row>
      <xdr:rowOff>76200</xdr:rowOff>
    </xdr:from>
    <xdr:to>
      <xdr:col>11</xdr:col>
      <xdr:colOff>100013</xdr:colOff>
      <xdr:row>46</xdr:row>
      <xdr:rowOff>95250</xdr:rowOff>
    </xdr:to>
    <xdr:sp macro="" textlink="">
      <xdr:nvSpPr>
        <xdr:cNvPr id="6168" name="Line 13">
          <a:extLst>
            <a:ext uri="{FF2B5EF4-FFF2-40B4-BE49-F238E27FC236}">
              <a16:creationId xmlns:a16="http://schemas.microsoft.com/office/drawing/2014/main" id="{1D17FBB8-DFBB-9BE6-ADFB-218A4DEDE5A2}"/>
            </a:ext>
          </a:extLst>
        </xdr:cNvPr>
        <xdr:cNvSpPr>
          <a:spLocks noChangeShapeType="1"/>
        </xdr:cNvSpPr>
      </xdr:nvSpPr>
      <xdr:spPr bwMode="auto">
        <a:xfrm>
          <a:off x="6972300" y="12125325"/>
          <a:ext cx="1895475" cy="819150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747713</xdr:colOff>
      <xdr:row>42</xdr:row>
      <xdr:rowOff>180975</xdr:rowOff>
    </xdr:from>
    <xdr:to>
      <xdr:col>12</xdr:col>
      <xdr:colOff>747713</xdr:colOff>
      <xdr:row>50</xdr:row>
      <xdr:rowOff>152400</xdr:rowOff>
    </xdr:to>
    <xdr:sp macro="" textlink="">
      <xdr:nvSpPr>
        <xdr:cNvPr id="6169" name="Line 14">
          <a:extLst>
            <a:ext uri="{FF2B5EF4-FFF2-40B4-BE49-F238E27FC236}">
              <a16:creationId xmlns:a16="http://schemas.microsoft.com/office/drawing/2014/main" id="{53E8564B-1680-C6FD-1577-ADFE3D2996E1}"/>
            </a:ext>
          </a:extLst>
        </xdr:cNvPr>
        <xdr:cNvSpPr>
          <a:spLocks noChangeShapeType="1"/>
        </xdr:cNvSpPr>
      </xdr:nvSpPr>
      <xdr:spPr bwMode="auto">
        <a:xfrm flipV="1">
          <a:off x="10344150" y="12230100"/>
          <a:ext cx="0" cy="1866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747713</xdr:colOff>
      <xdr:row>50</xdr:row>
      <xdr:rowOff>142875</xdr:rowOff>
    </xdr:from>
    <xdr:to>
      <xdr:col>12</xdr:col>
      <xdr:colOff>747713</xdr:colOff>
      <xdr:row>53</xdr:row>
      <xdr:rowOff>190500</xdr:rowOff>
    </xdr:to>
    <xdr:sp macro="" textlink="">
      <xdr:nvSpPr>
        <xdr:cNvPr id="6170" name="Line 15">
          <a:extLst>
            <a:ext uri="{FF2B5EF4-FFF2-40B4-BE49-F238E27FC236}">
              <a16:creationId xmlns:a16="http://schemas.microsoft.com/office/drawing/2014/main" id="{AF88EDDC-BAF5-69DA-40D5-E31458DB4ACB}"/>
            </a:ext>
          </a:extLst>
        </xdr:cNvPr>
        <xdr:cNvSpPr>
          <a:spLocks noChangeShapeType="1"/>
        </xdr:cNvSpPr>
      </xdr:nvSpPr>
      <xdr:spPr bwMode="auto">
        <a:xfrm>
          <a:off x="10344150" y="14087475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</xdr:colOff>
      <xdr:row>47</xdr:row>
      <xdr:rowOff>152400</xdr:rowOff>
    </xdr:from>
    <xdr:to>
      <xdr:col>10</xdr:col>
      <xdr:colOff>0</xdr:colOff>
      <xdr:row>47</xdr:row>
      <xdr:rowOff>152400</xdr:rowOff>
    </xdr:to>
    <xdr:sp macro="" textlink="">
      <xdr:nvSpPr>
        <xdr:cNvPr id="6171" name="Line 20">
          <a:extLst>
            <a:ext uri="{FF2B5EF4-FFF2-40B4-BE49-F238E27FC236}">
              <a16:creationId xmlns:a16="http://schemas.microsoft.com/office/drawing/2014/main" id="{03A95234-CCD7-597F-E431-F493EBB586B2}"/>
            </a:ext>
          </a:extLst>
        </xdr:cNvPr>
        <xdr:cNvSpPr>
          <a:spLocks noChangeShapeType="1"/>
        </xdr:cNvSpPr>
      </xdr:nvSpPr>
      <xdr:spPr bwMode="auto">
        <a:xfrm>
          <a:off x="466725" y="13182600"/>
          <a:ext cx="7229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47</xdr:row>
      <xdr:rowOff>152400</xdr:rowOff>
    </xdr:from>
    <xdr:to>
      <xdr:col>11</xdr:col>
      <xdr:colOff>0</xdr:colOff>
      <xdr:row>47</xdr:row>
      <xdr:rowOff>152400</xdr:rowOff>
    </xdr:to>
    <xdr:sp macro="" textlink="">
      <xdr:nvSpPr>
        <xdr:cNvPr id="6172" name="Line 21">
          <a:extLst>
            <a:ext uri="{FF2B5EF4-FFF2-40B4-BE49-F238E27FC236}">
              <a16:creationId xmlns:a16="http://schemas.microsoft.com/office/drawing/2014/main" id="{A200F704-69B9-C966-9A01-85AB4DB86BA3}"/>
            </a:ext>
          </a:extLst>
        </xdr:cNvPr>
        <xdr:cNvSpPr>
          <a:spLocks noChangeShapeType="1"/>
        </xdr:cNvSpPr>
      </xdr:nvSpPr>
      <xdr:spPr bwMode="auto">
        <a:xfrm>
          <a:off x="7696200" y="13182600"/>
          <a:ext cx="107156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43</xdr:row>
      <xdr:rowOff>47625</xdr:rowOff>
    </xdr:from>
    <xdr:to>
      <xdr:col>13</xdr:col>
      <xdr:colOff>314325</xdr:colOff>
      <xdr:row>53</xdr:row>
      <xdr:rowOff>9525</xdr:rowOff>
    </xdr:to>
    <xdr:sp macro="" textlink="">
      <xdr:nvSpPr>
        <xdr:cNvPr id="7185" name="Line 9">
          <a:extLst>
            <a:ext uri="{FF2B5EF4-FFF2-40B4-BE49-F238E27FC236}">
              <a16:creationId xmlns:a16="http://schemas.microsoft.com/office/drawing/2014/main" id="{BFA19122-8787-C650-8661-E2F39BA098ED}"/>
            </a:ext>
          </a:extLst>
        </xdr:cNvPr>
        <xdr:cNvSpPr>
          <a:spLocks noChangeShapeType="1"/>
        </xdr:cNvSpPr>
      </xdr:nvSpPr>
      <xdr:spPr bwMode="auto">
        <a:xfrm>
          <a:off x="9796463" y="11849100"/>
          <a:ext cx="0" cy="2571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400050</xdr:colOff>
      <xdr:row>47</xdr:row>
      <xdr:rowOff>200025</xdr:rowOff>
    </xdr:from>
    <xdr:to>
      <xdr:col>13</xdr:col>
      <xdr:colOff>152400</xdr:colOff>
      <xdr:row>49</xdr:row>
      <xdr:rowOff>238125</xdr:rowOff>
    </xdr:to>
    <xdr:sp macro="" textlink="">
      <xdr:nvSpPr>
        <xdr:cNvPr id="7178" name="Text 10">
          <a:extLst>
            <a:ext uri="{FF2B5EF4-FFF2-40B4-BE49-F238E27FC236}">
              <a16:creationId xmlns:a16="http://schemas.microsoft.com/office/drawing/2014/main" id="{84F3B741-18A1-BBA9-314A-75F21D93731D}"/>
            </a:ext>
          </a:extLst>
        </xdr:cNvPr>
        <xdr:cNvSpPr txBox="1">
          <a:spLocks noChangeArrowheads="1"/>
        </xdr:cNvSpPr>
      </xdr:nvSpPr>
      <xdr:spPr bwMode="auto">
        <a:xfrm>
          <a:off x="9105900" y="12782550"/>
          <a:ext cx="528638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Must be</a:t>
          </a:r>
        </a:p>
        <a:p>
          <a:pPr algn="ctr" rtl="0">
            <a:defRPr sz="1000"/>
          </a:pPr>
          <a:r>
            <a:rPr lang="zh-CN" alt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equal</a:t>
          </a:r>
        </a:p>
      </xdr:txBody>
    </xdr:sp>
    <xdr:clientData/>
  </xdr:twoCellAnchor>
  <xdr:twoCellAnchor>
    <xdr:from>
      <xdr:col>9</xdr:col>
      <xdr:colOff>338138</xdr:colOff>
      <xdr:row>42</xdr:row>
      <xdr:rowOff>95250</xdr:rowOff>
    </xdr:from>
    <xdr:to>
      <xdr:col>11</xdr:col>
      <xdr:colOff>133350</xdr:colOff>
      <xdr:row>46</xdr:row>
      <xdr:rowOff>123825</xdr:rowOff>
    </xdr:to>
    <xdr:sp macro="" textlink="">
      <xdr:nvSpPr>
        <xdr:cNvPr id="7187" name="Line 12">
          <a:extLst>
            <a:ext uri="{FF2B5EF4-FFF2-40B4-BE49-F238E27FC236}">
              <a16:creationId xmlns:a16="http://schemas.microsoft.com/office/drawing/2014/main" id="{9254EA56-740A-8A00-8A65-A68AD1851F2E}"/>
            </a:ext>
          </a:extLst>
        </xdr:cNvPr>
        <xdr:cNvSpPr>
          <a:spLocks noChangeShapeType="1"/>
        </xdr:cNvSpPr>
      </xdr:nvSpPr>
      <xdr:spPr bwMode="auto">
        <a:xfrm>
          <a:off x="6519863" y="11696700"/>
          <a:ext cx="1604962" cy="828675"/>
        </a:xfrm>
        <a:prstGeom prst="line">
          <a:avLst/>
        </a:prstGeom>
        <a:noFill/>
        <a:ln w="1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</xdr:colOff>
      <xdr:row>47</xdr:row>
      <xdr:rowOff>152400</xdr:rowOff>
    </xdr:from>
    <xdr:to>
      <xdr:col>10</xdr:col>
      <xdr:colOff>0</xdr:colOff>
      <xdr:row>47</xdr:row>
      <xdr:rowOff>152400</xdr:rowOff>
    </xdr:to>
    <xdr:sp macro="" textlink="">
      <xdr:nvSpPr>
        <xdr:cNvPr id="7188" name="Line 14">
          <a:extLst>
            <a:ext uri="{FF2B5EF4-FFF2-40B4-BE49-F238E27FC236}">
              <a16:creationId xmlns:a16="http://schemas.microsoft.com/office/drawing/2014/main" id="{60E5C328-AFAA-9FC2-2419-5B5AA89E82FB}"/>
            </a:ext>
          </a:extLst>
        </xdr:cNvPr>
        <xdr:cNvSpPr>
          <a:spLocks noChangeShapeType="1"/>
        </xdr:cNvSpPr>
      </xdr:nvSpPr>
      <xdr:spPr bwMode="auto">
        <a:xfrm>
          <a:off x="438150" y="12734925"/>
          <a:ext cx="66436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47</xdr:row>
      <xdr:rowOff>152400</xdr:rowOff>
    </xdr:from>
    <xdr:to>
      <xdr:col>11</xdr:col>
      <xdr:colOff>0</xdr:colOff>
      <xdr:row>47</xdr:row>
      <xdr:rowOff>152400</xdr:rowOff>
    </xdr:to>
    <xdr:sp macro="" textlink="">
      <xdr:nvSpPr>
        <xdr:cNvPr id="7189" name="Line 16">
          <a:extLst>
            <a:ext uri="{FF2B5EF4-FFF2-40B4-BE49-F238E27FC236}">
              <a16:creationId xmlns:a16="http://schemas.microsoft.com/office/drawing/2014/main" id="{145558AD-62E4-7C85-41D2-CDF604F7C13E}"/>
            </a:ext>
          </a:extLst>
        </xdr:cNvPr>
        <xdr:cNvSpPr>
          <a:spLocks noChangeShapeType="1"/>
        </xdr:cNvSpPr>
      </xdr:nvSpPr>
      <xdr:spPr bwMode="auto">
        <a:xfrm>
          <a:off x="7081838" y="12734925"/>
          <a:ext cx="9096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4CF33-3618-4D98-AD1A-8E4375E44586}">
  <dimension ref="A1:K43"/>
  <sheetViews>
    <sheetView zoomScale="75" workbookViewId="0"/>
  </sheetViews>
  <sheetFormatPr defaultColWidth="9.1328125" defaultRowHeight="16.5" customHeight="1" x14ac:dyDescent="0.4"/>
  <cols>
    <col min="1" max="1" width="11.73046875" style="286" customWidth="1"/>
    <col min="2" max="2" width="10.73046875" style="286" customWidth="1"/>
    <col min="3" max="3" width="6.1328125" style="286" customWidth="1"/>
    <col min="4" max="4" width="8" style="286" customWidth="1"/>
    <col min="5" max="5" width="6.59765625" style="286" customWidth="1"/>
    <col min="6" max="7" width="6.73046875" style="286" customWidth="1"/>
    <col min="8" max="8" width="11.73046875" style="286" customWidth="1"/>
    <col min="9" max="9" width="7.59765625" style="286" customWidth="1"/>
    <col min="10" max="10" width="11.1328125" style="359" customWidth="1"/>
    <col min="11" max="11" width="8.3984375" style="359" customWidth="1"/>
    <col min="12" max="16384" width="9.1328125" style="286"/>
  </cols>
  <sheetData>
    <row r="1" spans="1:11" ht="13.5" customHeight="1" x14ac:dyDescent="0.4">
      <c r="A1" s="370"/>
      <c r="B1" s="376" t="s">
        <v>0</v>
      </c>
      <c r="C1" s="371"/>
      <c r="D1" s="371"/>
      <c r="E1" s="371"/>
      <c r="F1" s="371"/>
      <c r="G1" s="371"/>
      <c r="H1" s="371"/>
      <c r="I1" s="371"/>
      <c r="J1" s="371"/>
      <c r="K1" s="377"/>
    </row>
    <row r="2" spans="1:11" ht="19.5" customHeight="1" x14ac:dyDescent="0.4">
      <c r="A2" s="372" t="s">
        <v>1</v>
      </c>
      <c r="B2" s="373" t="s">
        <v>96</v>
      </c>
      <c r="C2" s="373" t="s">
        <v>99</v>
      </c>
      <c r="D2" s="374"/>
      <c r="E2" s="388" t="s">
        <v>100</v>
      </c>
      <c r="F2" s="389"/>
      <c r="G2" s="375"/>
      <c r="H2" s="390" t="s">
        <v>101</v>
      </c>
      <c r="I2" s="388"/>
      <c r="J2" s="366" t="s">
        <v>97</v>
      </c>
      <c r="K2" s="365" t="s">
        <v>98</v>
      </c>
    </row>
    <row r="3" spans="1:11" ht="16.5" customHeight="1" x14ac:dyDescent="0.4">
      <c r="A3" s="290">
        <f>'Short Form'!N27</f>
        <v>0</v>
      </c>
      <c r="B3" s="345">
        <f>'Short Form'!A29</f>
        <v>0</v>
      </c>
      <c r="C3" s="291">
        <f>'Short Form'!B29</f>
        <v>0</v>
      </c>
      <c r="D3" s="386">
        <f>'Short Form'!C29</f>
        <v>0</v>
      </c>
      <c r="E3" s="386"/>
      <c r="F3" s="386"/>
      <c r="G3" s="386"/>
      <c r="H3" s="386">
        <f>'Short Form'!G29</f>
        <v>0</v>
      </c>
      <c r="I3" s="386"/>
      <c r="J3" s="360">
        <f>'Short Form'!I29</f>
        <v>0</v>
      </c>
      <c r="K3" s="361">
        <f>'Short Form'!J29</f>
        <v>0</v>
      </c>
    </row>
    <row r="4" spans="1:11" ht="16.5" customHeight="1" x14ac:dyDescent="0.4">
      <c r="A4" s="346"/>
      <c r="B4" s="346"/>
      <c r="C4" s="346"/>
      <c r="D4" s="386">
        <f>'Short Form'!C30</f>
        <v>0</v>
      </c>
      <c r="E4" s="386"/>
      <c r="F4" s="386"/>
      <c r="G4" s="386"/>
      <c r="H4" s="386">
        <f>'Short Form'!G30</f>
        <v>0</v>
      </c>
      <c r="I4" s="386"/>
      <c r="J4" s="358"/>
      <c r="K4" s="358"/>
    </row>
    <row r="5" spans="1:11" ht="16.5" customHeight="1" x14ac:dyDescent="0.4">
      <c r="A5" s="290">
        <f>'Short Form'!N42</f>
        <v>0</v>
      </c>
      <c r="B5" s="291">
        <f>'Short Form'!A44</f>
        <v>0</v>
      </c>
      <c r="C5" s="291">
        <f>'Short Form'!B44</f>
        <v>0</v>
      </c>
      <c r="D5" s="386">
        <f>'Short Form'!C44</f>
        <v>0</v>
      </c>
      <c r="E5" s="386"/>
      <c r="F5" s="386"/>
      <c r="G5" s="386"/>
      <c r="H5" s="386">
        <f>'Short Form'!G44</f>
        <v>0</v>
      </c>
      <c r="I5" s="386"/>
      <c r="J5" s="361">
        <f>'Short Form'!I44</f>
        <v>0</v>
      </c>
      <c r="K5" s="361">
        <f>'Short Form'!J44</f>
        <v>0</v>
      </c>
    </row>
    <row r="6" spans="1:11" ht="16.5" customHeight="1" x14ac:dyDescent="0.4">
      <c r="A6" s="346"/>
      <c r="B6" s="346"/>
      <c r="C6" s="346"/>
      <c r="D6" s="386">
        <f>'Short Form'!C45</f>
        <v>0</v>
      </c>
      <c r="E6" s="386"/>
      <c r="F6" s="386"/>
      <c r="G6" s="386"/>
      <c r="H6" s="386">
        <f>'Short Form'!G45</f>
        <v>0</v>
      </c>
      <c r="I6" s="386"/>
      <c r="J6" s="358"/>
      <c r="K6" s="358"/>
    </row>
    <row r="7" spans="1:11" ht="16.5" customHeight="1" x14ac:dyDescent="0.4">
      <c r="A7" s="290">
        <f>'Travel Form'!O49</f>
        <v>1709.53</v>
      </c>
      <c r="B7" s="291" t="str">
        <f>'Travel Form'!B49</f>
        <v>52004500</v>
      </c>
      <c r="C7" s="291" t="str">
        <f>'Travel Form'!C49</f>
        <v>0060</v>
      </c>
      <c r="D7" s="386" t="str">
        <f>'Travel Form'!D49:G49</f>
        <v>111102</v>
      </c>
      <c r="E7" s="386"/>
      <c r="F7" s="386"/>
      <c r="G7" s="386"/>
      <c r="H7" s="386">
        <f>'Travel Form'!H49:I49</f>
        <v>0</v>
      </c>
      <c r="I7" s="386"/>
      <c r="J7" s="361">
        <f>'Travel Form'!J49</f>
        <v>0</v>
      </c>
      <c r="K7" s="361">
        <f>'Travel Form'!K49</f>
        <v>0</v>
      </c>
    </row>
    <row r="8" spans="1:11" ht="16.5" customHeight="1" x14ac:dyDescent="0.4">
      <c r="A8" s="348"/>
      <c r="B8" s="346"/>
      <c r="C8" s="346"/>
      <c r="D8" s="386">
        <f>'Travel Form'!D50:G50</f>
        <v>0</v>
      </c>
      <c r="E8" s="386"/>
      <c r="F8" s="386"/>
      <c r="G8" s="386"/>
      <c r="H8" s="386">
        <f>'Travel Form'!H50:I50</f>
        <v>0</v>
      </c>
      <c r="I8" s="386"/>
      <c r="J8" s="358"/>
      <c r="K8" s="358"/>
    </row>
    <row r="9" spans="1:11" ht="16.5" customHeight="1" x14ac:dyDescent="0.4">
      <c r="A9" s="290">
        <f>'Travel Form'!O51</f>
        <v>0</v>
      </c>
      <c r="B9" s="291">
        <f>'Travel Form'!B51</f>
        <v>0</v>
      </c>
      <c r="C9" s="291">
        <f>'Travel Form'!C51</f>
        <v>0</v>
      </c>
      <c r="D9" s="386">
        <f>'Travel Form'!D51:G51</f>
        <v>0</v>
      </c>
      <c r="E9" s="386"/>
      <c r="F9" s="386"/>
      <c r="G9" s="386"/>
      <c r="H9" s="386">
        <f>'Travel Form'!H51:I51</f>
        <v>0</v>
      </c>
      <c r="I9" s="386"/>
      <c r="J9" s="361">
        <f>'Travel Form'!J51</f>
        <v>0</v>
      </c>
      <c r="K9" s="361">
        <f>'Travel Form'!K51</f>
        <v>0</v>
      </c>
    </row>
    <row r="10" spans="1:11" ht="16.5" customHeight="1" x14ac:dyDescent="0.4">
      <c r="A10" s="346"/>
      <c r="B10" s="346"/>
      <c r="C10" s="346"/>
      <c r="D10" s="386">
        <f>'Travel Form'!D52:G52</f>
        <v>0</v>
      </c>
      <c r="E10" s="386"/>
      <c r="F10" s="386"/>
      <c r="G10" s="386"/>
      <c r="H10" s="386">
        <f>'Travel Form'!H52:I52</f>
        <v>0</v>
      </c>
      <c r="I10" s="386"/>
      <c r="J10" s="358"/>
      <c r="K10" s="358"/>
    </row>
    <row r="11" spans="1:11" ht="16.5" customHeight="1" x14ac:dyDescent="0.4">
      <c r="A11" s="290">
        <f>'Travel Form'!O53</f>
        <v>0</v>
      </c>
      <c r="B11" s="291">
        <f>'Travel Form'!B53</f>
        <v>0</v>
      </c>
      <c r="C11" s="291">
        <f>'Travel Form'!C53</f>
        <v>0</v>
      </c>
      <c r="D11" s="386">
        <f>'Travel Form'!D53:G53</f>
        <v>0</v>
      </c>
      <c r="E11" s="386"/>
      <c r="F11" s="386"/>
      <c r="G11" s="386"/>
      <c r="H11" s="386">
        <f>'Travel Form'!H53:I53</f>
        <v>0</v>
      </c>
      <c r="I11" s="386"/>
      <c r="J11" s="361">
        <f>'Travel Form'!J53</f>
        <v>0</v>
      </c>
      <c r="K11" s="361">
        <f>'Travel Form'!K53</f>
        <v>0</v>
      </c>
    </row>
    <row r="12" spans="1:11" ht="16.5" customHeight="1" x14ac:dyDescent="0.4">
      <c r="A12" s="346"/>
      <c r="B12" s="346"/>
      <c r="C12" s="346"/>
      <c r="D12" s="386">
        <f>'Travel Form'!D54:G54</f>
        <v>0</v>
      </c>
      <c r="E12" s="386"/>
      <c r="F12" s="386"/>
      <c r="G12" s="386"/>
      <c r="H12" s="386">
        <f>'Travel Form'!H54:I54</f>
        <v>0</v>
      </c>
      <c r="I12" s="386"/>
      <c r="J12" s="358"/>
      <c r="K12" s="358"/>
    </row>
    <row r="13" spans="1:11" ht="16.5" customHeight="1" x14ac:dyDescent="0.4">
      <c r="A13" s="290">
        <f>'Meals and Ent Sup'!N49</f>
        <v>484.96</v>
      </c>
      <c r="B13" s="291" t="str">
        <f>'Meals and Ent Sup'!B49</f>
        <v>52003000</v>
      </c>
      <c r="C13" s="291" t="str">
        <f>'Meals and Ent Sup'!C49</f>
        <v>0060</v>
      </c>
      <c r="D13" s="386" t="str">
        <f>'Meals and Ent Sup'!D49</f>
        <v>111102</v>
      </c>
      <c r="E13" s="386"/>
      <c r="F13" s="386"/>
      <c r="G13" s="386"/>
      <c r="H13" s="386">
        <f>'Meals and Ent Sup'!H49</f>
        <v>0</v>
      </c>
      <c r="I13" s="386"/>
      <c r="J13" s="361" t="str">
        <f>'Meals and Ent Sup'!J49</f>
        <v>9000060</v>
      </c>
      <c r="K13" s="361">
        <f>'Meals and Ent Sup'!K49</f>
        <v>0</v>
      </c>
    </row>
    <row r="14" spans="1:11" ht="16.5" customHeight="1" x14ac:dyDescent="0.4">
      <c r="A14" s="346"/>
      <c r="B14" s="349"/>
      <c r="C14" s="349"/>
      <c r="D14" s="387">
        <f>'Meals and Ent Sup'!D50</f>
        <v>0</v>
      </c>
      <c r="E14" s="387"/>
      <c r="F14" s="387"/>
      <c r="G14" s="387"/>
      <c r="H14" s="386">
        <f>'Meals and Ent Sup'!H50</f>
        <v>0</v>
      </c>
      <c r="I14" s="386"/>
      <c r="J14" s="362"/>
      <c r="K14" s="362"/>
    </row>
    <row r="15" spans="1:11" ht="16.5" customHeight="1" x14ac:dyDescent="0.4">
      <c r="A15" s="290">
        <f>'Meals and Ent Sup'!N51</f>
        <v>0</v>
      </c>
      <c r="B15" s="291">
        <f>'Meals and Ent Sup'!B51</f>
        <v>0</v>
      </c>
      <c r="C15" s="291">
        <f>'Meals and Ent Sup'!C51</f>
        <v>0</v>
      </c>
      <c r="D15" s="386">
        <f>'Meals and Ent Sup'!D51</f>
        <v>0</v>
      </c>
      <c r="E15" s="386"/>
      <c r="F15" s="386"/>
      <c r="G15" s="386"/>
      <c r="H15" s="386">
        <f>'Meals and Ent Sup'!H51</f>
        <v>0</v>
      </c>
      <c r="I15" s="386"/>
      <c r="J15" s="361">
        <f>'Meals and Ent Sup'!J51</f>
        <v>0</v>
      </c>
      <c r="K15" s="361">
        <f>'Meals and Ent Sup'!K51</f>
        <v>0</v>
      </c>
    </row>
    <row r="16" spans="1:11" ht="16.5" customHeight="1" x14ac:dyDescent="0.4">
      <c r="A16" s="346"/>
      <c r="B16" s="346"/>
      <c r="C16" s="346"/>
      <c r="D16" s="386">
        <f>'Meals and Ent Sup'!D52</f>
        <v>0</v>
      </c>
      <c r="E16" s="386"/>
      <c r="F16" s="386"/>
      <c r="G16" s="386"/>
      <c r="H16" s="386">
        <f>'Meals and Ent Sup'!H52</f>
        <v>0</v>
      </c>
      <c r="I16" s="386"/>
      <c r="J16" s="362"/>
      <c r="K16" s="362"/>
    </row>
    <row r="17" spans="1:11" ht="16.5" customHeight="1" x14ac:dyDescent="0.4">
      <c r="A17" s="290">
        <f>'Meals and Ent Sup'!N53</f>
        <v>0</v>
      </c>
      <c r="B17" s="291">
        <f>'Meals and Ent Sup'!B53</f>
        <v>0</v>
      </c>
      <c r="C17" s="291">
        <f>'Meals and Ent Sup'!C53</f>
        <v>0</v>
      </c>
      <c r="D17" s="386">
        <f>'Meals and Ent Sup'!D53</f>
        <v>0</v>
      </c>
      <c r="E17" s="386"/>
      <c r="F17" s="386"/>
      <c r="G17" s="386"/>
      <c r="H17" s="386">
        <f>'Meals and Ent Sup'!H53</f>
        <v>0</v>
      </c>
      <c r="I17" s="386"/>
      <c r="J17" s="361">
        <f>'Meals and Ent Sup'!J53</f>
        <v>0</v>
      </c>
      <c r="K17" s="361">
        <f>'Meals and Ent Sup'!K53</f>
        <v>0</v>
      </c>
    </row>
    <row r="18" spans="1:11" ht="16.5" customHeight="1" x14ac:dyDescent="0.4">
      <c r="A18" s="346"/>
      <c r="B18" s="346"/>
      <c r="C18" s="346"/>
      <c r="D18" s="386">
        <f>'Meals and Ent Sup'!D54</f>
        <v>0</v>
      </c>
      <c r="E18" s="386"/>
      <c r="F18" s="386"/>
      <c r="G18" s="386"/>
      <c r="H18" s="386">
        <f>'Meals and Ent Sup'!H54</f>
        <v>0</v>
      </c>
      <c r="I18" s="386"/>
      <c r="J18" s="362"/>
      <c r="K18" s="362"/>
    </row>
    <row r="19" spans="1:11" ht="16.5" customHeight="1" x14ac:dyDescent="0.4">
      <c r="A19" s="290">
        <f>'Misc. Exp. Sup'!O49</f>
        <v>11.88</v>
      </c>
      <c r="B19" s="291">
        <f>'Misc. Exp. Sup'!B49</f>
        <v>0</v>
      </c>
      <c r="C19" s="345">
        <f>'Misc. Exp. Sup'!C49</f>
        <v>0</v>
      </c>
      <c r="D19" s="387">
        <f>'Misc. Exp. Sup'!D49</f>
        <v>0</v>
      </c>
      <c r="E19" s="387"/>
      <c r="F19" s="387"/>
      <c r="G19" s="387"/>
      <c r="H19" s="387">
        <f>'Misc. Exp. Sup'!H49</f>
        <v>0</v>
      </c>
      <c r="I19" s="387">
        <f>'Misc. Exp. Sup'!I49</f>
        <v>0</v>
      </c>
      <c r="J19" s="361">
        <f>'Misc. Exp. Sup'!J49</f>
        <v>0</v>
      </c>
      <c r="K19" s="361">
        <f>'Misc. Exp. Sup'!K49</f>
        <v>0</v>
      </c>
    </row>
    <row r="20" spans="1:11" ht="16.5" customHeight="1" x14ac:dyDescent="0.4">
      <c r="A20" s="346"/>
      <c r="B20" s="346"/>
      <c r="C20" s="346"/>
      <c r="D20" s="386">
        <f>'Misc. Exp. Sup'!D50</f>
        <v>0</v>
      </c>
      <c r="E20" s="386"/>
      <c r="F20" s="386"/>
      <c r="G20" s="386"/>
      <c r="H20" s="386">
        <f>'Misc. Exp. Sup'!H50</f>
        <v>0</v>
      </c>
      <c r="I20" s="386">
        <f>'Misc. Exp. Sup'!I50</f>
        <v>0</v>
      </c>
      <c r="J20" s="362"/>
      <c r="K20" s="362"/>
    </row>
    <row r="21" spans="1:11" ht="16.5" customHeight="1" x14ac:dyDescent="0.4">
      <c r="A21" s="290">
        <f>'Misc. Exp. Sup'!O51</f>
        <v>0</v>
      </c>
      <c r="B21" s="291">
        <f>'Misc. Exp. Sup'!B51</f>
        <v>0</v>
      </c>
      <c r="C21" s="291">
        <f>'Misc. Exp. Sup'!C51</f>
        <v>0</v>
      </c>
      <c r="D21" s="386">
        <f>'Misc. Exp. Sup'!D51</f>
        <v>0</v>
      </c>
      <c r="E21" s="386"/>
      <c r="F21" s="386"/>
      <c r="G21" s="386"/>
      <c r="H21" s="386">
        <f>'Misc. Exp. Sup'!H51</f>
        <v>0</v>
      </c>
      <c r="I21" s="386">
        <f>'Misc. Exp. Sup'!I51</f>
        <v>0</v>
      </c>
      <c r="J21" s="361">
        <f>'Misc. Exp. Sup'!J51</f>
        <v>0</v>
      </c>
      <c r="K21" s="361">
        <f>'Misc. Exp. Sup'!K51</f>
        <v>0</v>
      </c>
    </row>
    <row r="22" spans="1:11" ht="16.5" customHeight="1" x14ac:dyDescent="0.4">
      <c r="A22" s="349"/>
      <c r="B22" s="349"/>
      <c r="C22" s="349"/>
      <c r="D22" s="386">
        <f>'Misc. Exp. Sup'!D52</f>
        <v>0</v>
      </c>
      <c r="E22" s="386"/>
      <c r="F22" s="386"/>
      <c r="G22" s="386"/>
      <c r="H22" s="386">
        <f>'Misc. Exp. Sup'!H52</f>
        <v>0</v>
      </c>
      <c r="I22" s="386">
        <f>'Misc. Exp. Sup'!I52</f>
        <v>0</v>
      </c>
      <c r="J22" s="362"/>
      <c r="K22" s="362"/>
    </row>
    <row r="23" spans="1:11" ht="16.5" customHeight="1" x14ac:dyDescent="0.4">
      <c r="A23" s="290">
        <f>'Misc. Exp. Sup'!O53</f>
        <v>0</v>
      </c>
      <c r="B23" s="291">
        <f>'Misc. Exp. Sup'!B53</f>
        <v>0</v>
      </c>
      <c r="C23" s="291">
        <f>'Misc. Exp. Sup'!C53</f>
        <v>0</v>
      </c>
      <c r="D23" s="386">
        <f>'Misc. Exp. Sup'!D53</f>
        <v>0</v>
      </c>
      <c r="E23" s="386"/>
      <c r="F23" s="386"/>
      <c r="G23" s="386"/>
      <c r="H23" s="386">
        <f>'Misc. Exp. Sup'!H53</f>
        <v>0</v>
      </c>
      <c r="I23" s="386">
        <f>'Misc. Exp. Sup'!I53</f>
        <v>0</v>
      </c>
      <c r="J23" s="361">
        <f>'Misc. Exp. Sup'!J53</f>
        <v>0</v>
      </c>
      <c r="K23" s="361">
        <f>'Misc. Exp. Sup'!K53</f>
        <v>0</v>
      </c>
    </row>
    <row r="24" spans="1:11" ht="16.5" customHeight="1" x14ac:dyDescent="0.4">
      <c r="A24" s="349"/>
      <c r="B24" s="349"/>
      <c r="C24" s="349"/>
      <c r="D24" s="386">
        <f>'Misc. Exp. Sup'!D54</f>
        <v>0</v>
      </c>
      <c r="E24" s="386"/>
      <c r="F24" s="386"/>
      <c r="G24" s="386"/>
      <c r="H24" s="386">
        <f>'Misc. Exp. Sup'!H54</f>
        <v>0</v>
      </c>
      <c r="I24" s="386">
        <f>'Misc. Exp. Sup'!I54</f>
        <v>0</v>
      </c>
      <c r="J24" s="362"/>
      <c r="K24" s="362"/>
    </row>
    <row r="25" spans="1:11" ht="16.5" customHeight="1" x14ac:dyDescent="0.4">
      <c r="A25" s="290">
        <f>'Travel Sup (2)'!O49</f>
        <v>0</v>
      </c>
      <c r="B25" s="345">
        <f>'Travel Sup (2)'!B49</f>
        <v>0</v>
      </c>
      <c r="C25" s="291">
        <f>'Travel Sup (2)'!C49</f>
        <v>0</v>
      </c>
      <c r="D25" s="387">
        <f>'Travel Sup (2)'!D49</f>
        <v>0</v>
      </c>
      <c r="E25" s="387"/>
      <c r="F25" s="387"/>
      <c r="G25" s="387"/>
      <c r="H25" s="386">
        <f>'Travel Sup (2)'!H49</f>
        <v>0</v>
      </c>
      <c r="I25" s="386"/>
      <c r="J25" s="361">
        <f>'Travel Sup (2)'!J49</f>
        <v>0</v>
      </c>
      <c r="K25" s="361">
        <f>'Travel Sup (2)'!K49</f>
        <v>0</v>
      </c>
    </row>
    <row r="26" spans="1:11" ht="16.5" customHeight="1" x14ac:dyDescent="0.4">
      <c r="A26" s="349"/>
      <c r="B26" s="349"/>
      <c r="C26" s="349"/>
      <c r="D26" s="386">
        <f>'Travel Sup (2)'!D50</f>
        <v>0</v>
      </c>
      <c r="E26" s="386"/>
      <c r="F26" s="386"/>
      <c r="G26" s="386"/>
      <c r="H26" s="386">
        <f>'Travel Sup (2)'!H50</f>
        <v>0</v>
      </c>
      <c r="I26" s="386"/>
      <c r="J26" s="362"/>
      <c r="K26" s="362"/>
    </row>
    <row r="27" spans="1:11" ht="16.5" customHeight="1" x14ac:dyDescent="0.4">
      <c r="A27" s="290">
        <f>'Travel Sup (2)'!O51</f>
        <v>0</v>
      </c>
      <c r="B27" s="291">
        <f>'Travel Sup (2)'!B51</f>
        <v>0</v>
      </c>
      <c r="C27" s="291">
        <f>'Travel Sup (2)'!C51</f>
        <v>0</v>
      </c>
      <c r="D27" s="387">
        <f>'Travel Sup (2)'!D51</f>
        <v>0</v>
      </c>
      <c r="E27" s="387"/>
      <c r="F27" s="387"/>
      <c r="G27" s="387"/>
      <c r="H27" s="386">
        <f>'Travel Sup (2)'!H51</f>
        <v>0</v>
      </c>
      <c r="I27" s="386"/>
      <c r="J27" s="361">
        <f>'Travel Sup (2)'!J51</f>
        <v>0</v>
      </c>
      <c r="K27" s="361">
        <f>'Travel Sup (2)'!K51</f>
        <v>0</v>
      </c>
    </row>
    <row r="28" spans="1:11" ht="16.5" customHeight="1" x14ac:dyDescent="0.4">
      <c r="A28" s="349"/>
      <c r="B28" s="349"/>
      <c r="C28" s="349"/>
      <c r="D28" s="387">
        <f>'Travel Sup (2)'!D52</f>
        <v>0</v>
      </c>
      <c r="E28" s="387"/>
      <c r="F28" s="387"/>
      <c r="G28" s="387"/>
      <c r="H28" s="386">
        <f>'Travel Sup (2)'!H52</f>
        <v>0</v>
      </c>
      <c r="I28" s="386"/>
      <c r="J28" s="362"/>
      <c r="K28" s="362"/>
    </row>
    <row r="29" spans="1:11" ht="16.5" customHeight="1" x14ac:dyDescent="0.4">
      <c r="A29" s="290">
        <f>'Travel Sup (2)'!O53</f>
        <v>0</v>
      </c>
      <c r="B29" s="291">
        <f>'Travel Sup (2)'!B53</f>
        <v>0</v>
      </c>
      <c r="C29" s="291">
        <f>'Travel Sup (2)'!C53</f>
        <v>0</v>
      </c>
      <c r="D29" s="387">
        <f>'Travel Sup (2)'!D53</f>
        <v>0</v>
      </c>
      <c r="E29" s="387"/>
      <c r="F29" s="387"/>
      <c r="G29" s="387"/>
      <c r="H29" s="386">
        <f>'Travel Sup (2)'!H53</f>
        <v>0</v>
      </c>
      <c r="I29" s="386"/>
      <c r="J29" s="361">
        <f>'Travel Sup (2)'!J53</f>
        <v>0</v>
      </c>
      <c r="K29" s="361">
        <f>'Travel Sup (2)'!K53</f>
        <v>0</v>
      </c>
    </row>
    <row r="30" spans="1:11" ht="16.5" customHeight="1" x14ac:dyDescent="0.4">
      <c r="A30" s="349"/>
      <c r="B30" s="349"/>
      <c r="C30" s="349"/>
      <c r="D30" s="387">
        <f>'Travel Sup (2)'!D54</f>
        <v>0</v>
      </c>
      <c r="E30" s="387"/>
      <c r="F30" s="387"/>
      <c r="G30" s="387"/>
      <c r="H30" s="386">
        <f>'Travel Sup (2)'!H54</f>
        <v>0</v>
      </c>
      <c r="I30" s="386"/>
      <c r="J30" s="362"/>
      <c r="K30" s="362"/>
    </row>
    <row r="31" spans="1:11" ht="16.5" customHeight="1" x14ac:dyDescent="0.4">
      <c r="A31" s="290">
        <f>'Meals and Ent Sup (2)'!N49</f>
        <v>0</v>
      </c>
      <c r="B31" s="345">
        <f>'Meals and Ent Sup (2)'!B49</f>
        <v>0</v>
      </c>
      <c r="C31" s="291">
        <f>'Meals and Ent Sup (2)'!C49</f>
        <v>0</v>
      </c>
      <c r="D31" s="387">
        <f>'Meals and Ent Sup (2)'!D49</f>
        <v>0</v>
      </c>
      <c r="E31" s="387">
        <f>'Meals and Ent Sup (2)'!E49</f>
        <v>0</v>
      </c>
      <c r="F31" s="387">
        <f>'Meals and Ent Sup (2)'!F49</f>
        <v>0</v>
      </c>
      <c r="G31" s="387">
        <f>'Meals and Ent Sup (2)'!G49</f>
        <v>0</v>
      </c>
      <c r="H31" s="386">
        <f>'Meals and Ent Sup (2)'!H49</f>
        <v>0</v>
      </c>
      <c r="I31" s="386">
        <f>'Meals and Ent Sup (2)'!I49</f>
        <v>0</v>
      </c>
      <c r="J31" s="361">
        <f>'Meals and Ent Sup (2)'!J49</f>
        <v>0</v>
      </c>
      <c r="K31" s="361">
        <f>'Meals and Ent Sup (2)'!K49</f>
        <v>0</v>
      </c>
    </row>
    <row r="32" spans="1:11" ht="16.5" customHeight="1" x14ac:dyDescent="0.4">
      <c r="A32" s="349"/>
      <c r="B32" s="349"/>
      <c r="C32" s="349"/>
      <c r="D32" s="387">
        <f>'Meals and Ent Sup (2)'!D50</f>
        <v>0</v>
      </c>
      <c r="E32" s="387">
        <f>'Meals and Ent Sup (2)'!E50</f>
        <v>0</v>
      </c>
      <c r="F32" s="387">
        <f>'Meals and Ent Sup (2)'!F50</f>
        <v>0</v>
      </c>
      <c r="G32" s="387">
        <f>'Meals and Ent Sup (2)'!G50</f>
        <v>0</v>
      </c>
      <c r="H32" s="386">
        <f>'Meals and Ent Sup (2)'!H50</f>
        <v>0</v>
      </c>
      <c r="I32" s="386">
        <f>'Meals and Ent Sup (2)'!I50</f>
        <v>0</v>
      </c>
      <c r="J32" s="362"/>
      <c r="K32" s="362"/>
    </row>
    <row r="33" spans="1:11" ht="16.5" customHeight="1" x14ac:dyDescent="0.4">
      <c r="A33" s="290">
        <f>'Meals and Ent Sup (2)'!N51</f>
        <v>0</v>
      </c>
      <c r="B33" s="345">
        <f>'Meals and Ent Sup (2)'!B51</f>
        <v>0</v>
      </c>
      <c r="C33" s="291">
        <f>'Meals and Ent Sup (2)'!C51</f>
        <v>0</v>
      </c>
      <c r="D33" s="387">
        <f>'Meals and Ent Sup (2)'!D51</f>
        <v>0</v>
      </c>
      <c r="E33" s="387">
        <f>'Meals and Ent Sup (2)'!E51</f>
        <v>0</v>
      </c>
      <c r="F33" s="387">
        <f>'Meals and Ent Sup (2)'!F51</f>
        <v>0</v>
      </c>
      <c r="G33" s="387">
        <f>'Meals and Ent Sup (2)'!G51</f>
        <v>0</v>
      </c>
      <c r="H33" s="386">
        <f>'Meals and Ent Sup (2)'!H51</f>
        <v>0</v>
      </c>
      <c r="I33" s="386">
        <f>'Meals and Ent Sup (2)'!I51</f>
        <v>0</v>
      </c>
      <c r="J33" s="361">
        <f>'Meals and Ent Sup (2)'!J51</f>
        <v>0</v>
      </c>
      <c r="K33" s="361">
        <f>'Meals and Ent Sup (2)'!K51</f>
        <v>0</v>
      </c>
    </row>
    <row r="34" spans="1:11" ht="16.5" customHeight="1" x14ac:dyDescent="0.4">
      <c r="A34" s="349"/>
      <c r="B34" s="349"/>
      <c r="C34" s="349"/>
      <c r="D34" s="387">
        <f>'Meals and Ent Sup (2)'!D52</f>
        <v>0</v>
      </c>
      <c r="E34" s="387">
        <f>'Meals and Ent Sup (2)'!E52</f>
        <v>0</v>
      </c>
      <c r="F34" s="387">
        <f>'Meals and Ent Sup (2)'!F52</f>
        <v>0</v>
      </c>
      <c r="G34" s="387">
        <f>'Meals and Ent Sup (2)'!G52</f>
        <v>0</v>
      </c>
      <c r="H34" s="386">
        <f>'Meals and Ent Sup (2)'!H52</f>
        <v>0</v>
      </c>
      <c r="I34" s="386">
        <f>'Meals and Ent Sup (2)'!I52</f>
        <v>0</v>
      </c>
      <c r="J34" s="362"/>
      <c r="K34" s="362"/>
    </row>
    <row r="35" spans="1:11" ht="16.5" customHeight="1" x14ac:dyDescent="0.4">
      <c r="A35" s="290">
        <f>'Meals and Ent Sup (2)'!N53</f>
        <v>0</v>
      </c>
      <c r="B35" s="345">
        <f>'Meals and Ent Sup (2)'!B53</f>
        <v>0</v>
      </c>
      <c r="C35" s="291">
        <f>'Meals and Ent Sup (2)'!C53</f>
        <v>0</v>
      </c>
      <c r="D35" s="387">
        <f>'Meals and Ent Sup (2)'!D53</f>
        <v>0</v>
      </c>
      <c r="E35" s="387">
        <f>'Meals and Ent Sup (2)'!E53</f>
        <v>0</v>
      </c>
      <c r="F35" s="387">
        <f>'Meals and Ent Sup (2)'!F53</f>
        <v>0</v>
      </c>
      <c r="G35" s="387">
        <f>'Meals and Ent Sup (2)'!G53</f>
        <v>0</v>
      </c>
      <c r="H35" s="386">
        <f>'Meals and Ent Sup (2)'!H53</f>
        <v>0</v>
      </c>
      <c r="I35" s="386">
        <f>'Meals and Ent Sup (2)'!I53</f>
        <v>0</v>
      </c>
      <c r="J35" s="361">
        <f>'Meals and Ent Sup (2)'!J53</f>
        <v>0</v>
      </c>
      <c r="K35" s="361">
        <f>'Meals and Ent Sup (2)'!K53</f>
        <v>0</v>
      </c>
    </row>
    <row r="36" spans="1:11" ht="16.5" customHeight="1" x14ac:dyDescent="0.4">
      <c r="A36" s="349"/>
      <c r="B36" s="349"/>
      <c r="C36" s="349"/>
      <c r="D36" s="387">
        <f>'Meals and Ent Sup (2)'!D54</f>
        <v>0</v>
      </c>
      <c r="E36" s="387">
        <f>'Meals and Ent Sup (2)'!E54</f>
        <v>0</v>
      </c>
      <c r="F36" s="387">
        <f>'Meals and Ent Sup (2)'!F54</f>
        <v>0</v>
      </c>
      <c r="G36" s="387">
        <f>'Meals and Ent Sup (2)'!G54</f>
        <v>0</v>
      </c>
      <c r="H36" s="386">
        <f>'Meals and Ent Sup (2)'!H54</f>
        <v>0</v>
      </c>
      <c r="I36" s="386">
        <f>'Meals and Ent Sup (2)'!I54</f>
        <v>0</v>
      </c>
      <c r="J36" s="362"/>
      <c r="K36" s="362"/>
    </row>
    <row r="37" spans="1:11" ht="16.5" customHeight="1" x14ac:dyDescent="0.4">
      <c r="A37" s="290">
        <f>'Misc. Exp. Sup (2)'!O49</f>
        <v>0</v>
      </c>
      <c r="B37" s="345">
        <f>'Misc. Exp. Sup (2)'!B49</f>
        <v>0</v>
      </c>
      <c r="C37" s="291">
        <f>'Misc. Exp. Sup (2)'!C49</f>
        <v>0</v>
      </c>
      <c r="D37" s="391">
        <f>'Misc. Exp. Sup (2)'!D49</f>
        <v>0</v>
      </c>
      <c r="E37" s="391"/>
      <c r="F37" s="391"/>
      <c r="G37" s="391"/>
      <c r="H37" s="386">
        <f>'Misc. Exp. Sup (2)'!H49</f>
        <v>0</v>
      </c>
      <c r="I37" s="386">
        <f>'Misc. Exp. Sup (2)'!J49</f>
        <v>0</v>
      </c>
      <c r="J37" s="361">
        <f>'Misc. Exp. Sup (2)'!J49</f>
        <v>0</v>
      </c>
      <c r="K37" s="361">
        <f>'Misc. Exp. Sup (2)'!K49</f>
        <v>0</v>
      </c>
    </row>
    <row r="38" spans="1:11" ht="16.5" customHeight="1" x14ac:dyDescent="0.4">
      <c r="A38" s="349"/>
      <c r="B38" s="349"/>
      <c r="C38" s="349"/>
      <c r="D38" s="387">
        <f>'Misc. Exp. Sup (2)'!D50</f>
        <v>0</v>
      </c>
      <c r="E38" s="387">
        <f>'Misc. Exp. Sup (2)'!F50</f>
        <v>0</v>
      </c>
      <c r="F38" s="387">
        <f>'Misc. Exp. Sup (2)'!G50</f>
        <v>0</v>
      </c>
      <c r="G38" s="387">
        <f>'Misc. Exp. Sup (2)'!H50</f>
        <v>0</v>
      </c>
      <c r="H38" s="386">
        <f>'Misc. Exp. Sup (2)'!H50</f>
        <v>0</v>
      </c>
      <c r="I38" s="386">
        <f>'Misc. Exp. Sup (2)'!J50</f>
        <v>0</v>
      </c>
      <c r="J38" s="362"/>
      <c r="K38" s="362"/>
    </row>
    <row r="39" spans="1:11" ht="16.5" customHeight="1" x14ac:dyDescent="0.4">
      <c r="A39" s="290">
        <f>'Misc. Exp. Sup (2)'!O51</f>
        <v>0</v>
      </c>
      <c r="B39" s="345">
        <f>'Misc. Exp. Sup (2)'!B51</f>
        <v>0</v>
      </c>
      <c r="C39" s="291">
        <f>'Misc. Exp. Sup (2)'!C51</f>
        <v>0</v>
      </c>
      <c r="D39" s="391">
        <f>'Misc. Exp. Sup (2)'!D51</f>
        <v>0</v>
      </c>
      <c r="E39" s="391"/>
      <c r="F39" s="391"/>
      <c r="G39" s="391"/>
      <c r="H39" s="386">
        <f>'Misc. Exp. Sup (2)'!H51</f>
        <v>0</v>
      </c>
      <c r="I39" s="386">
        <f>'Misc. Exp. Sup (2)'!J51</f>
        <v>0</v>
      </c>
      <c r="J39" s="361">
        <f>'Misc. Exp. Sup (2)'!J51</f>
        <v>0</v>
      </c>
      <c r="K39" s="361">
        <f>'Misc. Exp. Sup (2)'!K51</f>
        <v>0</v>
      </c>
    </row>
    <row r="40" spans="1:11" ht="16.5" customHeight="1" x14ac:dyDescent="0.4">
      <c r="A40" s="349"/>
      <c r="B40" s="349"/>
      <c r="C40" s="349"/>
      <c r="D40" s="387">
        <f>'Misc. Exp. Sup (2)'!D52</f>
        <v>0</v>
      </c>
      <c r="E40" s="387">
        <f>'Misc. Exp. Sup (2)'!F52</f>
        <v>0</v>
      </c>
      <c r="F40" s="387">
        <f>'Misc. Exp. Sup (2)'!G52</f>
        <v>0</v>
      </c>
      <c r="G40" s="387">
        <f>'Misc. Exp. Sup (2)'!H52</f>
        <v>0</v>
      </c>
      <c r="H40" s="386">
        <f>'Misc. Exp. Sup (2)'!H52</f>
        <v>0</v>
      </c>
      <c r="I40" s="386">
        <f>'Misc. Exp. Sup (2)'!J52</f>
        <v>0</v>
      </c>
      <c r="J40" s="362"/>
      <c r="K40" s="362"/>
    </row>
    <row r="41" spans="1:11" ht="16.5" customHeight="1" x14ac:dyDescent="0.4">
      <c r="A41" s="290">
        <f>'Misc. Exp. Sup (2)'!O53</f>
        <v>0</v>
      </c>
      <c r="B41" s="345">
        <f>'Misc. Exp. Sup (2)'!B53</f>
        <v>0</v>
      </c>
      <c r="C41" s="291">
        <f>'Misc. Exp. Sup (2)'!C53</f>
        <v>0</v>
      </c>
      <c r="D41" s="391">
        <f>'Misc. Exp. Sup (2)'!D53</f>
        <v>0</v>
      </c>
      <c r="E41" s="391"/>
      <c r="F41" s="391"/>
      <c r="G41" s="391"/>
      <c r="H41" s="386">
        <f>'Misc. Exp. Sup (2)'!H53</f>
        <v>0</v>
      </c>
      <c r="I41" s="386">
        <f>'Misc. Exp. Sup (2)'!J53</f>
        <v>0</v>
      </c>
      <c r="J41" s="361">
        <f>'Misc. Exp. Sup (2)'!J53</f>
        <v>0</v>
      </c>
      <c r="K41" s="361">
        <f>'Misc. Exp. Sup (2)'!K53</f>
        <v>0</v>
      </c>
    </row>
    <row r="42" spans="1:11" ht="16.5" customHeight="1" x14ac:dyDescent="0.4">
      <c r="A42" s="349"/>
      <c r="B42" s="349"/>
      <c r="C42" s="349"/>
      <c r="D42" s="387">
        <f>'Misc. Exp. Sup (2)'!D54</f>
        <v>0</v>
      </c>
      <c r="E42" s="387">
        <f>'Misc. Exp. Sup (2)'!F54</f>
        <v>0</v>
      </c>
      <c r="F42" s="387">
        <f>'Misc. Exp. Sup (2)'!G54</f>
        <v>0</v>
      </c>
      <c r="G42" s="387">
        <f>'Misc. Exp. Sup (2)'!H54</f>
        <v>0</v>
      </c>
      <c r="H42" s="386">
        <f>'Misc. Exp. Sup (2)'!H54</f>
        <v>0</v>
      </c>
      <c r="I42" s="386">
        <f>'Misc. Exp. Sup (2)'!J54</f>
        <v>0</v>
      </c>
      <c r="J42" s="362"/>
      <c r="K42" s="362"/>
    </row>
    <row r="43" spans="1:11" ht="16.5" customHeight="1" x14ac:dyDescent="0.4">
      <c r="A43" s="364">
        <f>SUM(A3:A42)</f>
        <v>2206.37</v>
      </c>
      <c r="B43" s="359"/>
      <c r="C43" s="359"/>
      <c r="D43" s="359"/>
      <c r="E43" s="359"/>
      <c r="F43" s="359"/>
      <c r="G43" s="359"/>
      <c r="H43" s="359"/>
      <c r="I43" s="359"/>
    </row>
  </sheetData>
  <mergeCells count="82">
    <mergeCell ref="D42:G42"/>
    <mergeCell ref="H37:I37"/>
    <mergeCell ref="H38:I38"/>
    <mergeCell ref="H42:I42"/>
    <mergeCell ref="D37:G37"/>
    <mergeCell ref="D38:G38"/>
    <mergeCell ref="D39:G39"/>
    <mergeCell ref="D40:G40"/>
    <mergeCell ref="D41:G41"/>
    <mergeCell ref="H39:I39"/>
    <mergeCell ref="H40:I40"/>
    <mergeCell ref="H41:I41"/>
    <mergeCell ref="D33:G33"/>
    <mergeCell ref="H33:I33"/>
    <mergeCell ref="D34:G34"/>
    <mergeCell ref="H34:I34"/>
    <mergeCell ref="D35:G35"/>
    <mergeCell ref="H35:I35"/>
    <mergeCell ref="D36:G36"/>
    <mergeCell ref="H36:I36"/>
    <mergeCell ref="D31:G31"/>
    <mergeCell ref="H31:I31"/>
    <mergeCell ref="D32:G32"/>
    <mergeCell ref="H32:I32"/>
    <mergeCell ref="D29:G29"/>
    <mergeCell ref="H29:I29"/>
    <mergeCell ref="D30:G30"/>
    <mergeCell ref="H30:I30"/>
    <mergeCell ref="D27:G27"/>
    <mergeCell ref="H27:I27"/>
    <mergeCell ref="D28:G28"/>
    <mergeCell ref="H28:I28"/>
    <mergeCell ref="D25:G25"/>
    <mergeCell ref="H25:I25"/>
    <mergeCell ref="D26:G26"/>
    <mergeCell ref="H26:I26"/>
    <mergeCell ref="D18:G18"/>
    <mergeCell ref="H13:I13"/>
    <mergeCell ref="H14:I14"/>
    <mergeCell ref="H15:I15"/>
    <mergeCell ref="H16:I16"/>
    <mergeCell ref="H17:I17"/>
    <mergeCell ref="H18:I18"/>
    <mergeCell ref="D15:G15"/>
    <mergeCell ref="D16:G16"/>
    <mergeCell ref="D17:G17"/>
    <mergeCell ref="H9:I9"/>
    <mergeCell ref="H10:I10"/>
    <mergeCell ref="H12:I12"/>
    <mergeCell ref="H7:I7"/>
    <mergeCell ref="D14:G14"/>
    <mergeCell ref="E2:F2"/>
    <mergeCell ref="H2:I2"/>
    <mergeCell ref="D9:G9"/>
    <mergeCell ref="H11:I11"/>
    <mergeCell ref="D11:G11"/>
    <mergeCell ref="D5:G5"/>
    <mergeCell ref="D6:G6"/>
    <mergeCell ref="D8:G8"/>
    <mergeCell ref="D7:G7"/>
    <mergeCell ref="H19:I19"/>
    <mergeCell ref="D20:G20"/>
    <mergeCell ref="H20:I20"/>
    <mergeCell ref="D10:G10"/>
    <mergeCell ref="D12:G12"/>
    <mergeCell ref="H8:I8"/>
    <mergeCell ref="H21:I21"/>
    <mergeCell ref="D19:G19"/>
    <mergeCell ref="D21:G21"/>
    <mergeCell ref="D22:G22"/>
    <mergeCell ref="H22:I22"/>
    <mergeCell ref="H23:I23"/>
    <mergeCell ref="D24:G24"/>
    <mergeCell ref="H24:I24"/>
    <mergeCell ref="D23:G23"/>
    <mergeCell ref="D13:G13"/>
    <mergeCell ref="H3:I3"/>
    <mergeCell ref="H4:I4"/>
    <mergeCell ref="D3:G3"/>
    <mergeCell ref="D4:G4"/>
    <mergeCell ref="H5:I5"/>
    <mergeCell ref="H6:I6"/>
  </mergeCells>
  <phoneticPr fontId="59" type="noConversion"/>
  <printOptions gridLines="1" gridLinesSet="0"/>
  <pageMargins left="0.25" right="0.25" top="0.2" bottom="0.2" header="0.2" footer="0.2"/>
  <pageSetup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AD35-3E6B-4D56-A2A1-DB0E62FB4425}">
  <sheetPr transitionEvaluation="1">
    <pageSetUpPr fitToPage="1"/>
  </sheetPr>
  <dimension ref="A1:BL200"/>
  <sheetViews>
    <sheetView showGridLines="0" showZeros="0" tabSelected="1" topLeftCell="A55" zoomScale="80" workbookViewId="0">
      <selection activeCell="G58" sqref="G58:J58"/>
    </sheetView>
  </sheetViews>
  <sheetFormatPr defaultColWidth="0" defaultRowHeight="15" zeroHeight="1" x14ac:dyDescent="0.4"/>
  <cols>
    <col min="1" max="1" width="12.265625" style="1" customWidth="1"/>
    <col min="2" max="2" width="7.86328125" style="1" customWidth="1"/>
    <col min="3" max="3" width="8.1328125" style="1" customWidth="1"/>
    <col min="4" max="4" width="9.73046875" style="1" customWidth="1"/>
    <col min="5" max="5" width="10.59765625" style="1" customWidth="1"/>
    <col min="6" max="6" width="9.1328125" style="1" customWidth="1"/>
    <col min="7" max="7" width="10.86328125" style="1" customWidth="1"/>
    <col min="8" max="8" width="14.73046875" style="1" customWidth="1"/>
    <col min="9" max="9" width="13.265625" style="1" customWidth="1"/>
    <col min="10" max="10" width="12.3984375" style="1" customWidth="1"/>
    <col min="11" max="11" width="10.265625" style="1" customWidth="1"/>
    <col min="12" max="12" width="14.1328125" style="1" customWidth="1"/>
    <col min="13" max="13" width="10.3984375" style="1" customWidth="1"/>
    <col min="14" max="14" width="16.3984375" style="1" customWidth="1"/>
    <col min="15" max="64" width="0" style="9" hidden="1" customWidth="1"/>
    <col min="65" max="16384" width="0" style="2" hidden="1"/>
  </cols>
  <sheetData>
    <row r="1" spans="1:64" ht="18.75" customHeight="1" x14ac:dyDescent="0.6">
      <c r="A1"/>
      <c r="B1" s="54"/>
      <c r="C1"/>
      <c r="D1" s="240" t="s">
        <v>2</v>
      </c>
      <c r="E1" s="56"/>
      <c r="F1" s="72"/>
      <c r="G1"/>
      <c r="H1" s="238"/>
      <c r="I1" s="238"/>
      <c r="J1" s="72"/>
      <c r="K1" s="238"/>
      <c r="L1" s="72"/>
      <c r="M1" s="301"/>
      <c r="N1" s="303"/>
    </row>
    <row r="2" spans="1:64" ht="23.25" customHeight="1" x14ac:dyDescent="0.6">
      <c r="A2"/>
      <c r="B2" s="54"/>
      <c r="C2"/>
      <c r="D2" s="240" t="s">
        <v>3</v>
      </c>
      <c r="E2" s="239"/>
      <c r="F2" s="72"/>
      <c r="G2"/>
      <c r="H2" s="329"/>
      <c r="I2" s="72"/>
      <c r="J2" s="241"/>
      <c r="K2" s="241"/>
      <c r="L2" s="72"/>
      <c r="M2" s="302" t="s">
        <v>4</v>
      </c>
      <c r="N2" s="292"/>
      <c r="P2" s="260">
        <f ca="1">TODAY()</f>
        <v>46107</v>
      </c>
    </row>
    <row r="3" spans="1:64" ht="20.25" customHeight="1" x14ac:dyDescent="0.6">
      <c r="A3"/>
      <c r="B3"/>
      <c r="C3"/>
      <c r="D3" s="240" t="s">
        <v>5</v>
      </c>
      <c r="E3" s="38"/>
      <c r="F3" s="38"/>
      <c r="G3" s="38"/>
      <c r="H3" s="38"/>
      <c r="I3" s="38"/>
      <c r="J3" s="38"/>
      <c r="K3" s="57" t="s">
        <v>6</v>
      </c>
      <c r="L3" s="145">
        <v>1</v>
      </c>
      <c r="M3" s="58" t="s">
        <v>7</v>
      </c>
      <c r="N3" s="145">
        <f>1+VALUE(H62)+VALUE(I62)+VALUE(J62)+VALUE(K62)+VALUE(L62)+VALUE(M62)</f>
        <v>4</v>
      </c>
    </row>
    <row r="4" spans="1:64" ht="9" customHeight="1" x14ac:dyDescent="0.4">
      <c r="A4" s="57"/>
      <c r="B4" s="38"/>
      <c r="C4" s="38"/>
      <c r="D4" s="38"/>
      <c r="E4" s="38"/>
      <c r="F4" s="38"/>
      <c r="G4" s="38"/>
      <c r="H4" s="38"/>
      <c r="I4" s="38"/>
      <c r="J4" s="38"/>
      <c r="K4" s="38"/>
      <c r="L4" s="72"/>
      <c r="M4" s="72"/>
      <c r="N4" s="72"/>
    </row>
    <row r="5" spans="1:64" ht="12" customHeight="1" x14ac:dyDescent="0.4">
      <c r="A5" s="33" t="s">
        <v>8</v>
      </c>
      <c r="B5" s="236"/>
      <c r="C5" s="27"/>
      <c r="D5" s="236"/>
      <c r="E5" s="237" t="s">
        <v>9</v>
      </c>
      <c r="F5" s="236"/>
      <c r="G5" s="236"/>
      <c r="H5" s="106" t="s">
        <v>10</v>
      </c>
      <c r="I5" s="27"/>
      <c r="J5" s="28"/>
      <c r="K5" s="35" t="s">
        <v>103</v>
      </c>
      <c r="L5" s="23"/>
      <c r="M5" s="23"/>
      <c r="N5" s="24"/>
    </row>
    <row r="6" spans="1:64" s="3" customFormat="1" ht="17.25" customHeight="1" x14ac:dyDescent="0.4">
      <c r="A6" s="287"/>
      <c r="B6" s="121"/>
      <c r="C6" s="121"/>
      <c r="D6"/>
      <c r="E6" s="288"/>
      <c r="F6" s="121"/>
      <c r="G6" s="121"/>
      <c r="H6" s="174"/>
      <c r="I6" s="121"/>
      <c r="J6" s="176"/>
      <c r="K6" s="114"/>
      <c r="L6" s="115"/>
      <c r="M6" s="20"/>
      <c r="N6" s="21"/>
      <c r="O6" s="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0"/>
    </row>
    <row r="7" spans="1:64" ht="14.25" customHeight="1" x14ac:dyDescent="0.4">
      <c r="A7" s="33" t="s">
        <v>109</v>
      </c>
      <c r="B7" s="31"/>
      <c r="C7" s="31"/>
      <c r="D7" s="32"/>
      <c r="E7" s="112" t="s">
        <v>11</v>
      </c>
      <c r="F7" s="34"/>
      <c r="G7" s="31"/>
      <c r="H7" s="30"/>
      <c r="I7" s="27"/>
      <c r="J7" s="26"/>
      <c r="K7" s="111" t="s">
        <v>102</v>
      </c>
      <c r="L7" s="22"/>
      <c r="M7" s="23"/>
      <c r="N7" s="24"/>
    </row>
    <row r="8" spans="1:64" s="3" customFormat="1" ht="17.25" customHeight="1" x14ac:dyDescent="0.4">
      <c r="A8" s="287"/>
      <c r="B8" s="289"/>
      <c r="C8" s="289"/>
      <c r="D8" s="173"/>
      <c r="E8" s="190"/>
      <c r="F8" s="172"/>
      <c r="G8" s="191"/>
      <c r="H8" s="172"/>
      <c r="I8" s="172"/>
      <c r="J8" s="189"/>
      <c r="K8" s="269"/>
      <c r="L8" s="115"/>
      <c r="M8" s="115"/>
      <c r="N8" s="175"/>
      <c r="O8" s="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</row>
    <row r="9" spans="1:64" ht="3.75" customHeight="1" x14ac:dyDescent="0.4">
      <c r="A9" s="40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64" ht="15" customHeight="1" x14ac:dyDescent="0.4">
      <c r="A10" s="251" t="s">
        <v>12</v>
      </c>
      <c r="B10" s="36"/>
      <c r="C10" s="37"/>
      <c r="D10" s="36"/>
      <c r="E10"/>
      <c r="F10" s="9"/>
      <c r="G10" s="37"/>
      <c r="H10" s="37"/>
      <c r="I10" s="37"/>
      <c r="J10" s="37"/>
      <c r="K10" s="192"/>
      <c r="L10"/>
      <c r="M10" s="37"/>
      <c r="N10" s="37"/>
    </row>
    <row r="11" spans="1:64" ht="12" customHeight="1" x14ac:dyDescent="0.4">
      <c r="A11" s="192" t="s">
        <v>115</v>
      </c>
      <c r="B11" s="41"/>
      <c r="C11" s="37"/>
      <c r="D11" s="38"/>
      <c r="E11" s="38"/>
      <c r="F11" s="38"/>
      <c r="G11" s="38"/>
      <c r="H11" s="38"/>
      <c r="I11" s="38"/>
      <c r="J11" s="39"/>
      <c r="K11" s="9"/>
      <c r="L11" s="38"/>
      <c r="M11" s="38"/>
      <c r="N11" s="38"/>
    </row>
    <row r="12" spans="1:64" ht="2.1" customHeight="1" x14ac:dyDescent="0.4">
      <c r="A12" s="38"/>
      <c r="B12" s="38"/>
      <c r="C12" s="38"/>
      <c r="D12" s="38"/>
      <c r="E12" s="38"/>
      <c r="F12" s="38"/>
      <c r="G12" s="38"/>
      <c r="H12" s="38"/>
      <c r="I12" s="38"/>
      <c r="J12" s="107"/>
      <c r="K12" s="107"/>
      <c r="L12" s="58"/>
      <c r="M12" s="38"/>
      <c r="N12" s="38"/>
    </row>
    <row r="13" spans="1:64" ht="17.25" customHeight="1" x14ac:dyDescent="0.35">
      <c r="A13" s="296" t="s">
        <v>13</v>
      </c>
      <c r="B13" s="297" t="s">
        <v>14</v>
      </c>
      <c r="C13" s="298"/>
      <c r="D13" s="298" t="s">
        <v>15</v>
      </c>
      <c r="E13" s="298"/>
      <c r="F13" s="298"/>
      <c r="G13" s="299"/>
      <c r="H13" s="300" t="s">
        <v>16</v>
      </c>
      <c r="I13" s="300"/>
      <c r="J13" s="300"/>
      <c r="K13" s="299"/>
      <c r="L13" s="296" t="s">
        <v>17</v>
      </c>
      <c r="M13" s="296" t="s">
        <v>18</v>
      </c>
      <c r="N13" s="296" t="s">
        <v>19</v>
      </c>
    </row>
    <row r="14" spans="1:64" s="4" customFormat="1" ht="24" customHeight="1" x14ac:dyDescent="0.4">
      <c r="A14" s="146"/>
      <c r="B14" s="135"/>
      <c r="C14" s="126"/>
      <c r="D14" s="155"/>
      <c r="E14" s="155"/>
      <c r="F14" s="156"/>
      <c r="G14" s="157"/>
      <c r="H14" s="264"/>
      <c r="I14" s="261"/>
      <c r="J14" s="262"/>
      <c r="K14" s="262"/>
      <c r="L14" s="258"/>
      <c r="M14" s="195"/>
      <c r="N14" s="188">
        <f>IF(M14=" ",L14*1,L14*M14)</f>
        <v>0</v>
      </c>
      <c r="O14" s="9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</row>
    <row r="15" spans="1:64" s="4" customFormat="1" ht="24" customHeight="1" x14ac:dyDescent="0.4">
      <c r="A15" s="146"/>
      <c r="B15" s="135"/>
      <c r="C15" s="126"/>
      <c r="D15" s="155"/>
      <c r="E15" s="155"/>
      <c r="F15" s="156"/>
      <c r="G15" s="157"/>
      <c r="H15" s="264"/>
      <c r="I15" s="261"/>
      <c r="J15" s="262"/>
      <c r="K15" s="262"/>
      <c r="L15" s="258"/>
      <c r="M15" s="195"/>
      <c r="N15" s="188">
        <f>IF(M15=" ",L15*1,L15*M15)</f>
        <v>0</v>
      </c>
      <c r="O15" s="9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</row>
    <row r="16" spans="1:64" s="4" customFormat="1" ht="24" customHeight="1" x14ac:dyDescent="0.4">
      <c r="A16" s="146"/>
      <c r="B16" s="135"/>
      <c r="C16" s="126"/>
      <c r="D16" s="155"/>
      <c r="E16" s="155"/>
      <c r="F16" s="156"/>
      <c r="G16" s="157"/>
      <c r="H16" s="264"/>
      <c r="I16" s="261"/>
      <c r="J16" s="262"/>
      <c r="K16" s="262"/>
      <c r="L16" s="258"/>
      <c r="M16" s="195"/>
      <c r="N16" s="188">
        <f t="shared" ref="N16:N26" si="0">IF(M16=" ",L16*1,L16*M16)</f>
        <v>0</v>
      </c>
      <c r="O16" s="9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</row>
    <row r="17" spans="1:64" s="4" customFormat="1" ht="24" customHeight="1" x14ac:dyDescent="0.4">
      <c r="A17" s="146"/>
      <c r="B17" s="135"/>
      <c r="C17" s="126"/>
      <c r="D17" s="155"/>
      <c r="E17" s="155"/>
      <c r="F17" s="156"/>
      <c r="G17" s="157"/>
      <c r="H17" s="264"/>
      <c r="I17" s="261"/>
      <c r="J17" s="262"/>
      <c r="K17" s="262"/>
      <c r="L17" s="258"/>
      <c r="M17" s="195"/>
      <c r="N17" s="188">
        <f>IF(M17=" ",L17*1,L17*M17)</f>
        <v>0</v>
      </c>
      <c r="O17" s="9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</row>
    <row r="18" spans="1:64" s="4" customFormat="1" ht="24" customHeight="1" x14ac:dyDescent="0.4">
      <c r="A18" s="146"/>
      <c r="B18" s="135"/>
      <c r="C18" s="126"/>
      <c r="D18" s="155"/>
      <c r="E18" s="155"/>
      <c r="F18" s="156"/>
      <c r="G18" s="157"/>
      <c r="H18" s="264"/>
      <c r="I18" s="261"/>
      <c r="J18" s="262"/>
      <c r="K18" s="262"/>
      <c r="L18" s="258"/>
      <c r="M18" s="195"/>
      <c r="N18" s="188">
        <f>IF(M18=" ",L18*1,L18*M18)</f>
        <v>0</v>
      </c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</row>
    <row r="19" spans="1:64" s="4" customFormat="1" ht="24" customHeight="1" x14ac:dyDescent="0.4">
      <c r="A19" s="146"/>
      <c r="B19" s="135"/>
      <c r="C19" s="126"/>
      <c r="D19" s="155"/>
      <c r="E19" s="155"/>
      <c r="F19" s="156"/>
      <c r="G19" s="157"/>
      <c r="H19" s="264"/>
      <c r="I19" s="261"/>
      <c r="J19" s="262"/>
      <c r="K19" s="262"/>
      <c r="L19" s="258"/>
      <c r="M19" s="195"/>
      <c r="N19" s="188">
        <f>IF(M19=" ",L19*1,L19*M19)</f>
        <v>0</v>
      </c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</row>
    <row r="20" spans="1:64" s="4" customFormat="1" ht="24" customHeight="1" x14ac:dyDescent="0.4">
      <c r="A20" s="146"/>
      <c r="B20" s="135"/>
      <c r="C20" s="126"/>
      <c r="D20" s="155"/>
      <c r="E20" s="155"/>
      <c r="F20" s="156"/>
      <c r="G20" s="157"/>
      <c r="H20" s="264"/>
      <c r="I20" s="261"/>
      <c r="J20" s="262"/>
      <c r="K20" s="262"/>
      <c r="L20" s="258"/>
      <c r="M20" s="195"/>
      <c r="N20" s="188">
        <f t="shared" si="0"/>
        <v>0</v>
      </c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</row>
    <row r="21" spans="1:64" s="4" customFormat="1" ht="24" customHeight="1" x14ac:dyDescent="0.4">
      <c r="A21" s="146"/>
      <c r="B21" s="135"/>
      <c r="C21" s="126"/>
      <c r="D21" s="155"/>
      <c r="E21" s="155"/>
      <c r="F21" s="156"/>
      <c r="G21" s="157"/>
      <c r="H21" s="264"/>
      <c r="I21" s="261"/>
      <c r="J21" s="262"/>
      <c r="K21" s="262"/>
      <c r="L21" s="258"/>
      <c r="M21" s="195"/>
      <c r="N21" s="188">
        <f>IF(M21=" ",L21*1,L21*M21)</f>
        <v>0</v>
      </c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</row>
    <row r="22" spans="1:64" s="4" customFormat="1" ht="24" customHeight="1" x14ac:dyDescent="0.4">
      <c r="A22" s="146"/>
      <c r="B22" s="135"/>
      <c r="C22" s="126"/>
      <c r="D22" s="155"/>
      <c r="E22" s="155"/>
      <c r="F22" s="156"/>
      <c r="G22" s="157"/>
      <c r="H22" s="265"/>
      <c r="I22" s="261"/>
      <c r="J22" s="262"/>
      <c r="K22" s="262"/>
      <c r="L22" s="258"/>
      <c r="M22" s="195"/>
      <c r="N22" s="188">
        <f t="shared" si="0"/>
        <v>0</v>
      </c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/>
      <c r="BF22" s="150"/>
      <c r="BG22" s="150"/>
      <c r="BH22" s="150"/>
      <c r="BI22" s="150"/>
      <c r="BJ22" s="150"/>
      <c r="BK22" s="150"/>
      <c r="BL22" s="150"/>
    </row>
    <row r="23" spans="1:64" s="4" customFormat="1" ht="24" customHeight="1" ph="1" x14ac:dyDescent="0.4">
      <c r="A23" s="146"/>
      <c r="B23" s="135"/>
      <c r="C23" s="126"/>
      <c r="D23" s="155"/>
      <c r="E23" s="155"/>
      <c r="F23" s="156"/>
      <c r="G23" s="157"/>
      <c r="H23" s="265"/>
      <c r="I23" s="261"/>
      <c r="J23" s="263"/>
      <c r="K23" s="262"/>
      <c r="L23" s="258"/>
      <c r="M23" s="195"/>
      <c r="N23" s="188">
        <f t="shared" si="0"/>
        <v>0</v>
      </c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</row>
    <row r="24" spans="1:64" s="4" customFormat="1" ht="24" customHeight="1" x14ac:dyDescent="0.4">
      <c r="A24" s="146"/>
      <c r="B24" s="135"/>
      <c r="C24" s="126"/>
      <c r="D24" s="155"/>
      <c r="E24" s="155"/>
      <c r="F24" s="156"/>
      <c r="G24" s="157"/>
      <c r="H24" s="265"/>
      <c r="I24" s="261"/>
      <c r="J24" s="262"/>
      <c r="K24" s="262"/>
      <c r="L24" s="258"/>
      <c r="M24" s="195"/>
      <c r="N24" s="188">
        <f t="shared" si="0"/>
        <v>0</v>
      </c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0"/>
      <c r="AL24" s="150"/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</row>
    <row r="25" spans="1:64" s="4" customFormat="1" ht="24" customHeight="1" x14ac:dyDescent="0.4">
      <c r="A25" s="146"/>
      <c r="B25" s="135"/>
      <c r="C25" s="126"/>
      <c r="D25" s="155"/>
      <c r="E25" s="155"/>
      <c r="F25" s="156"/>
      <c r="G25" s="157"/>
      <c r="H25" s="265"/>
      <c r="I25" s="261"/>
      <c r="J25" s="262"/>
      <c r="K25" s="262"/>
      <c r="L25" s="258"/>
      <c r="M25" s="195"/>
      <c r="N25" s="188">
        <f t="shared" si="0"/>
        <v>0</v>
      </c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</row>
    <row r="26" spans="1:64" s="4" customFormat="1" ht="24" customHeight="1" x14ac:dyDescent="0.4">
      <c r="A26" s="146"/>
      <c r="B26" s="135"/>
      <c r="C26" s="126"/>
      <c r="D26" s="155"/>
      <c r="E26" s="155"/>
      <c r="F26" s="156"/>
      <c r="G26" s="157"/>
      <c r="H26" s="265"/>
      <c r="I26" s="261"/>
      <c r="J26" s="262"/>
      <c r="K26" s="262"/>
      <c r="L26" s="258"/>
      <c r="M26" s="195"/>
      <c r="N26" s="188">
        <f t="shared" si="0"/>
        <v>0</v>
      </c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</row>
    <row r="27" spans="1:64" ht="24" customHeight="1" x14ac:dyDescent="0.4">
      <c r="A27" s="285" t="s">
        <v>20</v>
      </c>
      <c r="B27" s="41"/>
      <c r="C27" s="41"/>
      <c r="D27" s="41"/>
      <c r="E27" s="41"/>
      <c r="F27" s="41"/>
      <c r="G27" s="41"/>
      <c r="H27" s="41"/>
      <c r="I27" s="41"/>
      <c r="J27" s="41"/>
      <c r="K27" s="67"/>
      <c r="L27" s="304" t="s">
        <v>21</v>
      </c>
      <c r="M27" s="305"/>
      <c r="N27" s="130">
        <f>SUM(N14:N26)</f>
        <v>0</v>
      </c>
    </row>
    <row r="28" spans="1:64" ht="24" customHeight="1" x14ac:dyDescent="0.4">
      <c r="A28" s="306" t="s">
        <v>106</v>
      </c>
      <c r="B28" s="306" t="s">
        <v>111</v>
      </c>
      <c r="C28" s="330"/>
      <c r="D28" s="402" t="s">
        <v>104</v>
      </c>
      <c r="E28" s="403"/>
      <c r="F28" s="331"/>
      <c r="G28" s="397" t="s">
        <v>101</v>
      </c>
      <c r="H28" s="398"/>
      <c r="I28" s="344" t="s">
        <v>118</v>
      </c>
      <c r="J28" s="344" t="s">
        <v>117</v>
      </c>
      <c r="K28" s="68"/>
      <c r="L28" s="304" t="s">
        <v>22</v>
      </c>
      <c r="M28" s="305"/>
      <c r="N28" s="230">
        <f>'Meals and Ent Sup'!N55+'Meals and Ent Sup (2)'!N55</f>
        <v>484.96</v>
      </c>
    </row>
    <row r="29" spans="1:64" ht="24" customHeight="1" x14ac:dyDescent="0.4">
      <c r="A29" s="295"/>
      <c r="B29" s="295"/>
      <c r="C29" s="399"/>
      <c r="D29" s="400"/>
      <c r="E29" s="400"/>
      <c r="F29" s="401"/>
      <c r="G29" s="392"/>
      <c r="H29" s="393"/>
      <c r="I29" s="294"/>
      <c r="J29" s="332"/>
      <c r="K29" s="66"/>
      <c r="L29" s="305" t="s">
        <v>23</v>
      </c>
      <c r="M29" s="305"/>
      <c r="N29" s="183">
        <f>SUM(N27:N28)</f>
        <v>484.96</v>
      </c>
    </row>
    <row r="30" spans="1:64" ht="24" customHeight="1" x14ac:dyDescent="0.4">
      <c r="A30" s="295"/>
      <c r="B30" s="295"/>
      <c r="C30" s="394"/>
      <c r="D30" s="395"/>
      <c r="E30" s="395"/>
      <c r="F30" s="396"/>
      <c r="G30" s="392"/>
      <c r="H30" s="393"/>
      <c r="I30" s="294"/>
      <c r="J30" s="294"/>
      <c r="K30" s="66"/>
      <c r="L30" s="66"/>
      <c r="M30" s="66"/>
      <c r="N30" s="333"/>
    </row>
    <row r="31" spans="1:64" ht="21.75" customHeight="1" x14ac:dyDescent="0.4">
      <c r="A31" s="193" t="s">
        <v>24</v>
      </c>
      <c r="B31" s="42"/>
      <c r="C31" s="42"/>
      <c r="D31" s="41"/>
      <c r="E31" s="41"/>
      <c r="F31" s="41"/>
      <c r="G31" s="42"/>
      <c r="H31" s="42"/>
      <c r="I31" s="42"/>
      <c r="J31" s="42"/>
      <c r="K31" s="42"/>
      <c r="L31" s="58"/>
      <c r="M31" s="41"/>
      <c r="N31" s="41"/>
    </row>
    <row r="32" spans="1:64" ht="4.5" customHeight="1" x14ac:dyDescent="0.4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58"/>
      <c r="M32" s="41"/>
      <c r="N32" s="41"/>
    </row>
    <row r="33" spans="1:64" ht="17.25" customHeight="1" x14ac:dyDescent="0.35">
      <c r="A33" s="297" t="s">
        <v>13</v>
      </c>
      <c r="B33" s="298"/>
      <c r="C33" s="298"/>
      <c r="D33" s="298"/>
      <c r="E33" s="298"/>
      <c r="F33" s="298" t="s">
        <v>25</v>
      </c>
      <c r="G33" s="298"/>
      <c r="H33" s="298"/>
      <c r="I33" s="298"/>
      <c r="J33" s="298"/>
      <c r="K33" s="299"/>
      <c r="L33" s="296" t="s">
        <v>17</v>
      </c>
      <c r="M33" s="296" t="s">
        <v>18</v>
      </c>
      <c r="N33" s="296" t="s">
        <v>19</v>
      </c>
    </row>
    <row r="34" spans="1:64" s="4" customFormat="1" ht="24" customHeight="1" x14ac:dyDescent="0.4">
      <c r="A34" s="146"/>
      <c r="B34" s="129"/>
      <c r="C34" s="155"/>
      <c r="D34" s="155"/>
      <c r="E34" s="155"/>
      <c r="F34" s="155"/>
      <c r="G34" s="155"/>
      <c r="H34" s="155"/>
      <c r="I34" s="155"/>
      <c r="J34" s="155"/>
      <c r="K34" s="155"/>
      <c r="L34" s="258"/>
      <c r="M34" s="195"/>
      <c r="N34" s="188">
        <f t="shared" ref="N34:N41" si="1">IF(M34=" ",L34*1,L34*M34)</f>
        <v>0</v>
      </c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/>
      <c r="BF34" s="150"/>
      <c r="BG34" s="150"/>
      <c r="BH34" s="150"/>
      <c r="BI34" s="150"/>
      <c r="BJ34" s="150"/>
      <c r="BK34" s="150"/>
      <c r="BL34" s="150"/>
    </row>
    <row r="35" spans="1:64" s="4" customFormat="1" ht="24" customHeight="1" x14ac:dyDescent="0.4">
      <c r="A35" s="146"/>
      <c r="B35" s="129"/>
      <c r="C35" s="155"/>
      <c r="D35" s="159"/>
      <c r="E35" s="29"/>
      <c r="F35" s="159"/>
      <c r="G35" s="159"/>
      <c r="H35" s="155"/>
      <c r="I35" s="155"/>
      <c r="J35" s="155"/>
      <c r="K35" s="155"/>
      <c r="L35" s="258"/>
      <c r="M35" s="195"/>
      <c r="N35" s="188">
        <f>IF(M35=" ",L35*1,L35*M35)</f>
        <v>0</v>
      </c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</row>
    <row r="36" spans="1:64" s="4" customFormat="1" ht="24" customHeight="1" x14ac:dyDescent="0.4">
      <c r="A36" s="146"/>
      <c r="B36" s="129"/>
      <c r="C36" s="155"/>
      <c r="D36" s="159"/>
      <c r="E36" s="159"/>
      <c r="F36" s="159"/>
      <c r="G36" s="159"/>
      <c r="H36" s="155"/>
      <c r="I36" s="155"/>
      <c r="J36" s="155"/>
      <c r="K36" s="155"/>
      <c r="L36" s="258"/>
      <c r="M36" s="195"/>
      <c r="N36" s="188">
        <f t="shared" si="1"/>
        <v>0</v>
      </c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</row>
    <row r="37" spans="1:64" s="4" customFormat="1" ht="24" customHeight="1" x14ac:dyDescent="0.4">
      <c r="A37" s="146"/>
      <c r="B37" s="129"/>
      <c r="C37" s="155"/>
      <c r="D37" s="159"/>
      <c r="E37" s="159"/>
      <c r="F37" s="159"/>
      <c r="G37" s="159"/>
      <c r="H37" s="155"/>
      <c r="I37" s="155"/>
      <c r="J37" s="155"/>
      <c r="K37" s="155"/>
      <c r="L37" s="258"/>
      <c r="M37" s="195"/>
      <c r="N37" s="188">
        <f t="shared" si="1"/>
        <v>0</v>
      </c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/>
      <c r="BF37" s="150"/>
      <c r="BG37" s="150"/>
      <c r="BH37" s="150"/>
      <c r="BI37" s="150"/>
      <c r="BJ37" s="150"/>
      <c r="BK37" s="150"/>
      <c r="BL37" s="150"/>
    </row>
    <row r="38" spans="1:64" s="4" customFormat="1" ht="24" customHeight="1" x14ac:dyDescent="0.4">
      <c r="A38" s="146"/>
      <c r="B38" s="129"/>
      <c r="C38" s="155"/>
      <c r="D38" s="159"/>
      <c r="E38" s="159"/>
      <c r="F38" s="159"/>
      <c r="G38" s="159"/>
      <c r="H38" s="155"/>
      <c r="I38" s="155"/>
      <c r="J38" s="155"/>
      <c r="K38" s="155"/>
      <c r="L38" s="258"/>
      <c r="M38" s="195"/>
      <c r="N38" s="188">
        <f>IF(M38=" ",L38*1,L38*M38)</f>
        <v>0</v>
      </c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  <c r="BF38" s="150"/>
      <c r="BG38" s="150"/>
      <c r="BH38" s="150"/>
      <c r="BI38" s="150"/>
      <c r="BJ38" s="150"/>
      <c r="BK38" s="150"/>
      <c r="BL38" s="150"/>
    </row>
    <row r="39" spans="1:64" s="4" customFormat="1" ht="24" customHeight="1" x14ac:dyDescent="0.4">
      <c r="A39" s="229"/>
      <c r="B39" s="129"/>
      <c r="C39" s="155"/>
      <c r="D39" s="159"/>
      <c r="E39" s="159"/>
      <c r="F39" s="159"/>
      <c r="G39" s="159"/>
      <c r="H39" s="155"/>
      <c r="I39" s="155"/>
      <c r="J39" s="155"/>
      <c r="K39" s="155"/>
      <c r="L39" s="258"/>
      <c r="M39" s="195"/>
      <c r="N39" s="188">
        <f t="shared" si="1"/>
        <v>0</v>
      </c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 s="150"/>
      <c r="AJ39" s="150"/>
      <c r="AK39" s="150"/>
      <c r="AL39" s="150"/>
      <c r="AM39" s="150"/>
      <c r="AN39" s="150"/>
      <c r="AO39" s="150"/>
      <c r="AP39" s="150"/>
      <c r="AQ39" s="150"/>
      <c r="AR39" s="150"/>
      <c r="AS39" s="150"/>
      <c r="AT39" s="150"/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</row>
    <row r="40" spans="1:64" s="4" customFormat="1" ht="24" customHeight="1" x14ac:dyDescent="0.4">
      <c r="A40" s="146"/>
      <c r="B40" s="129"/>
      <c r="C40" s="155"/>
      <c r="D40" s="159"/>
      <c r="E40" s="159"/>
      <c r="F40" s="159"/>
      <c r="G40" s="159"/>
      <c r="H40" s="155"/>
      <c r="I40" s="155"/>
      <c r="J40" s="155"/>
      <c r="K40" s="155"/>
      <c r="L40" s="258"/>
      <c r="M40" s="195"/>
      <c r="N40" s="188">
        <f t="shared" si="1"/>
        <v>0</v>
      </c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/>
      <c r="BF40" s="150"/>
      <c r="BG40" s="150"/>
      <c r="BH40" s="150"/>
      <c r="BI40" s="150"/>
      <c r="BJ40" s="150"/>
      <c r="BK40" s="150"/>
      <c r="BL40" s="150"/>
    </row>
    <row r="41" spans="1:64" s="4" customFormat="1" ht="24" customHeight="1" x14ac:dyDescent="0.4">
      <c r="A41" s="146"/>
      <c r="B41" s="129"/>
      <c r="C41" s="155"/>
      <c r="D41" s="155"/>
      <c r="E41" s="155"/>
      <c r="F41" s="155"/>
      <c r="G41" s="155"/>
      <c r="H41" s="155"/>
      <c r="I41" s="155"/>
      <c r="J41" s="155"/>
      <c r="K41" s="155"/>
      <c r="L41" s="258"/>
      <c r="M41" s="195"/>
      <c r="N41" s="188">
        <f t="shared" si="1"/>
        <v>0</v>
      </c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/>
      <c r="BF41" s="150"/>
      <c r="BG41" s="150"/>
      <c r="BH41" s="150"/>
      <c r="BI41" s="150"/>
      <c r="BJ41" s="150"/>
      <c r="BK41" s="150"/>
      <c r="BL41" s="150"/>
    </row>
    <row r="42" spans="1:64" ht="24" customHeight="1" x14ac:dyDescent="0.4">
      <c r="A42" s="285" t="s">
        <v>20</v>
      </c>
      <c r="B42" s="41"/>
      <c r="C42" s="41"/>
      <c r="D42" s="41"/>
      <c r="E42" s="41"/>
      <c r="F42" s="41"/>
      <c r="G42" s="41"/>
      <c r="H42" s="41"/>
      <c r="I42" s="41"/>
      <c r="J42" s="41"/>
      <c r="K42" s="68"/>
      <c r="L42" s="304" t="s">
        <v>26</v>
      </c>
      <c r="M42" s="300"/>
      <c r="N42" s="130">
        <f>SUM(N34:N41)</f>
        <v>0</v>
      </c>
    </row>
    <row r="43" spans="1:64" ht="24" customHeight="1" x14ac:dyDescent="0.4">
      <c r="A43" s="306" t="s">
        <v>106</v>
      </c>
      <c r="B43" s="306" t="s">
        <v>111</v>
      </c>
      <c r="C43" s="330"/>
      <c r="D43" s="402" t="s">
        <v>104</v>
      </c>
      <c r="E43" s="403"/>
      <c r="F43" s="331"/>
      <c r="G43" s="397" t="s">
        <v>101</v>
      </c>
      <c r="H43" s="398"/>
      <c r="I43" s="344" t="s">
        <v>118</v>
      </c>
      <c r="J43" s="344" t="s">
        <v>117</v>
      </c>
      <c r="K43" s="68"/>
      <c r="L43" s="304" t="s">
        <v>27</v>
      </c>
      <c r="M43" s="305"/>
      <c r="N43" s="228">
        <f>'Misc. Exp. Sup'!O55+'Misc. Exp. Sup (2)'!O55</f>
        <v>11.88</v>
      </c>
    </row>
    <row r="44" spans="1:64" ht="24" customHeight="1" x14ac:dyDescent="0.4">
      <c r="A44" s="295"/>
      <c r="B44" s="295"/>
      <c r="C44" s="394"/>
      <c r="D44" s="395"/>
      <c r="E44" s="395"/>
      <c r="F44" s="396"/>
      <c r="G44" s="392"/>
      <c r="H44" s="393"/>
      <c r="I44" s="294"/>
      <c r="J44" s="332"/>
      <c r="K44" s="122"/>
      <c r="L44" s="305" t="s">
        <v>28</v>
      </c>
      <c r="M44" s="305"/>
      <c r="N44" s="183">
        <f>SUM(N42:N43)</f>
        <v>11.88</v>
      </c>
    </row>
    <row r="45" spans="1:64" ht="24.75" customHeight="1" x14ac:dyDescent="0.35">
      <c r="A45" s="295"/>
      <c r="B45" s="295"/>
      <c r="C45" s="394"/>
      <c r="D45" s="395"/>
      <c r="E45" s="395"/>
      <c r="F45" s="396"/>
      <c r="G45" s="392"/>
      <c r="H45" s="393"/>
      <c r="I45" s="294"/>
      <c r="J45" s="294"/>
      <c r="K45" s="41"/>
      <c r="L45" s="41"/>
      <c r="M45" s="41"/>
      <c r="N45" s="41"/>
    </row>
    <row r="46" spans="1:64" ht="10.5" customHeight="1" x14ac:dyDescent="0.35">
      <c r="A46" s="41"/>
      <c r="B46" s="41"/>
      <c r="C46" s="41"/>
      <c r="D46" s="41"/>
      <c r="E46" s="134"/>
      <c r="F46" s="41"/>
      <c r="G46" s="41"/>
      <c r="H46" s="41"/>
      <c r="I46" s="65"/>
      <c r="J46" s="41"/>
      <c r="K46" s="41"/>
      <c r="L46" s="41"/>
      <c r="M46" s="41"/>
      <c r="N46" s="41"/>
    </row>
    <row r="47" spans="1:64" ht="6.75" customHeight="1" x14ac:dyDescent="0.35">
      <c r="A47" s="67"/>
      <c r="B47" s="67"/>
      <c r="C47" s="67"/>
      <c r="D47" s="67"/>
      <c r="E47" s="67"/>
      <c r="F47" s="67"/>
      <c r="G47" s="67"/>
      <c r="H47" s="67"/>
      <c r="I47" s="66"/>
      <c r="J47" s="67"/>
      <c r="K47" s="67"/>
      <c r="L47" s="67"/>
      <c r="M47" s="67"/>
      <c r="N47" s="67"/>
    </row>
    <row r="48" spans="1:64" ht="24" customHeight="1" x14ac:dyDescent="0.4">
      <c r="A48" s="248" t="s">
        <v>29</v>
      </c>
      <c r="B48" s="46"/>
      <c r="C48" s="46"/>
      <c r="D48" s="46"/>
      <c r="E48" s="46"/>
      <c r="F48" s="46"/>
      <c r="G48" s="46"/>
      <c r="H48" s="46"/>
      <c r="I48" s="123"/>
      <c r="J48" s="312" t="s">
        <v>30</v>
      </c>
      <c r="K48" s="313"/>
      <c r="L48" s="313"/>
      <c r="M48" s="313"/>
      <c r="N48" s="212">
        <f>'Travel Form'!O55+'Travel Sup (2)'!O55</f>
        <v>1709.53</v>
      </c>
    </row>
    <row r="49" spans="1:64" ht="24" customHeight="1" x14ac:dyDescent="0.4">
      <c r="A49" s="307" t="s">
        <v>31</v>
      </c>
      <c r="B49" s="308"/>
      <c r="C49" s="296"/>
      <c r="D49" s="308"/>
      <c r="E49" s="308"/>
      <c r="F49" s="309"/>
      <c r="G49" s="310"/>
      <c r="H49" s="41"/>
      <c r="I49" s="67"/>
      <c r="J49" s="314" t="s">
        <v>32</v>
      </c>
      <c r="K49" s="315"/>
      <c r="L49" s="315"/>
      <c r="M49" s="315"/>
      <c r="N49" s="160">
        <f>N48+N44+N29</f>
        <v>2206.37</v>
      </c>
    </row>
    <row r="50" spans="1:64" ht="24" customHeight="1" x14ac:dyDescent="0.4">
      <c r="A50" s="296" t="s">
        <v>33</v>
      </c>
      <c r="B50" s="147"/>
      <c r="C50" s="297" t="s">
        <v>34</v>
      </c>
      <c r="D50" s="141"/>
      <c r="E50" s="297" t="s">
        <v>1</v>
      </c>
      <c r="F50" s="143"/>
      <c r="G50" s="138"/>
      <c r="H50" s="41"/>
      <c r="I50" s="41"/>
      <c r="J50" s="316" t="s">
        <v>35</v>
      </c>
      <c r="K50" s="317"/>
      <c r="L50" s="317"/>
      <c r="M50" s="317"/>
      <c r="N50" s="161">
        <f>F53</f>
        <v>0</v>
      </c>
    </row>
    <row r="51" spans="1:64" ht="24" customHeight="1" x14ac:dyDescent="0.4">
      <c r="A51" s="296" t="s">
        <v>33</v>
      </c>
      <c r="B51" s="147"/>
      <c r="C51" s="297" t="s">
        <v>34</v>
      </c>
      <c r="D51" s="142"/>
      <c r="E51" s="297" t="s">
        <v>1</v>
      </c>
      <c r="F51" s="143"/>
      <c r="G51" s="138"/>
      <c r="H51" s="41"/>
      <c r="I51" s="41"/>
      <c r="J51" s="318" t="s">
        <v>36</v>
      </c>
      <c r="K51" s="319"/>
      <c r="L51" s="320" t="str">
        <f>IF($N$49-$N$50&lt;0,"X","  ")</f>
        <v xml:space="preserve">  </v>
      </c>
      <c r="M51" s="319" t="s">
        <v>37</v>
      </c>
      <c r="N51" s="132"/>
    </row>
    <row r="52" spans="1:64" ht="24" customHeight="1" x14ac:dyDescent="0.4">
      <c r="A52" s="296" t="s">
        <v>33</v>
      </c>
      <c r="B52" s="147"/>
      <c r="C52" s="297" t="s">
        <v>34</v>
      </c>
      <c r="D52" s="142"/>
      <c r="E52" s="297" t="s">
        <v>1</v>
      </c>
      <c r="F52" s="143"/>
      <c r="G52" s="138"/>
      <c r="H52" s="41"/>
      <c r="I52" s="41"/>
      <c r="J52" s="316"/>
      <c r="K52" s="321"/>
      <c r="L52" s="322" t="str">
        <f>IF($N$49-$N$50&gt;0,"X","  ")</f>
        <v>X</v>
      </c>
      <c r="M52" s="323" t="s">
        <v>38</v>
      </c>
      <c r="N52" s="140">
        <f>ABS(N49-N50)</f>
        <v>2206.37</v>
      </c>
    </row>
    <row r="53" spans="1:64" ht="24" customHeight="1" x14ac:dyDescent="0.4">
      <c r="A53" s="309"/>
      <c r="B53" s="309"/>
      <c r="C53" s="309"/>
      <c r="D53" s="311" t="s">
        <v>39</v>
      </c>
      <c r="E53" s="296"/>
      <c r="F53" s="162">
        <f>SUM(F50:F52)</f>
        <v>0</v>
      </c>
      <c r="G53" s="139"/>
      <c r="H53" s="41"/>
      <c r="I53" s="41"/>
      <c r="J53" s="324" t="s">
        <v>40</v>
      </c>
      <c r="K53" s="321"/>
      <c r="L53" s="321"/>
      <c r="M53" s="321"/>
      <c r="N53" s="133"/>
    </row>
    <row r="54" spans="1:64" ht="6.75" customHeight="1" x14ac:dyDescent="0.3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</row>
    <row r="55" spans="1:64" s="4" customFormat="1" ht="17.25" customHeight="1" ph="1" x14ac:dyDescent="0.4">
      <c r="A55" s="325" t="s">
        <v>41</v>
      </c>
      <c r="B55" s="326"/>
      <c r="C55" s="326"/>
      <c r="D55" s="326"/>
      <c r="E55" s="326"/>
      <c r="F55" s="326"/>
      <c r="G55" s="326"/>
      <c r="H55" s="326"/>
      <c r="I55" s="326"/>
      <c r="J55" s="326"/>
      <c r="K55" s="326"/>
      <c r="L55" s="326"/>
      <c r="M55" s="327"/>
      <c r="N55" s="328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</row>
    <row r="56" spans="1:64" ht="13.5" customHeight="1" x14ac:dyDescent="0.4">
      <c r="A56" s="194" t="s">
        <v>42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43"/>
      <c r="N56" s="44"/>
    </row>
    <row r="57" spans="1:64" ht="12" customHeight="1" x14ac:dyDescent="0.35">
      <c r="A57" s="33" t="s">
        <v>43</v>
      </c>
      <c r="B57" s="45"/>
      <c r="C57" s="45"/>
      <c r="D57" s="45"/>
      <c r="E57" s="46"/>
      <c r="F57" s="47" t="s">
        <v>33</v>
      </c>
      <c r="G57" s="48" t="s">
        <v>44</v>
      </c>
      <c r="H57" s="45"/>
      <c r="I57" s="45"/>
      <c r="J57" s="49"/>
      <c r="K57" s="50" t="s">
        <v>33</v>
      </c>
      <c r="L57" s="51" t="s">
        <v>44</v>
      </c>
      <c r="M57" s="52"/>
      <c r="N57" s="53" t="s">
        <v>33</v>
      </c>
    </row>
    <row r="58" spans="1:64" ht="26.25" customHeight="1" x14ac:dyDescent="0.35">
      <c r="A58" s="59"/>
      <c r="B58" s="60"/>
      <c r="C58" s="60"/>
      <c r="D58" s="60"/>
      <c r="E58" s="60"/>
      <c r="F58" s="61"/>
      <c r="G58" s="60"/>
      <c r="H58" s="60"/>
      <c r="I58" s="60"/>
      <c r="J58" s="60"/>
      <c r="K58" s="62"/>
      <c r="L58" s="63"/>
      <c r="M58" s="62"/>
      <c r="N58" s="64"/>
    </row>
    <row r="59" spans="1:64" ht="18" customHeight="1" x14ac:dyDescent="0.35">
      <c r="A59" s="379" t="s">
        <v>107</v>
      </c>
      <c r="B59" s="380"/>
      <c r="C59" s="380"/>
      <c r="D59" s="380"/>
      <c r="E59" s="381"/>
      <c r="F59" s="382"/>
      <c r="G59" s="383" t="s">
        <v>45</v>
      </c>
      <c r="H59" s="380"/>
      <c r="I59" s="380"/>
      <c r="J59" s="384"/>
      <c r="K59" s="385"/>
      <c r="L59" s="383" t="s">
        <v>45</v>
      </c>
      <c r="M59" s="52"/>
      <c r="N59" s="180"/>
    </row>
    <row r="60" spans="1:64" ht="15.75" customHeight="1" x14ac:dyDescent="0.4">
      <c r="A60" s="181"/>
      <c r="B60" s="181"/>
      <c r="C60" s="181"/>
      <c r="D60" s="181"/>
      <c r="E60" s="181"/>
      <c r="F60" s="182"/>
      <c r="G60" s="231"/>
      <c r="H60" s="231"/>
      <c r="I60" s="231"/>
      <c r="J60" s="231"/>
      <c r="K60" s="234"/>
      <c r="L60" s="232"/>
      <c r="M60" s="234"/>
      <c r="N60" s="235"/>
    </row>
    <row r="61" spans="1:64" ht="13.5" hidden="1" customHeight="1" x14ac:dyDescent="0.35">
      <c r="A61" s="41" t="s">
        <v>46</v>
      </c>
      <c r="B61" s="72" t="s">
        <v>47</v>
      </c>
      <c r="C61" s="41" t="s">
        <v>48</v>
      </c>
      <c r="D61" s="41" t="s">
        <v>49</v>
      </c>
      <c r="E61" s="72" t="s">
        <v>50</v>
      </c>
      <c r="F61" s="41" t="s">
        <v>51</v>
      </c>
      <c r="G61" s="41" t="s">
        <v>52</v>
      </c>
      <c r="H61" s="41" t="s">
        <v>53</v>
      </c>
      <c r="I61" s="41" t="s">
        <v>54</v>
      </c>
      <c r="J61" s="41" t="s">
        <v>55</v>
      </c>
      <c r="K61" s="41" t="s">
        <v>56</v>
      </c>
      <c r="L61" s="41" t="s">
        <v>57</v>
      </c>
      <c r="M61" s="41" t="s">
        <v>58</v>
      </c>
      <c r="N61" s="41" t="s">
        <v>59</v>
      </c>
    </row>
    <row r="62" spans="1:64" s="3" customFormat="1" ht="21" hidden="1" customHeight="1" x14ac:dyDescent="0.35">
      <c r="A62" s="110" t="str">
        <f>IF(ISBLANK($A$6),TRIM(" "),$A$6)</f>
        <v/>
      </c>
      <c r="B62" s="249" t="str">
        <f>IF(ISBLANK($E$6),TRIM(" "),$E$6)</f>
        <v/>
      </c>
      <c r="C62" s="293" t="str">
        <f>TEXT(IF(ISBLANK($N$2),"      ",$N$2),"000000")</f>
        <v xml:space="preserve">      </v>
      </c>
      <c r="D62" s="110" t="str">
        <f>TEXT($K$6,"###-##-####")</f>
        <v>--</v>
      </c>
      <c r="E62" s="250" t="str">
        <f>TEXT($N$52,"######0.00")</f>
        <v>2206.37</v>
      </c>
      <c r="F62" s="284" t="s">
        <v>60</v>
      </c>
      <c r="G62" s="284" t="s">
        <v>61</v>
      </c>
      <c r="H62" s="110" t="str">
        <f>TEXT(IF(COUNTA('Travel Form'!$A$12:$N$40) = 0,0,1),"0")</f>
        <v>1</v>
      </c>
      <c r="I62" s="110" t="str">
        <f>TEXT(IF(COUNTA('Meals and Ent Sup'!$A$10:$M$40,'Meals and Ent Sup'!$A$49:$K$54) = 0,0,1),"0")</f>
        <v>1</v>
      </c>
      <c r="J62" s="110" t="str">
        <f>TEXT(IF(COUNTA('Misc. Exp. Sup'!$A$10:$N$40,'Misc. Exp. Sup'!$A$49:$K$54) = 0,0,1),"0")</f>
        <v>1</v>
      </c>
      <c r="K62" s="110" t="str">
        <f>TEXT(IF(COUNTA('Travel Sup (2)'!$A$12:$N$40,'Travel Sup (2)'!$A$49:$K$54) = 0,0,1),"0")</f>
        <v>0</v>
      </c>
      <c r="L62" s="110" t="str">
        <f>TEXT(IF(COUNTA('Meals and Ent Sup (2)'!$A$10:$M$40,'Meals and Ent Sup (2)'!$A$49:$K$54) = 0,0,1),"0")</f>
        <v>0</v>
      </c>
      <c r="M62" s="110" t="str">
        <f>TEXT(IF(COUNTA('Misc. Exp. Sup (2)'!$A$10:$N$40,'Misc. Exp. Sup (2)'!$A$49:$K$54) = 0,0,1),"0")</f>
        <v>0</v>
      </c>
      <c r="N62" s="110" t="str">
        <f>TEXT($A$8,"####")</f>
        <v/>
      </c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  <c r="BG62" s="110"/>
      <c r="BH62" s="110"/>
      <c r="BI62" s="110"/>
      <c r="BJ62" s="110"/>
      <c r="BK62" s="110"/>
      <c r="BL62" s="110"/>
    </row>
    <row r="63" spans="1:64" s="6" customFormat="1" ht="18" hidden="1" customHeight="1" x14ac:dyDescent="0.35">
      <c r="A63" s="110"/>
      <c r="B63" s="110"/>
      <c r="C63" s="110"/>
      <c r="D63" s="242"/>
      <c r="E63" s="110"/>
      <c r="F63" s="110"/>
      <c r="G63" s="110"/>
      <c r="H63" s="110"/>
      <c r="I63" s="110"/>
      <c r="J63" s="110"/>
      <c r="K63" s="110"/>
      <c r="L63" s="152"/>
      <c r="M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</row>
    <row r="64" spans="1:64" s="4" customFormat="1" ht="18" hidden="1" customHeight="1" x14ac:dyDescent="0.35">
      <c r="A64" s="41"/>
      <c r="B64" s="72"/>
      <c r="C64" s="41"/>
      <c r="D64" s="41"/>
      <c r="E64" s="72"/>
      <c r="F64" s="41"/>
      <c r="G64" s="41"/>
      <c r="H64" s="41"/>
      <c r="I64" s="41"/>
      <c r="J64" s="41"/>
      <c r="K64" s="41"/>
      <c r="L64" s="41"/>
      <c r="M64" s="41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 s="150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0"/>
      <c r="BC64" s="150"/>
      <c r="BD64" s="150"/>
      <c r="BE64" s="150"/>
      <c r="BF64" s="150"/>
      <c r="BG64" s="150"/>
      <c r="BH64" s="150"/>
      <c r="BI64" s="150"/>
      <c r="BJ64" s="150"/>
      <c r="BK64" s="150"/>
      <c r="BL64" s="150"/>
    </row>
    <row r="65" spans="1:64" s="4" customFormat="1" ht="18" hidden="1" customHeight="1" x14ac:dyDescent="0.35">
      <c r="A65" s="110"/>
      <c r="B65" s="249"/>
      <c r="C65" s="110"/>
      <c r="D65" s="110"/>
      <c r="E65" s="250"/>
      <c r="F65" s="242"/>
      <c r="G65" s="110"/>
      <c r="H65" s="110"/>
      <c r="I65" s="110"/>
      <c r="J65" s="110"/>
      <c r="K65" s="110"/>
      <c r="L65" s="110"/>
      <c r="M65" s="11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0"/>
      <c r="AX65" s="150"/>
      <c r="AY65" s="150"/>
      <c r="AZ65" s="150"/>
      <c r="BA65" s="150"/>
      <c r="BB65" s="150"/>
      <c r="BC65" s="150"/>
      <c r="BD65" s="150"/>
      <c r="BE65" s="150"/>
      <c r="BF65" s="150"/>
      <c r="BG65" s="150"/>
      <c r="BH65" s="150"/>
      <c r="BI65" s="150"/>
      <c r="BJ65" s="150"/>
      <c r="BK65" s="150"/>
      <c r="BL65" s="150"/>
    </row>
    <row r="66" spans="1:64" s="4" customFormat="1" ht="18" hidden="1" customHeight="1" x14ac:dyDescent="0.3"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/>
      <c r="BF66" s="150"/>
      <c r="BG66" s="150"/>
      <c r="BH66" s="150"/>
      <c r="BI66" s="150"/>
      <c r="BJ66" s="150"/>
      <c r="BK66" s="150"/>
      <c r="BL66" s="150"/>
    </row>
    <row r="67" spans="1:64" s="4" customFormat="1" ht="18" hidden="1" customHeight="1" x14ac:dyDescent="0.3">
      <c r="A67" s="233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/>
      <c r="AW67" s="150"/>
      <c r="AX67" s="150"/>
      <c r="AY67" s="150"/>
      <c r="AZ67" s="150"/>
      <c r="BA67" s="150"/>
      <c r="BB67" s="150"/>
      <c r="BC67" s="150"/>
      <c r="BD67" s="150"/>
      <c r="BE67" s="150"/>
      <c r="BF67" s="150"/>
      <c r="BG67" s="150"/>
      <c r="BH67" s="150"/>
      <c r="BI67" s="150"/>
      <c r="BJ67" s="150"/>
      <c r="BK67" s="150"/>
      <c r="BL67" s="150"/>
    </row>
    <row r="68" spans="1:64" s="4" customFormat="1" ht="18" hidden="1" customHeight="1" x14ac:dyDescent="0.3"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 s="150"/>
      <c r="AJ68" s="150"/>
      <c r="AK68" s="150"/>
      <c r="AL68" s="150"/>
      <c r="AM68" s="150"/>
      <c r="AN68" s="150"/>
      <c r="AO68" s="150"/>
      <c r="AP68" s="150"/>
      <c r="AQ68" s="150"/>
      <c r="AR68" s="150"/>
      <c r="AS68" s="150"/>
      <c r="AT68" s="150"/>
      <c r="AU68" s="150"/>
      <c r="AV68" s="150"/>
      <c r="AW68" s="150"/>
      <c r="AX68" s="150"/>
      <c r="AY68" s="150"/>
      <c r="AZ68" s="150"/>
      <c r="BA68" s="150"/>
      <c r="BB68" s="150"/>
      <c r="BC68" s="150"/>
      <c r="BD68" s="150"/>
      <c r="BE68" s="150"/>
      <c r="BF68" s="150"/>
      <c r="BG68" s="150"/>
      <c r="BH68" s="150"/>
      <c r="BI68" s="150"/>
      <c r="BJ68" s="150"/>
      <c r="BK68" s="150"/>
      <c r="BL68" s="150"/>
    </row>
    <row r="69" spans="1:64" s="4" customFormat="1" ht="18" hidden="1" customHeight="1" x14ac:dyDescent="0.3"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/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  <c r="AS69" s="150"/>
      <c r="AT69" s="150"/>
      <c r="AU69" s="150"/>
      <c r="AV69" s="150"/>
      <c r="AW69" s="150"/>
      <c r="AX69" s="150"/>
      <c r="AY69" s="150"/>
      <c r="AZ69" s="150"/>
      <c r="BA69" s="150"/>
      <c r="BB69" s="150"/>
      <c r="BC69" s="150"/>
      <c r="BD69" s="150"/>
      <c r="BE69" s="150"/>
      <c r="BF69" s="150"/>
      <c r="BG69" s="150"/>
      <c r="BH69" s="150"/>
      <c r="BI69" s="150"/>
      <c r="BJ69" s="150"/>
      <c r="BK69" s="150"/>
      <c r="BL69" s="150"/>
    </row>
    <row r="70" spans="1:64" s="4" customFormat="1" ht="18" hidden="1" customHeight="1" x14ac:dyDescent="0.3"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/>
      <c r="BF70" s="150"/>
      <c r="BG70" s="150"/>
      <c r="BH70" s="150"/>
      <c r="BI70" s="150"/>
      <c r="BJ70" s="150"/>
      <c r="BK70" s="150"/>
      <c r="BL70" s="150"/>
    </row>
    <row r="71" spans="1:64" s="4" customFormat="1" ht="18" hidden="1" customHeight="1" x14ac:dyDescent="0.3"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 s="150"/>
      <c r="AJ71" s="150"/>
      <c r="AK71" s="150"/>
      <c r="AL71" s="150"/>
      <c r="AM71" s="150"/>
      <c r="AN71" s="150"/>
      <c r="AO71" s="150"/>
      <c r="AP71" s="150"/>
      <c r="AQ71" s="150"/>
      <c r="AR71" s="150"/>
      <c r="AS71" s="150"/>
      <c r="AT71" s="150"/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/>
      <c r="BF71" s="150"/>
      <c r="BG71" s="150"/>
      <c r="BH71" s="150"/>
      <c r="BI71" s="150"/>
      <c r="BJ71" s="150"/>
      <c r="BK71" s="150"/>
      <c r="BL71" s="150"/>
    </row>
    <row r="72" spans="1:64" s="4" customFormat="1" ht="18" hidden="1" customHeight="1" x14ac:dyDescent="0.3"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  <c r="AB72" s="150"/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  <c r="BF72" s="150"/>
      <c r="BG72" s="150"/>
      <c r="BH72" s="150"/>
      <c r="BI72" s="150"/>
      <c r="BJ72" s="150"/>
      <c r="BK72" s="150"/>
      <c r="BL72" s="150"/>
    </row>
    <row r="73" spans="1:64" s="4" customFormat="1" ht="18" hidden="1" customHeight="1" x14ac:dyDescent="0.3"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/>
      <c r="BD73" s="150"/>
      <c r="BE73" s="150"/>
      <c r="BF73" s="150"/>
      <c r="BG73" s="150"/>
      <c r="BH73" s="150"/>
      <c r="BI73" s="150"/>
      <c r="BJ73" s="150"/>
      <c r="BK73" s="150"/>
      <c r="BL73" s="150"/>
    </row>
    <row r="74" spans="1:64" s="4" customFormat="1" ht="18" hidden="1" customHeight="1" x14ac:dyDescent="0.3"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  <c r="AB74" s="150"/>
      <c r="AC74" s="150"/>
      <c r="AD74" s="150"/>
      <c r="AE74" s="150"/>
      <c r="AF74" s="150"/>
      <c r="AG74" s="150"/>
      <c r="AH74" s="150"/>
      <c r="AI74" s="150"/>
      <c r="AJ74" s="150"/>
      <c r="AK74" s="150"/>
      <c r="AL74" s="150"/>
      <c r="AM74" s="150"/>
      <c r="AN74" s="150"/>
      <c r="AO74" s="150"/>
      <c r="AP74" s="150"/>
      <c r="AQ74" s="150"/>
      <c r="AR74" s="150"/>
      <c r="AS74" s="150"/>
      <c r="AT74" s="150"/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/>
      <c r="BF74" s="150"/>
      <c r="BG74" s="150"/>
      <c r="BH74" s="150"/>
      <c r="BI74" s="150"/>
      <c r="BJ74" s="150"/>
      <c r="BK74" s="150"/>
      <c r="BL74" s="150"/>
    </row>
    <row r="75" spans="1:64" ht="18" hidden="1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64" s="7" customFormat="1" ht="18" hidden="1" customHeight="1" x14ac:dyDescent="0.4"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  <c r="AC76" s="153"/>
      <c r="AD76" s="153"/>
      <c r="AE76" s="153"/>
      <c r="AF76" s="153"/>
      <c r="AG76" s="153"/>
      <c r="AH76" s="153"/>
      <c r="AI76" s="153"/>
      <c r="AJ76" s="153"/>
      <c r="AK76" s="153"/>
      <c r="AL76" s="153"/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153"/>
      <c r="AX76" s="153"/>
      <c r="AY76" s="153"/>
      <c r="AZ76" s="153"/>
      <c r="BA76" s="153"/>
      <c r="BB76" s="153"/>
      <c r="BC76" s="153"/>
      <c r="BD76" s="153"/>
      <c r="BE76" s="153"/>
      <c r="BF76" s="153"/>
      <c r="BG76" s="153"/>
      <c r="BH76" s="153"/>
      <c r="BI76" s="153"/>
      <c r="BJ76" s="153"/>
      <c r="BK76" s="153"/>
      <c r="BL76" s="153"/>
    </row>
    <row r="77" spans="1:64" s="6" customFormat="1" ht="18" hidden="1" customHeight="1" x14ac:dyDescent="0.3"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</row>
    <row r="78" spans="1:64" s="4" customFormat="1" ht="18" hidden="1" customHeight="1" x14ac:dyDescent="0.3"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0"/>
      <c r="AV78" s="150"/>
      <c r="AW78" s="150"/>
      <c r="AX78" s="150"/>
      <c r="AY78" s="150"/>
      <c r="AZ78" s="150"/>
      <c r="BA78" s="150"/>
      <c r="BB78" s="150"/>
      <c r="BC78" s="150"/>
      <c r="BD78" s="150"/>
      <c r="BE78" s="150"/>
      <c r="BF78" s="150"/>
      <c r="BG78" s="150"/>
      <c r="BH78" s="150"/>
      <c r="BI78" s="150"/>
      <c r="BJ78" s="150"/>
      <c r="BK78" s="150"/>
      <c r="BL78" s="150"/>
    </row>
    <row r="79" spans="1:64" s="4" customFormat="1" ht="18" hidden="1" customHeight="1" x14ac:dyDescent="0.3"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  <c r="AY79" s="150"/>
      <c r="AZ79" s="150"/>
      <c r="BA79" s="150"/>
      <c r="BB79" s="150"/>
      <c r="BC79" s="150"/>
      <c r="BD79" s="150"/>
      <c r="BE79" s="150"/>
      <c r="BF79" s="150"/>
      <c r="BG79" s="150"/>
      <c r="BH79" s="150"/>
      <c r="BI79" s="150"/>
      <c r="BJ79" s="150"/>
      <c r="BK79" s="150"/>
      <c r="BL79" s="150"/>
    </row>
    <row r="80" spans="1:64" s="4" customFormat="1" ht="18" hidden="1" customHeight="1" x14ac:dyDescent="0.3"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0"/>
      <c r="AE80" s="150"/>
      <c r="AF80" s="150"/>
      <c r="AG80" s="150"/>
      <c r="AH80" s="150"/>
      <c r="AI80" s="150"/>
      <c r="AJ80" s="150"/>
      <c r="AK80" s="150"/>
      <c r="AL80" s="150"/>
      <c r="AM80" s="150"/>
      <c r="AN80" s="150"/>
      <c r="AO80" s="150"/>
      <c r="AP80" s="150"/>
      <c r="AQ80" s="150"/>
      <c r="AR80" s="150"/>
      <c r="AS80" s="150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/>
      <c r="BF80" s="150"/>
      <c r="BG80" s="150"/>
      <c r="BH80" s="150"/>
      <c r="BI80" s="150"/>
      <c r="BJ80" s="150"/>
      <c r="BK80" s="150"/>
      <c r="BL80" s="150"/>
    </row>
    <row r="81" spans="1:64" s="4" customFormat="1" ht="18" hidden="1" customHeight="1" x14ac:dyDescent="0.3"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  <c r="AK81" s="150"/>
      <c r="AL81" s="150"/>
      <c r="AM81" s="150"/>
      <c r="AN81" s="150"/>
      <c r="AO81" s="150"/>
      <c r="AP81" s="150"/>
      <c r="AQ81" s="150"/>
      <c r="AR81" s="150"/>
      <c r="AS81" s="150"/>
      <c r="AT81" s="150"/>
      <c r="AU81" s="150"/>
      <c r="AV81" s="150"/>
      <c r="AW81" s="150"/>
      <c r="AX81" s="150"/>
      <c r="AY81" s="150"/>
      <c r="AZ81" s="150"/>
      <c r="BA81" s="150"/>
      <c r="BB81" s="150"/>
      <c r="BC81" s="150"/>
      <c r="BD81" s="150"/>
      <c r="BE81" s="150"/>
      <c r="BF81" s="150"/>
      <c r="BG81" s="150"/>
      <c r="BH81" s="150"/>
      <c r="BI81" s="150"/>
      <c r="BJ81" s="150"/>
      <c r="BK81" s="150"/>
      <c r="BL81" s="150"/>
    </row>
    <row r="82" spans="1:64" s="4" customFormat="1" ht="18" hidden="1" customHeight="1" x14ac:dyDescent="0.3"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  <c r="AB82" s="150"/>
      <c r="AC82" s="150"/>
      <c r="AD82" s="150"/>
      <c r="AE82" s="150"/>
      <c r="AF82" s="150"/>
      <c r="AG82" s="150"/>
      <c r="AH82" s="150"/>
      <c r="AI82" s="150"/>
      <c r="AJ82" s="150"/>
      <c r="AK82" s="150"/>
      <c r="AL82" s="150"/>
      <c r="AM82" s="150"/>
      <c r="AN82" s="150"/>
      <c r="AO82" s="150"/>
      <c r="AP82" s="150"/>
      <c r="AQ82" s="150"/>
      <c r="AR82" s="150"/>
      <c r="AS82" s="150"/>
      <c r="AT82" s="150"/>
      <c r="AU82" s="150"/>
      <c r="AV82" s="150"/>
      <c r="AW82" s="150"/>
      <c r="AX82" s="150"/>
      <c r="AY82" s="150"/>
      <c r="AZ82" s="150"/>
      <c r="BA82" s="150"/>
      <c r="BB82" s="150"/>
      <c r="BC82" s="150"/>
      <c r="BD82" s="150"/>
      <c r="BE82" s="150"/>
      <c r="BF82" s="150"/>
      <c r="BG82" s="150"/>
      <c r="BH82" s="150"/>
      <c r="BI82" s="150"/>
      <c r="BJ82" s="150"/>
      <c r="BK82" s="150"/>
      <c r="BL82" s="150"/>
    </row>
    <row r="83" spans="1:64" s="4" customFormat="1" ht="18" hidden="1" customHeight="1" x14ac:dyDescent="0.3"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  <c r="AB83" s="150"/>
      <c r="AC83" s="150"/>
      <c r="AD83" s="150"/>
      <c r="AE83" s="150"/>
      <c r="AF83" s="150"/>
      <c r="AG83" s="150"/>
      <c r="AH83" s="150"/>
      <c r="AI83" s="150"/>
      <c r="AJ83" s="150"/>
      <c r="AK83" s="150"/>
      <c r="AL83" s="150"/>
      <c r="AM83" s="150"/>
      <c r="AN83" s="150"/>
      <c r="AO83" s="150"/>
      <c r="AP83" s="150"/>
      <c r="AQ83" s="150"/>
      <c r="AR83" s="150"/>
      <c r="AS83" s="150"/>
      <c r="AT83" s="150"/>
      <c r="AU83" s="150"/>
      <c r="AV83" s="150"/>
      <c r="AW83" s="150"/>
      <c r="AX83" s="150"/>
      <c r="AY83" s="150"/>
      <c r="AZ83" s="150"/>
      <c r="BA83" s="150"/>
      <c r="BB83" s="150"/>
      <c r="BC83" s="150"/>
      <c r="BD83" s="150"/>
      <c r="BE83" s="150"/>
      <c r="BF83" s="150"/>
      <c r="BG83" s="150"/>
      <c r="BH83" s="150"/>
      <c r="BI83" s="150"/>
      <c r="BJ83" s="150"/>
      <c r="BK83" s="150"/>
      <c r="BL83" s="150"/>
    </row>
    <row r="84" spans="1:64" s="4" customFormat="1" ht="18" hidden="1" customHeight="1" x14ac:dyDescent="0.3"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  <c r="AB84" s="150"/>
      <c r="AC84" s="150"/>
      <c r="AD84" s="150"/>
      <c r="AE84" s="150"/>
      <c r="AF84" s="150"/>
      <c r="AG84" s="150"/>
      <c r="AH84" s="150"/>
      <c r="AI84" s="150"/>
      <c r="AJ84" s="150"/>
      <c r="AK84" s="150"/>
      <c r="AL84" s="150"/>
      <c r="AM84" s="150"/>
      <c r="AN84" s="150"/>
      <c r="AO84" s="150"/>
      <c r="AP84" s="150"/>
      <c r="AQ84" s="150"/>
      <c r="AR84" s="150"/>
      <c r="AS84" s="150"/>
      <c r="AT84" s="150"/>
      <c r="AU84" s="150"/>
      <c r="AV84" s="150"/>
      <c r="AW84" s="150"/>
      <c r="AX84" s="150"/>
      <c r="AY84" s="150"/>
      <c r="AZ84" s="150"/>
      <c r="BA84" s="150"/>
      <c r="BB84" s="150"/>
      <c r="BC84" s="150"/>
      <c r="BD84" s="150"/>
      <c r="BE84" s="150"/>
      <c r="BF84" s="150"/>
      <c r="BG84" s="150"/>
      <c r="BH84" s="150"/>
      <c r="BI84" s="150"/>
      <c r="BJ84" s="150"/>
      <c r="BK84" s="150"/>
      <c r="BL84" s="150"/>
    </row>
    <row r="85" spans="1:64" s="4" customFormat="1" ht="18" hidden="1" customHeight="1" x14ac:dyDescent="0.3"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  <c r="AB85" s="150"/>
      <c r="AC85" s="150"/>
      <c r="AD85" s="150"/>
      <c r="AE85" s="150"/>
      <c r="AF85" s="150"/>
      <c r="AG85" s="150"/>
      <c r="AH85" s="150"/>
      <c r="AI85" s="150"/>
      <c r="AJ85" s="150"/>
      <c r="AK85" s="150"/>
      <c r="AL85" s="150"/>
      <c r="AM85" s="150"/>
      <c r="AN85" s="150"/>
      <c r="AO85" s="150"/>
      <c r="AP85" s="150"/>
      <c r="AQ85" s="150"/>
      <c r="AR85" s="150"/>
      <c r="AS85" s="150"/>
      <c r="AT85" s="150"/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/>
      <c r="BF85" s="150"/>
      <c r="BG85" s="150"/>
      <c r="BH85" s="150"/>
      <c r="BI85" s="150"/>
      <c r="BJ85" s="150"/>
      <c r="BK85" s="150"/>
      <c r="BL85" s="150"/>
    </row>
    <row r="86" spans="1:64" s="4" customFormat="1" ht="18" hidden="1" customHeight="1" x14ac:dyDescent="0.3"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  <c r="AB86" s="150"/>
      <c r="AC86" s="150"/>
      <c r="AD86" s="150"/>
      <c r="AE86" s="150"/>
      <c r="AF86" s="150"/>
      <c r="AG86" s="150"/>
      <c r="AH86" s="150"/>
      <c r="AI86" s="150"/>
      <c r="AJ86" s="150"/>
      <c r="AK86" s="150"/>
      <c r="AL86" s="150"/>
      <c r="AM86" s="150"/>
      <c r="AN86" s="150"/>
      <c r="AO86" s="150"/>
      <c r="AP86" s="150"/>
      <c r="AQ86" s="150"/>
      <c r="AR86" s="150"/>
      <c r="AS86" s="150"/>
      <c r="AT86" s="150"/>
      <c r="AU86" s="150"/>
      <c r="AV86" s="150"/>
      <c r="AW86" s="150"/>
      <c r="AX86" s="150"/>
      <c r="AY86" s="150"/>
      <c r="AZ86" s="150"/>
      <c r="BA86" s="150"/>
      <c r="BB86" s="150"/>
      <c r="BC86" s="150"/>
      <c r="BD86" s="150"/>
      <c r="BE86" s="150"/>
      <c r="BF86" s="150"/>
      <c r="BG86" s="150"/>
      <c r="BH86" s="150"/>
      <c r="BI86" s="150"/>
      <c r="BJ86" s="150"/>
      <c r="BK86" s="150"/>
      <c r="BL86" s="150"/>
    </row>
    <row r="87" spans="1:64" s="4" customFormat="1" ht="18" hidden="1" customHeight="1" ph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  <c r="AB87" s="150"/>
      <c r="AC87" s="150"/>
      <c r="AD87" s="150"/>
      <c r="AE87" s="150"/>
      <c r="AF87" s="150"/>
      <c r="AG87" s="150"/>
      <c r="AH87" s="150"/>
      <c r="AI87" s="150"/>
      <c r="AJ87" s="150"/>
      <c r="AK87" s="150"/>
      <c r="AL87" s="150"/>
      <c r="AM87" s="150"/>
      <c r="AN87" s="150"/>
      <c r="AO87" s="150"/>
      <c r="AP87" s="150"/>
      <c r="AQ87" s="150"/>
      <c r="AR87" s="150"/>
      <c r="AS87" s="150"/>
      <c r="AT87" s="150"/>
      <c r="AU87" s="150"/>
      <c r="AV87" s="150"/>
      <c r="AW87" s="150"/>
      <c r="AX87" s="150"/>
      <c r="AY87" s="150"/>
      <c r="AZ87" s="150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</row>
    <row r="88" spans="1:64" s="4" customFormat="1" ht="18" hidden="1" customHeight="1" x14ac:dyDescent="0.3"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  <c r="AB88" s="150"/>
      <c r="AC88" s="150"/>
      <c r="AD88" s="150"/>
      <c r="AE88" s="150"/>
      <c r="AF88" s="150"/>
      <c r="AG88" s="150"/>
      <c r="AH88" s="150"/>
      <c r="AI88" s="150"/>
      <c r="AJ88" s="150"/>
      <c r="AK88" s="150"/>
      <c r="AL88" s="150"/>
      <c r="AM88" s="150"/>
      <c r="AN88" s="150"/>
      <c r="AO88" s="150"/>
      <c r="AP88" s="150"/>
      <c r="AQ88" s="150"/>
      <c r="AR88" s="150"/>
      <c r="AS88" s="150"/>
      <c r="AT88" s="150"/>
      <c r="AU88" s="150"/>
      <c r="AV88" s="150"/>
      <c r="AW88" s="150"/>
      <c r="AX88" s="150"/>
      <c r="AY88" s="150"/>
      <c r="AZ88" s="150"/>
      <c r="BA88" s="150"/>
      <c r="BB88" s="150"/>
      <c r="BC88" s="150"/>
      <c r="BD88" s="150"/>
      <c r="BE88" s="150"/>
      <c r="BF88" s="150"/>
      <c r="BG88" s="150"/>
      <c r="BH88" s="150"/>
      <c r="BI88" s="150"/>
      <c r="BJ88" s="150"/>
      <c r="BK88" s="150"/>
      <c r="BL88" s="150"/>
    </row>
    <row r="89" spans="1:64" ht="18" hidden="1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64" s="8" customFormat="1" ht="17.100000000000001" hidden="1" customHeight="1" x14ac:dyDescent="0.45"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54"/>
    </row>
    <row r="91" spans="1:64" s="6" customFormat="1" ht="18" hidden="1" customHeight="1" x14ac:dyDescent="0.3"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  <c r="BK91" s="152"/>
      <c r="BL91" s="152"/>
    </row>
    <row r="92" spans="1:64" s="4" customFormat="1" ht="18" hidden="1" customHeight="1" ph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  <c r="AB92" s="150"/>
      <c r="AC92" s="150"/>
      <c r="AD92" s="150"/>
      <c r="AE92" s="150"/>
      <c r="AF92" s="150"/>
      <c r="AG92" s="150"/>
      <c r="AH92" s="150"/>
      <c r="AI92" s="150"/>
      <c r="AJ92" s="150"/>
      <c r="AK92" s="150"/>
      <c r="AL92" s="150"/>
      <c r="AM92" s="150"/>
      <c r="AN92" s="150"/>
      <c r="AO92" s="150"/>
      <c r="AP92" s="150"/>
      <c r="AQ92" s="150"/>
      <c r="AR92" s="150"/>
      <c r="AS92" s="150"/>
      <c r="AT92" s="150"/>
      <c r="AU92" s="150"/>
      <c r="AV92" s="150"/>
      <c r="AW92" s="150"/>
      <c r="AX92" s="150"/>
      <c r="AY92" s="150"/>
      <c r="AZ92" s="150"/>
      <c r="BA92" s="150"/>
      <c r="BB92" s="150"/>
      <c r="BC92" s="150"/>
      <c r="BD92" s="150"/>
      <c r="BE92" s="150"/>
      <c r="BF92" s="150"/>
      <c r="BG92" s="150"/>
      <c r="BH92" s="150"/>
      <c r="BI92" s="150"/>
      <c r="BJ92" s="150"/>
      <c r="BK92" s="150"/>
      <c r="BL92" s="150"/>
    </row>
    <row r="93" spans="1:64" s="4" customFormat="1" ht="18" hidden="1" customHeight="1" x14ac:dyDescent="0.3"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  <c r="AB93" s="150"/>
      <c r="AC93" s="150"/>
      <c r="AD93" s="150"/>
      <c r="AE93" s="150"/>
      <c r="AF93" s="150"/>
      <c r="AG93" s="150"/>
      <c r="AH93" s="150"/>
      <c r="AI93" s="150"/>
      <c r="AJ93" s="150"/>
      <c r="AK93" s="150"/>
      <c r="AL93" s="150"/>
      <c r="AM93" s="150"/>
      <c r="AN93" s="150"/>
      <c r="AO93" s="150"/>
      <c r="AP93" s="150"/>
      <c r="AQ93" s="150"/>
      <c r="AR93" s="150"/>
      <c r="AS93" s="150"/>
      <c r="AT93" s="150"/>
      <c r="AU93" s="150"/>
      <c r="AV93" s="150"/>
      <c r="AW93" s="150"/>
      <c r="AX93" s="150"/>
      <c r="AY93" s="150"/>
      <c r="AZ93" s="150"/>
      <c r="BA93" s="150"/>
      <c r="BB93" s="150"/>
      <c r="BC93" s="150"/>
      <c r="BD93" s="150"/>
      <c r="BE93" s="150"/>
      <c r="BF93" s="150"/>
      <c r="BG93" s="150"/>
      <c r="BH93" s="150"/>
      <c r="BI93" s="150"/>
      <c r="BJ93" s="150"/>
      <c r="BK93" s="150"/>
      <c r="BL93" s="150"/>
    </row>
    <row r="94" spans="1:64" s="4" customFormat="1" ht="18" hidden="1" customHeight="1" x14ac:dyDescent="0.3"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150"/>
      <c r="AO94" s="150"/>
      <c r="AP94" s="150"/>
      <c r="AQ94" s="150"/>
      <c r="AR94" s="150"/>
      <c r="AS94" s="150"/>
      <c r="AT94" s="150"/>
      <c r="AU94" s="150"/>
      <c r="AV94" s="150"/>
      <c r="AW94" s="150"/>
      <c r="AX94" s="150"/>
      <c r="AY94" s="150"/>
      <c r="AZ94" s="150"/>
      <c r="BA94" s="150"/>
      <c r="BB94" s="150"/>
      <c r="BC94" s="150"/>
      <c r="BD94" s="150"/>
      <c r="BE94" s="150"/>
      <c r="BF94" s="150"/>
      <c r="BG94" s="150"/>
      <c r="BH94" s="150"/>
      <c r="BI94" s="150"/>
      <c r="BJ94" s="150"/>
      <c r="BK94" s="150"/>
      <c r="BL94" s="150"/>
    </row>
    <row r="95" spans="1:64" s="4" customFormat="1" ht="18" hidden="1" customHeight="1" x14ac:dyDescent="0.3"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  <c r="AM95" s="150"/>
      <c r="AN95" s="150"/>
      <c r="AO95" s="150"/>
      <c r="AP95" s="150"/>
      <c r="AQ95" s="150"/>
      <c r="AR95" s="150"/>
      <c r="AS95" s="150"/>
      <c r="AT95" s="150"/>
      <c r="AU95" s="150"/>
      <c r="AV95" s="150"/>
      <c r="AW95" s="150"/>
      <c r="AX95" s="150"/>
      <c r="AY95" s="150"/>
      <c r="AZ95" s="150"/>
      <c r="BA95" s="150"/>
      <c r="BB95" s="150"/>
      <c r="BC95" s="150"/>
      <c r="BD95" s="150"/>
      <c r="BE95" s="150"/>
      <c r="BF95" s="150"/>
      <c r="BG95" s="150"/>
      <c r="BH95" s="150"/>
      <c r="BI95" s="150"/>
      <c r="BJ95" s="150"/>
      <c r="BK95" s="150"/>
      <c r="BL95" s="150"/>
    </row>
    <row r="96" spans="1:64" s="4" customFormat="1" ht="18" hidden="1" customHeight="1" x14ac:dyDescent="0.3"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  <c r="AB96" s="150"/>
      <c r="AC96" s="150"/>
      <c r="AD96" s="150"/>
      <c r="AE96" s="150"/>
      <c r="AF96" s="150"/>
      <c r="AG96" s="150"/>
      <c r="AH96" s="150"/>
      <c r="AI96" s="150"/>
      <c r="AJ96" s="150"/>
      <c r="AK96" s="150"/>
      <c r="AL96" s="150"/>
      <c r="AM96" s="150"/>
      <c r="AN96" s="150"/>
      <c r="AO96" s="150"/>
      <c r="AP96" s="150"/>
      <c r="AQ96" s="150"/>
      <c r="AR96" s="150"/>
      <c r="AS96" s="150"/>
      <c r="AT96" s="150"/>
      <c r="AU96" s="150"/>
      <c r="AV96" s="150"/>
      <c r="AW96" s="150"/>
      <c r="AX96" s="150"/>
      <c r="AY96" s="150"/>
      <c r="AZ96" s="150"/>
      <c r="BA96" s="150"/>
      <c r="BB96" s="150"/>
      <c r="BC96" s="150"/>
      <c r="BD96" s="150"/>
      <c r="BE96" s="150"/>
      <c r="BF96" s="150"/>
      <c r="BG96" s="150"/>
      <c r="BH96" s="150"/>
      <c r="BI96" s="150"/>
      <c r="BJ96" s="150"/>
      <c r="BK96" s="150"/>
      <c r="BL96" s="150"/>
    </row>
    <row r="97" spans="1:64" s="4" customFormat="1" ht="18" hidden="1" customHeight="1" x14ac:dyDescent="0.3"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0"/>
      <c r="AV97" s="150"/>
      <c r="AW97" s="150"/>
      <c r="AX97" s="150"/>
      <c r="AY97" s="150"/>
      <c r="AZ97" s="150"/>
      <c r="BA97" s="150"/>
      <c r="BB97" s="150"/>
      <c r="BC97" s="150"/>
      <c r="BD97" s="150"/>
      <c r="BE97" s="150"/>
      <c r="BF97" s="150"/>
      <c r="BG97" s="150"/>
      <c r="BH97" s="150"/>
      <c r="BI97" s="150"/>
      <c r="BJ97" s="150"/>
      <c r="BK97" s="150"/>
      <c r="BL97" s="150"/>
    </row>
    <row r="98" spans="1:64" s="4" customFormat="1" ht="18" hidden="1" customHeight="1" x14ac:dyDescent="0.3"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0"/>
      <c r="AP98" s="150"/>
      <c r="AQ98" s="150"/>
      <c r="AR98" s="150"/>
      <c r="AS98" s="150"/>
      <c r="AT98" s="150"/>
      <c r="AU98" s="150"/>
      <c r="AV98" s="150"/>
      <c r="AW98" s="150"/>
      <c r="AX98" s="150"/>
      <c r="AY98" s="150"/>
      <c r="AZ98" s="150"/>
      <c r="BA98" s="150"/>
      <c r="BB98" s="150"/>
      <c r="BC98" s="150"/>
      <c r="BD98" s="150"/>
      <c r="BE98" s="150"/>
      <c r="BF98" s="150"/>
      <c r="BG98" s="150"/>
      <c r="BH98" s="150"/>
      <c r="BI98" s="150"/>
      <c r="BJ98" s="150"/>
      <c r="BK98" s="150"/>
      <c r="BL98" s="150"/>
    </row>
    <row r="99" spans="1:64" s="4" customFormat="1" ht="18" hidden="1" customHeight="1" x14ac:dyDescent="0.3"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150"/>
      <c r="AG99" s="150"/>
      <c r="AH99" s="150"/>
      <c r="AI99" s="150"/>
      <c r="AJ99" s="150"/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  <c r="BL99" s="150"/>
    </row>
    <row r="100" spans="1:64" s="4" customFormat="1" ht="18" hidden="1" customHeight="1" x14ac:dyDescent="0.3"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  <c r="BL100" s="150"/>
    </row>
    <row r="101" spans="1:64" s="4" customFormat="1" ht="18" hidden="1" customHeight="1" x14ac:dyDescent="0.3"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0"/>
      <c r="AH101" s="150"/>
      <c r="AI101" s="150"/>
      <c r="AJ101" s="150"/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</row>
    <row r="102" spans="1:64" s="4" customFormat="1" ht="18" hidden="1" customHeight="1" x14ac:dyDescent="0.3"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</row>
    <row r="103" spans="1:64" s="4" customFormat="1" ht="18" hidden="1" customHeight="1" x14ac:dyDescent="0.3"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</row>
    <row r="104" spans="1:64" ht="12.75" hidden="1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64" ht="9" hidden="1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64" ht="15.75" hidden="1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64" ht="14.25" hidden="1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64" ht="12" hidden="1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64" ht="12" hidden="1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64" ht="12" hidden="1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64" ht="12" hidden="1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64" ht="12" hidden="1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64" ht="6.95" hidden="1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64" s="7" customFormat="1" ht="17.100000000000001" hidden="1" customHeight="1" x14ac:dyDescent="0.4"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  <c r="AU114" s="153"/>
      <c r="AV114" s="153"/>
      <c r="AW114" s="153"/>
      <c r="AX114" s="153"/>
      <c r="AY114" s="153"/>
      <c r="AZ114" s="153"/>
      <c r="BA114" s="153"/>
      <c r="BB114" s="153"/>
      <c r="BC114" s="153"/>
      <c r="BD114" s="153"/>
      <c r="BE114" s="153"/>
      <c r="BF114" s="153"/>
      <c r="BG114" s="153"/>
      <c r="BH114" s="153"/>
      <c r="BI114" s="153"/>
      <c r="BJ114" s="153"/>
      <c r="BK114" s="153"/>
      <c r="BL114" s="153"/>
    </row>
    <row r="115" spans="1:64" s="4" customFormat="1" ht="17.100000000000001" hidden="1" customHeight="1" x14ac:dyDescent="0.3"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  <c r="AC115" s="150"/>
      <c r="AD115" s="150"/>
      <c r="AE115" s="150"/>
      <c r="AF115" s="150"/>
      <c r="AG115" s="150"/>
      <c r="AH115" s="150"/>
      <c r="AI115" s="150"/>
      <c r="AJ115" s="150"/>
      <c r="AK115" s="150"/>
      <c r="AL115" s="150"/>
      <c r="AM115" s="150"/>
      <c r="AN115" s="150"/>
      <c r="AO115" s="150"/>
      <c r="AP115" s="150"/>
      <c r="AQ115" s="150"/>
      <c r="AR115" s="150"/>
      <c r="AS115" s="150"/>
      <c r="AT115" s="150"/>
      <c r="AU115" s="150"/>
      <c r="AV115" s="150"/>
      <c r="AW115" s="150"/>
      <c r="AX115" s="150"/>
      <c r="AY115" s="150"/>
      <c r="AZ115" s="150"/>
      <c r="BA115" s="150"/>
      <c r="BB115" s="150"/>
      <c r="BC115" s="150"/>
      <c r="BD115" s="150"/>
      <c r="BE115" s="150"/>
      <c r="BF115" s="150"/>
      <c r="BG115" s="150"/>
      <c r="BH115" s="150"/>
      <c r="BI115" s="150"/>
      <c r="BJ115" s="150"/>
      <c r="BK115" s="150"/>
      <c r="BL115" s="150"/>
    </row>
    <row r="116" spans="1:64" s="4" customFormat="1" ht="17.100000000000001" hidden="1" customHeight="1" x14ac:dyDescent="0.3"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  <c r="AY116" s="150"/>
      <c r="AZ116" s="150"/>
      <c r="BA116" s="150"/>
      <c r="BB116" s="150"/>
      <c r="BC116" s="150"/>
      <c r="BD116" s="150"/>
      <c r="BE116" s="150"/>
      <c r="BF116" s="150"/>
      <c r="BG116" s="150"/>
      <c r="BH116" s="150"/>
      <c r="BI116" s="150"/>
      <c r="BJ116" s="150"/>
      <c r="BK116" s="150"/>
      <c r="BL116" s="150"/>
    </row>
    <row r="117" spans="1:64" s="4" customFormat="1" ht="17.100000000000001" hidden="1" customHeight="1" x14ac:dyDescent="0.3"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  <c r="AB117" s="150"/>
      <c r="AC117" s="150"/>
      <c r="AD117" s="150"/>
      <c r="AE117" s="150"/>
      <c r="AF117" s="150"/>
      <c r="AG117" s="150"/>
      <c r="AH117" s="150"/>
      <c r="AI117" s="150"/>
      <c r="AJ117" s="150"/>
      <c r="AK117" s="150"/>
      <c r="AL117" s="150"/>
      <c r="AM117" s="150"/>
      <c r="AN117" s="150"/>
      <c r="AO117" s="150"/>
      <c r="AP117" s="150"/>
      <c r="AQ117" s="150"/>
      <c r="AR117" s="150"/>
      <c r="AS117" s="150"/>
      <c r="AT117" s="150"/>
      <c r="AU117" s="150"/>
      <c r="AV117" s="150"/>
      <c r="AW117" s="150"/>
      <c r="AX117" s="150"/>
      <c r="AY117" s="150"/>
      <c r="AZ117" s="150"/>
      <c r="BA117" s="150"/>
      <c r="BB117" s="150"/>
      <c r="BC117" s="150"/>
      <c r="BD117" s="150"/>
      <c r="BE117" s="150"/>
      <c r="BF117" s="150"/>
      <c r="BG117" s="150"/>
      <c r="BH117" s="150"/>
      <c r="BI117" s="150"/>
      <c r="BJ117" s="150"/>
      <c r="BK117" s="150"/>
      <c r="BL117" s="150"/>
    </row>
    <row r="118" spans="1:64" s="4" customFormat="1" ht="17.100000000000001" hidden="1" customHeight="1" x14ac:dyDescent="0.3"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  <c r="AB118" s="150"/>
      <c r="AC118" s="150"/>
      <c r="AD118" s="150"/>
      <c r="AE118" s="150"/>
      <c r="AF118" s="150"/>
      <c r="AG118" s="150"/>
      <c r="AH118" s="150"/>
      <c r="AI118" s="150"/>
      <c r="AJ118" s="150"/>
      <c r="AK118" s="150"/>
      <c r="AL118" s="150"/>
      <c r="AM118" s="150"/>
      <c r="AN118" s="150"/>
      <c r="AO118" s="150"/>
      <c r="AP118" s="150"/>
      <c r="AQ118" s="150"/>
      <c r="AR118" s="150"/>
      <c r="AS118" s="150"/>
      <c r="AT118" s="150"/>
      <c r="AU118" s="150"/>
      <c r="AV118" s="150"/>
      <c r="AW118" s="150"/>
      <c r="AX118" s="150"/>
      <c r="AY118" s="150"/>
      <c r="AZ118" s="150"/>
      <c r="BA118" s="150"/>
      <c r="BB118" s="150"/>
      <c r="BC118" s="150"/>
      <c r="BD118" s="150"/>
      <c r="BE118" s="150"/>
      <c r="BF118" s="150"/>
      <c r="BG118" s="150"/>
      <c r="BH118" s="150"/>
      <c r="BI118" s="150"/>
      <c r="BJ118" s="150"/>
      <c r="BK118" s="150"/>
      <c r="BL118" s="150"/>
    </row>
    <row r="119" spans="1:64" s="4" customFormat="1" ht="17.100000000000001" hidden="1" customHeight="1" ph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  <c r="AY119" s="150"/>
      <c r="AZ119" s="150"/>
      <c r="BA119" s="150"/>
      <c r="BB119" s="150"/>
      <c r="BC119" s="150"/>
      <c r="BD119" s="150"/>
      <c r="BE119" s="150"/>
      <c r="BF119" s="150"/>
      <c r="BG119" s="150"/>
      <c r="BH119" s="150"/>
      <c r="BI119" s="150"/>
      <c r="BJ119" s="150"/>
      <c r="BK119" s="150"/>
      <c r="BL119" s="150"/>
    </row>
    <row r="120" spans="1:64" s="4" customFormat="1" ht="17.100000000000001" hidden="1" customHeight="1" x14ac:dyDescent="0.3"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  <c r="AB120" s="150"/>
      <c r="AC120" s="150"/>
      <c r="AD120" s="150"/>
      <c r="AE120" s="150"/>
      <c r="AF120" s="150"/>
      <c r="AG120" s="150"/>
      <c r="AH120" s="150"/>
      <c r="AI120" s="150"/>
      <c r="AJ120" s="150"/>
      <c r="AK120" s="150"/>
      <c r="AL120" s="150"/>
      <c r="AM120" s="150"/>
      <c r="AN120" s="150"/>
      <c r="AO120" s="150"/>
      <c r="AP120" s="150"/>
      <c r="AQ120" s="150"/>
      <c r="AR120" s="150"/>
      <c r="AS120" s="150"/>
      <c r="AT120" s="150"/>
      <c r="AU120" s="150"/>
      <c r="AV120" s="150"/>
      <c r="AW120" s="150"/>
      <c r="AX120" s="150"/>
      <c r="AY120" s="150"/>
      <c r="AZ120" s="150"/>
      <c r="BA120" s="150"/>
      <c r="BB120" s="150"/>
      <c r="BC120" s="150"/>
      <c r="BD120" s="150"/>
      <c r="BE120" s="150"/>
      <c r="BF120" s="150"/>
      <c r="BG120" s="150"/>
      <c r="BH120" s="150"/>
      <c r="BI120" s="150"/>
      <c r="BJ120" s="150"/>
      <c r="BK120" s="150"/>
      <c r="BL120" s="150"/>
    </row>
    <row r="121" spans="1:64" s="4" customFormat="1" ht="17.100000000000001" hidden="1" customHeight="1" x14ac:dyDescent="0.3"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  <c r="AC121" s="150"/>
      <c r="AD121" s="150"/>
      <c r="AE121" s="150"/>
      <c r="AF121" s="150"/>
      <c r="AG121" s="150"/>
      <c r="AH121" s="150"/>
      <c r="AI121" s="150"/>
      <c r="AJ121" s="150"/>
      <c r="AK121" s="150"/>
      <c r="AL121" s="150"/>
      <c r="AM121" s="150"/>
      <c r="AN121" s="150"/>
      <c r="AO121" s="150"/>
      <c r="AP121" s="150"/>
      <c r="AQ121" s="150"/>
      <c r="AR121" s="150"/>
      <c r="AS121" s="150"/>
      <c r="AT121" s="150"/>
      <c r="AU121" s="150"/>
      <c r="AV121" s="150"/>
      <c r="AW121" s="150"/>
      <c r="AX121" s="150"/>
      <c r="AY121" s="150"/>
      <c r="AZ121" s="150"/>
      <c r="BA121" s="150"/>
      <c r="BB121" s="150"/>
      <c r="BC121" s="150"/>
      <c r="BD121" s="150"/>
      <c r="BE121" s="150"/>
      <c r="BF121" s="150"/>
      <c r="BG121" s="150"/>
      <c r="BH121" s="150"/>
      <c r="BI121" s="150"/>
      <c r="BJ121" s="150"/>
      <c r="BK121" s="150"/>
      <c r="BL121" s="150"/>
    </row>
    <row r="122" spans="1:64" s="4" customFormat="1" ht="17.100000000000001" hidden="1" customHeight="1" x14ac:dyDescent="0.3"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  <c r="AB122" s="150"/>
      <c r="AC122" s="150"/>
      <c r="AD122" s="150"/>
      <c r="AE122" s="150"/>
      <c r="AF122" s="150"/>
      <c r="AG122" s="150"/>
      <c r="AH122" s="150"/>
      <c r="AI122" s="150"/>
      <c r="AJ122" s="150"/>
      <c r="AK122" s="150"/>
      <c r="AL122" s="150"/>
      <c r="AM122" s="150"/>
      <c r="AN122" s="150"/>
      <c r="AO122" s="150"/>
      <c r="AP122" s="150"/>
      <c r="AQ122" s="150"/>
      <c r="AR122" s="150"/>
      <c r="AS122" s="150"/>
      <c r="AT122" s="150"/>
      <c r="AU122" s="150"/>
      <c r="AV122" s="150"/>
      <c r="AW122" s="150"/>
      <c r="AX122" s="150"/>
      <c r="AY122" s="150"/>
      <c r="AZ122" s="150"/>
      <c r="BA122" s="150"/>
      <c r="BB122" s="150"/>
      <c r="BC122" s="150"/>
      <c r="BD122" s="150"/>
      <c r="BE122" s="150"/>
      <c r="BF122" s="150"/>
      <c r="BG122" s="150"/>
      <c r="BH122" s="150"/>
      <c r="BI122" s="150"/>
      <c r="BJ122" s="150"/>
      <c r="BK122" s="150"/>
      <c r="BL122" s="150"/>
    </row>
    <row r="123" spans="1:64" s="4" customFormat="1" ht="17.100000000000001" hidden="1" customHeight="1" x14ac:dyDescent="0.3"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  <c r="AB123" s="150"/>
      <c r="AC123" s="150"/>
      <c r="AD123" s="150"/>
      <c r="AE123" s="150"/>
      <c r="AF123" s="150"/>
      <c r="AG123" s="150"/>
      <c r="AH123" s="150"/>
      <c r="AI123" s="150"/>
      <c r="AJ123" s="150"/>
      <c r="AK123" s="150"/>
      <c r="AL123" s="150"/>
      <c r="AM123" s="150"/>
      <c r="AN123" s="150"/>
      <c r="AO123" s="150"/>
      <c r="AP123" s="150"/>
      <c r="AQ123" s="150"/>
      <c r="AR123" s="150"/>
      <c r="AS123" s="150"/>
      <c r="AT123" s="150"/>
      <c r="AU123" s="150"/>
      <c r="AV123" s="150"/>
      <c r="AW123" s="150"/>
      <c r="AX123" s="150"/>
      <c r="AY123" s="150"/>
      <c r="AZ123" s="150"/>
      <c r="BA123" s="150"/>
      <c r="BB123" s="150"/>
      <c r="BC123" s="150"/>
      <c r="BD123" s="150"/>
      <c r="BE123" s="150"/>
      <c r="BF123" s="150"/>
      <c r="BG123" s="150"/>
      <c r="BH123" s="150"/>
      <c r="BI123" s="150"/>
      <c r="BJ123" s="150"/>
      <c r="BK123" s="150"/>
      <c r="BL123" s="150"/>
    </row>
    <row r="124" spans="1:64" s="4" customFormat="1" ht="17.100000000000001" hidden="1" customHeight="1" ph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50"/>
      <c r="AE124" s="150"/>
      <c r="AF124" s="150"/>
      <c r="AG124" s="150"/>
      <c r="AH124" s="150"/>
      <c r="AI124" s="150"/>
      <c r="AJ124" s="150"/>
      <c r="AK124" s="150"/>
      <c r="AL124" s="150"/>
      <c r="AM124" s="150"/>
      <c r="AN124" s="150"/>
      <c r="AO124" s="150"/>
      <c r="AP124" s="150"/>
      <c r="AQ124" s="150"/>
      <c r="AR124" s="150"/>
      <c r="AS124" s="150"/>
      <c r="AT124" s="150"/>
      <c r="AU124" s="150"/>
      <c r="AV124" s="150"/>
      <c r="AW124" s="150"/>
      <c r="AX124" s="150"/>
      <c r="AY124" s="150"/>
      <c r="AZ124" s="150"/>
      <c r="BA124" s="150"/>
      <c r="BB124" s="150"/>
      <c r="BC124" s="150"/>
      <c r="BD124" s="150"/>
      <c r="BE124" s="150"/>
      <c r="BF124" s="150"/>
      <c r="BG124" s="150"/>
      <c r="BH124" s="150"/>
      <c r="BI124" s="150"/>
      <c r="BJ124" s="150"/>
      <c r="BK124" s="150"/>
      <c r="BL124" s="150"/>
    </row>
    <row r="125" spans="1:64" s="4" customFormat="1" ht="17.100000000000001" hidden="1" customHeight="1" x14ac:dyDescent="0.3"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  <c r="AH125" s="150"/>
      <c r="AI125" s="150"/>
      <c r="AJ125" s="150"/>
      <c r="AK125" s="150"/>
      <c r="AL125" s="150"/>
      <c r="AM125" s="150"/>
      <c r="AN125" s="150"/>
      <c r="AO125" s="150"/>
      <c r="AP125" s="150"/>
      <c r="AQ125" s="150"/>
      <c r="AR125" s="150"/>
      <c r="AS125" s="150"/>
      <c r="AT125" s="150"/>
      <c r="AU125" s="150"/>
      <c r="AV125" s="150"/>
      <c r="AW125" s="150"/>
      <c r="AX125" s="150"/>
      <c r="AY125" s="150"/>
      <c r="AZ125" s="150"/>
      <c r="BA125" s="150"/>
      <c r="BB125" s="150"/>
      <c r="BC125" s="150"/>
      <c r="BD125" s="150"/>
      <c r="BE125" s="150"/>
      <c r="BF125" s="150"/>
      <c r="BG125" s="150"/>
      <c r="BH125" s="150"/>
      <c r="BI125" s="150"/>
      <c r="BJ125" s="150"/>
      <c r="BK125" s="150"/>
      <c r="BL125" s="150"/>
    </row>
    <row r="126" spans="1:64" s="4" customFormat="1" ht="17.100000000000001" hidden="1" customHeight="1" x14ac:dyDescent="0.3"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  <c r="AB126" s="150"/>
      <c r="AC126" s="150"/>
      <c r="AD126" s="150"/>
      <c r="AE126" s="150"/>
      <c r="AF126" s="150"/>
      <c r="AG126" s="150"/>
      <c r="AH126" s="150"/>
      <c r="AI126" s="150"/>
      <c r="AJ126" s="150"/>
      <c r="AK126" s="150"/>
      <c r="AL126" s="150"/>
      <c r="AM126" s="150"/>
      <c r="AN126" s="150"/>
      <c r="AO126" s="150"/>
      <c r="AP126" s="150"/>
      <c r="AQ126" s="150"/>
      <c r="AR126" s="150"/>
      <c r="AS126" s="150"/>
      <c r="AT126" s="150"/>
      <c r="AU126" s="150"/>
      <c r="AV126" s="150"/>
      <c r="AW126" s="150"/>
      <c r="AX126" s="150"/>
      <c r="AY126" s="150"/>
      <c r="AZ126" s="150"/>
      <c r="BA126" s="150"/>
      <c r="BB126" s="150"/>
      <c r="BC126" s="150"/>
      <c r="BD126" s="150"/>
      <c r="BE126" s="150"/>
      <c r="BF126" s="150"/>
      <c r="BG126" s="150"/>
      <c r="BH126" s="150"/>
      <c r="BI126" s="150"/>
      <c r="BJ126" s="150"/>
      <c r="BK126" s="150"/>
      <c r="BL126" s="150"/>
    </row>
    <row r="127" spans="1:64" s="4" customFormat="1" ht="17.100000000000001" hidden="1" customHeight="1" x14ac:dyDescent="0.3"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  <c r="AB127" s="150"/>
      <c r="AC127" s="150"/>
      <c r="AD127" s="150"/>
      <c r="AE127" s="150"/>
      <c r="AF127" s="150"/>
      <c r="AG127" s="150"/>
      <c r="AH127" s="150"/>
      <c r="AI127" s="150"/>
      <c r="AJ127" s="150"/>
      <c r="AK127" s="150"/>
      <c r="AL127" s="150"/>
      <c r="AM127" s="150"/>
      <c r="AN127" s="150"/>
      <c r="AO127" s="150"/>
      <c r="AP127" s="150"/>
      <c r="AQ127" s="150"/>
      <c r="AR127" s="150"/>
      <c r="AS127" s="150"/>
      <c r="AT127" s="150"/>
      <c r="AU127" s="150"/>
      <c r="AV127" s="150"/>
      <c r="AW127" s="150"/>
      <c r="AX127" s="150"/>
      <c r="AY127" s="150"/>
      <c r="AZ127" s="150"/>
      <c r="BA127" s="150"/>
      <c r="BB127" s="150"/>
      <c r="BC127" s="150"/>
      <c r="BD127" s="150"/>
      <c r="BE127" s="150"/>
      <c r="BF127" s="150"/>
      <c r="BG127" s="150"/>
      <c r="BH127" s="150"/>
      <c r="BI127" s="150"/>
      <c r="BJ127" s="150"/>
      <c r="BK127" s="150"/>
      <c r="BL127" s="150"/>
    </row>
    <row r="128" spans="1:64" s="4" customFormat="1" ht="17.100000000000001" hidden="1" customHeight="1" x14ac:dyDescent="0.3"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  <c r="AB128" s="150"/>
      <c r="AC128" s="150"/>
      <c r="AD128" s="150"/>
      <c r="AE128" s="150"/>
      <c r="AF128" s="150"/>
      <c r="AG128" s="150"/>
      <c r="AH128" s="150"/>
      <c r="AI128" s="150"/>
      <c r="AJ128" s="150"/>
      <c r="AK128" s="150"/>
      <c r="AL128" s="150"/>
      <c r="AM128" s="150"/>
      <c r="AN128" s="150"/>
      <c r="AO128" s="150"/>
      <c r="AP128" s="150"/>
      <c r="AQ128" s="150"/>
      <c r="AR128" s="150"/>
      <c r="AS128" s="150"/>
      <c r="AT128" s="150"/>
      <c r="AU128" s="150"/>
      <c r="AV128" s="150"/>
      <c r="AW128" s="150"/>
      <c r="AX128" s="150"/>
      <c r="AY128" s="150"/>
      <c r="AZ128" s="150"/>
      <c r="BA128" s="150"/>
      <c r="BB128" s="150"/>
      <c r="BC128" s="150"/>
      <c r="BD128" s="150"/>
      <c r="BE128" s="150"/>
      <c r="BF128" s="150"/>
      <c r="BG128" s="150"/>
      <c r="BH128" s="150"/>
      <c r="BI128" s="150"/>
      <c r="BJ128" s="150"/>
      <c r="BK128" s="150"/>
      <c r="BL128" s="150"/>
    </row>
    <row r="129" spans="15:64" s="4" customFormat="1" ht="17.100000000000001" hidden="1" customHeight="1" x14ac:dyDescent="0.3"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  <c r="AB129" s="150"/>
      <c r="AC129" s="150"/>
      <c r="AD129" s="150"/>
      <c r="AE129" s="150"/>
      <c r="AF129" s="150"/>
      <c r="AG129" s="150"/>
      <c r="AH129" s="150"/>
      <c r="AI129" s="150"/>
      <c r="AJ129" s="150"/>
      <c r="AK129" s="150"/>
      <c r="AL129" s="150"/>
      <c r="AM129" s="150"/>
      <c r="AN129" s="150"/>
      <c r="AO129" s="150"/>
      <c r="AP129" s="150"/>
      <c r="AQ129" s="150"/>
      <c r="AR129" s="150"/>
      <c r="AS129" s="150"/>
      <c r="AT129" s="150"/>
      <c r="AU129" s="150"/>
      <c r="AV129" s="150"/>
      <c r="AW129" s="150"/>
      <c r="AX129" s="150"/>
      <c r="AY129" s="150"/>
      <c r="AZ129" s="150"/>
      <c r="BA129" s="150"/>
      <c r="BB129" s="150"/>
      <c r="BC129" s="150"/>
      <c r="BD129" s="150"/>
      <c r="BE129" s="150"/>
      <c r="BF129" s="150"/>
      <c r="BG129" s="150"/>
      <c r="BH129" s="150"/>
      <c r="BI129" s="150"/>
      <c r="BJ129" s="150"/>
      <c r="BK129" s="150"/>
      <c r="BL129" s="150"/>
    </row>
    <row r="130" spans="15:64" s="4" customFormat="1" ht="17.100000000000001" hidden="1" customHeight="1" x14ac:dyDescent="0.3"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  <c r="AC130" s="150"/>
      <c r="AD130" s="150"/>
      <c r="AE130" s="150"/>
      <c r="AF130" s="150"/>
      <c r="AG130" s="150"/>
      <c r="AH130" s="150"/>
      <c r="AI130" s="150"/>
      <c r="AJ130" s="150"/>
      <c r="AK130" s="150"/>
      <c r="AL130" s="150"/>
      <c r="AM130" s="150"/>
      <c r="AN130" s="150"/>
      <c r="AO130" s="150"/>
      <c r="AP130" s="150"/>
      <c r="AQ130" s="150"/>
      <c r="AR130" s="150"/>
      <c r="AS130" s="150"/>
      <c r="AT130" s="150"/>
      <c r="AU130" s="150"/>
      <c r="AV130" s="150"/>
      <c r="AW130" s="150"/>
      <c r="AX130" s="150"/>
      <c r="AY130" s="150"/>
      <c r="AZ130" s="150"/>
      <c r="BA130" s="150"/>
      <c r="BB130" s="150"/>
      <c r="BC130" s="150"/>
      <c r="BD130" s="150"/>
      <c r="BE130" s="150"/>
      <c r="BF130" s="150"/>
      <c r="BG130" s="150"/>
      <c r="BH130" s="150"/>
      <c r="BI130" s="150"/>
      <c r="BJ130" s="150"/>
      <c r="BK130" s="150"/>
      <c r="BL130" s="150"/>
    </row>
    <row r="131" spans="15:64" s="4" customFormat="1" ht="17.100000000000001" hidden="1" customHeight="1" x14ac:dyDescent="0.3"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  <c r="AB131" s="150"/>
      <c r="AC131" s="150"/>
      <c r="AD131" s="150"/>
      <c r="AE131" s="150"/>
      <c r="AF131" s="150"/>
      <c r="AG131" s="150"/>
      <c r="AH131" s="150"/>
      <c r="AI131" s="150"/>
      <c r="AJ131" s="150"/>
      <c r="AK131" s="150"/>
      <c r="AL131" s="150"/>
      <c r="AM131" s="150"/>
      <c r="AN131" s="150"/>
      <c r="AO131" s="150"/>
      <c r="AP131" s="150"/>
      <c r="AQ131" s="150"/>
      <c r="AR131" s="150"/>
      <c r="AS131" s="150"/>
      <c r="AT131" s="150"/>
      <c r="AU131" s="150"/>
      <c r="AV131" s="150"/>
      <c r="AW131" s="150"/>
      <c r="AX131" s="150"/>
      <c r="AY131" s="150"/>
      <c r="AZ131" s="150"/>
      <c r="BA131" s="150"/>
      <c r="BB131" s="150"/>
      <c r="BC131" s="150"/>
      <c r="BD131" s="150"/>
      <c r="BE131" s="150"/>
      <c r="BF131" s="150"/>
      <c r="BG131" s="150"/>
      <c r="BH131" s="150"/>
      <c r="BI131" s="150"/>
      <c r="BJ131" s="150"/>
      <c r="BK131" s="150"/>
      <c r="BL131" s="150"/>
    </row>
    <row r="132" spans="15:64" s="4" customFormat="1" ht="17.100000000000001" hidden="1" customHeight="1" x14ac:dyDescent="0.3"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  <c r="BF132" s="150"/>
      <c r="BG132" s="150"/>
      <c r="BH132" s="150"/>
      <c r="BI132" s="150"/>
      <c r="BJ132" s="150"/>
      <c r="BK132" s="150"/>
      <c r="BL132" s="150"/>
    </row>
    <row r="133" spans="15:64" s="4" customFormat="1" ht="17.100000000000001" hidden="1" customHeight="1" x14ac:dyDescent="0.3"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  <c r="AB133" s="150"/>
      <c r="AC133" s="150"/>
      <c r="AD133" s="150"/>
      <c r="AE133" s="150"/>
      <c r="AF133" s="150"/>
      <c r="AG133" s="150"/>
      <c r="AH133" s="150"/>
      <c r="AI133" s="150"/>
      <c r="AJ133" s="150"/>
      <c r="AK133" s="150"/>
      <c r="AL133" s="150"/>
      <c r="AM133" s="150"/>
      <c r="AN133" s="150"/>
      <c r="AO133" s="150"/>
      <c r="AP133" s="150"/>
      <c r="AQ133" s="150"/>
      <c r="AR133" s="150"/>
      <c r="AS133" s="150"/>
      <c r="AT133" s="150"/>
      <c r="AU133" s="150"/>
      <c r="AV133" s="150"/>
      <c r="AW133" s="150"/>
      <c r="AX133" s="150"/>
      <c r="AY133" s="150"/>
      <c r="AZ133" s="150"/>
      <c r="BA133" s="150"/>
      <c r="BB133" s="150"/>
      <c r="BC133" s="150"/>
      <c r="BD133" s="150"/>
      <c r="BE133" s="150"/>
      <c r="BF133" s="150"/>
      <c r="BG133" s="150"/>
      <c r="BH133" s="150"/>
      <c r="BI133" s="150"/>
      <c r="BJ133" s="150"/>
      <c r="BK133" s="150"/>
      <c r="BL133" s="150"/>
    </row>
    <row r="134" spans="15:64" s="4" customFormat="1" ht="17.100000000000001" hidden="1" customHeight="1" x14ac:dyDescent="0.3"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  <c r="AB134" s="150"/>
      <c r="AC134" s="150"/>
      <c r="AD134" s="150"/>
      <c r="AE134" s="150"/>
      <c r="AF134" s="150"/>
      <c r="AG134" s="150"/>
      <c r="AH134" s="150"/>
      <c r="AI134" s="150"/>
      <c r="AJ134" s="150"/>
      <c r="AK134" s="150"/>
      <c r="AL134" s="150"/>
      <c r="AM134" s="150"/>
      <c r="AN134" s="150"/>
      <c r="AO134" s="150"/>
      <c r="AP134" s="150"/>
      <c r="AQ134" s="150"/>
      <c r="AR134" s="150"/>
      <c r="AS134" s="150"/>
      <c r="AT134" s="150"/>
      <c r="AU134" s="150"/>
      <c r="AV134" s="150"/>
      <c r="AW134" s="150"/>
      <c r="AX134" s="150"/>
      <c r="AY134" s="150"/>
      <c r="AZ134" s="150"/>
      <c r="BA134" s="150"/>
      <c r="BB134" s="150"/>
      <c r="BC134" s="150"/>
      <c r="BD134" s="150"/>
      <c r="BE134" s="150"/>
      <c r="BF134" s="150"/>
      <c r="BG134" s="150"/>
      <c r="BH134" s="150"/>
      <c r="BI134" s="150"/>
      <c r="BJ134" s="150"/>
      <c r="BK134" s="150"/>
      <c r="BL134" s="150"/>
    </row>
    <row r="135" spans="15:64" s="4" customFormat="1" ht="17.100000000000001" hidden="1" customHeight="1" x14ac:dyDescent="0.3"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  <c r="AB135" s="150"/>
      <c r="AC135" s="150"/>
      <c r="AD135" s="150"/>
      <c r="AE135" s="150"/>
      <c r="AF135" s="150"/>
      <c r="AG135" s="150"/>
      <c r="AH135" s="150"/>
      <c r="AI135" s="150"/>
      <c r="AJ135" s="150"/>
      <c r="AK135" s="150"/>
      <c r="AL135" s="150"/>
      <c r="AM135" s="150"/>
      <c r="AN135" s="150"/>
      <c r="AO135" s="150"/>
      <c r="AP135" s="150"/>
      <c r="AQ135" s="150"/>
      <c r="AR135" s="150"/>
      <c r="AS135" s="150"/>
      <c r="AT135" s="150"/>
      <c r="AU135" s="150"/>
      <c r="AV135" s="150"/>
      <c r="AW135" s="150"/>
      <c r="AX135" s="150"/>
      <c r="AY135" s="150"/>
      <c r="AZ135" s="150"/>
      <c r="BA135" s="150"/>
      <c r="BB135" s="150"/>
      <c r="BC135" s="150"/>
      <c r="BD135" s="150"/>
      <c r="BE135" s="150"/>
      <c r="BF135" s="150"/>
      <c r="BG135" s="150"/>
      <c r="BH135" s="150"/>
      <c r="BI135" s="150"/>
      <c r="BJ135" s="150"/>
      <c r="BK135" s="150"/>
      <c r="BL135" s="150"/>
    </row>
    <row r="136" spans="15:64" s="4" customFormat="1" ht="17.100000000000001" hidden="1" customHeight="1" x14ac:dyDescent="0.3"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  <c r="AB136" s="150"/>
      <c r="AC136" s="150"/>
      <c r="AD136" s="150"/>
      <c r="AE136" s="150"/>
      <c r="AF136" s="150"/>
      <c r="AG136" s="150"/>
      <c r="AH136" s="150"/>
      <c r="AI136" s="150"/>
      <c r="AJ136" s="150"/>
      <c r="AK136" s="150"/>
      <c r="AL136" s="150"/>
      <c r="AM136" s="150"/>
      <c r="AN136" s="150"/>
      <c r="AO136" s="150"/>
      <c r="AP136" s="150"/>
      <c r="AQ136" s="150"/>
      <c r="AR136" s="150"/>
      <c r="AS136" s="150"/>
      <c r="AT136" s="150"/>
      <c r="AU136" s="150"/>
      <c r="AV136" s="150"/>
      <c r="AW136" s="150"/>
      <c r="AX136" s="150"/>
      <c r="AY136" s="150"/>
      <c r="AZ136" s="150"/>
      <c r="BA136" s="150"/>
      <c r="BB136" s="150"/>
      <c r="BC136" s="150"/>
      <c r="BD136" s="150"/>
      <c r="BE136" s="150"/>
      <c r="BF136" s="150"/>
      <c r="BG136" s="150"/>
      <c r="BH136" s="150"/>
      <c r="BI136" s="150"/>
      <c r="BJ136" s="150"/>
      <c r="BK136" s="150"/>
      <c r="BL136" s="150"/>
    </row>
    <row r="137" spans="15:64" s="4" customFormat="1" ht="17.100000000000001" hidden="1" customHeight="1" x14ac:dyDescent="0.3"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  <c r="AB137" s="150"/>
      <c r="AC137" s="150"/>
      <c r="AD137" s="150"/>
      <c r="AE137" s="150"/>
      <c r="AF137" s="150"/>
      <c r="AG137" s="150"/>
      <c r="AH137" s="150"/>
      <c r="AI137" s="150"/>
      <c r="AJ137" s="150"/>
      <c r="AK137" s="150"/>
      <c r="AL137" s="150"/>
      <c r="AM137" s="150"/>
      <c r="AN137" s="150"/>
      <c r="AO137" s="150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</row>
    <row r="138" spans="15:64" s="4" customFormat="1" ht="17.100000000000001" hidden="1" customHeight="1" x14ac:dyDescent="0.3"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  <c r="AB138" s="150"/>
      <c r="AC138" s="150"/>
      <c r="AD138" s="150"/>
      <c r="AE138" s="150"/>
      <c r="AF138" s="150"/>
      <c r="AG138" s="150"/>
      <c r="AH138" s="150"/>
      <c r="AI138" s="150"/>
      <c r="AJ138" s="150"/>
      <c r="AK138" s="150"/>
      <c r="AL138" s="150"/>
      <c r="AM138" s="150"/>
      <c r="AN138" s="150"/>
      <c r="AO138" s="150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</row>
    <row r="139" spans="15:64" s="4" customFormat="1" ht="17.100000000000001" hidden="1" customHeight="1" x14ac:dyDescent="0.3"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  <c r="AB139" s="150"/>
      <c r="AC139" s="150"/>
      <c r="AD139" s="150"/>
      <c r="AE139" s="150"/>
      <c r="AF139" s="150"/>
      <c r="AG139" s="150"/>
      <c r="AH139" s="150"/>
      <c r="AI139" s="150"/>
      <c r="AJ139" s="150"/>
      <c r="AK139" s="150"/>
      <c r="AL139" s="150"/>
      <c r="AM139" s="150"/>
      <c r="AN139" s="150"/>
      <c r="AO139" s="150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</row>
    <row r="140" spans="15:64" s="4" customFormat="1" ht="17.100000000000001" hidden="1" customHeight="1" x14ac:dyDescent="0.3"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  <c r="AB140" s="150"/>
      <c r="AC140" s="150"/>
      <c r="AD140" s="150"/>
      <c r="AE140" s="150"/>
      <c r="AF140" s="150"/>
      <c r="AG140" s="150"/>
      <c r="AH140" s="150"/>
      <c r="AI140" s="150"/>
      <c r="AJ140" s="150"/>
      <c r="AK140" s="150"/>
      <c r="AL140" s="150"/>
      <c r="AM140" s="150"/>
      <c r="AN140" s="150"/>
      <c r="AO140" s="150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</row>
    <row r="141" spans="15:64" s="4" customFormat="1" ht="17.100000000000001" hidden="1" customHeight="1" x14ac:dyDescent="0.3"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  <c r="AB141" s="150"/>
      <c r="AC141" s="150"/>
      <c r="AD141" s="150"/>
      <c r="AE141" s="150"/>
      <c r="AF141" s="150"/>
      <c r="AG141" s="150"/>
      <c r="AH141" s="150"/>
      <c r="AI141" s="150"/>
      <c r="AJ141" s="150"/>
      <c r="AK141" s="150"/>
      <c r="AL141" s="150"/>
      <c r="AM141" s="150"/>
      <c r="AN141" s="150"/>
      <c r="AO141" s="150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</row>
    <row r="142" spans="15:64" s="4" customFormat="1" ht="17.100000000000001" hidden="1" customHeight="1" x14ac:dyDescent="0.3"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  <c r="AB142" s="150"/>
      <c r="AC142" s="150"/>
      <c r="AD142" s="150"/>
      <c r="AE142" s="150"/>
      <c r="AF142" s="150"/>
      <c r="AG142" s="150"/>
      <c r="AH142" s="150"/>
      <c r="AI142" s="150"/>
      <c r="AJ142" s="150"/>
      <c r="AK142" s="150"/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</row>
    <row r="143" spans="15:64" s="4" customFormat="1" ht="17.100000000000001" hidden="1" customHeight="1" x14ac:dyDescent="0.3"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/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</row>
    <row r="144" spans="15:64" s="4" customFormat="1" ht="17.100000000000001" hidden="1" customHeight="1" x14ac:dyDescent="0.3"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  <c r="AB144" s="150"/>
      <c r="AC144" s="150"/>
      <c r="AD144" s="150"/>
      <c r="AE144" s="150"/>
      <c r="AF144" s="150"/>
      <c r="AG144" s="150"/>
      <c r="AH144" s="150"/>
      <c r="AI144" s="150"/>
      <c r="AJ144" s="150"/>
      <c r="AK144" s="150"/>
      <c r="AL144" s="150"/>
      <c r="AM144" s="150"/>
      <c r="AN144" s="150"/>
      <c r="AO144" s="150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</row>
    <row r="145" spans="1:64" s="4" customFormat="1" ht="17.100000000000001" hidden="1" customHeight="1" x14ac:dyDescent="0.3"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  <c r="AH145" s="150"/>
      <c r="AI145" s="150"/>
      <c r="AJ145" s="150"/>
      <c r="AK145" s="150"/>
      <c r="AL145" s="150"/>
      <c r="AM145" s="150"/>
      <c r="AN145" s="150"/>
      <c r="AO145" s="150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</row>
    <row r="146" spans="1:64" s="4" customFormat="1" ht="17.100000000000001" hidden="1" customHeight="1" x14ac:dyDescent="0.3"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150"/>
      <c r="AI146" s="150"/>
      <c r="AJ146" s="150"/>
      <c r="AK146" s="150"/>
      <c r="AL146" s="150"/>
      <c r="AM146" s="150"/>
      <c r="AN146" s="150"/>
      <c r="AO146" s="150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</row>
    <row r="147" spans="1:64" s="4" customFormat="1" ht="17.100000000000001" hidden="1" customHeight="1" x14ac:dyDescent="0.3"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  <c r="AB147" s="150"/>
      <c r="AC147" s="150"/>
      <c r="AD147" s="150"/>
      <c r="AE147" s="150"/>
      <c r="AF147" s="150"/>
      <c r="AG147" s="150"/>
      <c r="AH147" s="150"/>
      <c r="AI147" s="150"/>
      <c r="AJ147" s="150"/>
      <c r="AK147" s="150"/>
      <c r="AL147" s="150"/>
      <c r="AM147" s="150"/>
      <c r="AN147" s="150"/>
      <c r="AO147" s="150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</row>
    <row r="148" spans="1:64" s="4" customFormat="1" ht="17.100000000000001" hidden="1" customHeight="1" x14ac:dyDescent="0.3"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150"/>
      <c r="AI148" s="150"/>
      <c r="AJ148" s="150"/>
      <c r="AK148" s="150"/>
      <c r="AL148" s="150"/>
      <c r="AM148" s="150"/>
      <c r="AN148" s="150"/>
      <c r="AO148" s="150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</row>
    <row r="149" spans="1:64" s="4" customFormat="1" ht="17.100000000000001" hidden="1" customHeight="1" x14ac:dyDescent="0.3"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  <c r="AB149" s="150"/>
      <c r="AC149" s="150"/>
      <c r="AD149" s="150"/>
      <c r="AE149" s="150"/>
      <c r="AF149" s="150"/>
      <c r="AG149" s="150"/>
      <c r="AH149" s="150"/>
      <c r="AI149" s="150"/>
      <c r="AJ149" s="150"/>
      <c r="AK149" s="150"/>
      <c r="AL149" s="150"/>
      <c r="AM149" s="150"/>
      <c r="AN149" s="150"/>
      <c r="AO149" s="150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</row>
    <row r="150" spans="1:64" s="4" customFormat="1" ht="17.100000000000001" hidden="1" customHeight="1" x14ac:dyDescent="0.3"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  <c r="AB150" s="150"/>
      <c r="AC150" s="150"/>
      <c r="AD150" s="150"/>
      <c r="AE150" s="150"/>
      <c r="AF150" s="150"/>
      <c r="AG150" s="150"/>
      <c r="AH150" s="150"/>
      <c r="AI150" s="150"/>
      <c r="AJ150" s="150"/>
      <c r="AK150" s="150"/>
      <c r="AL150" s="150"/>
      <c r="AM150" s="150"/>
      <c r="AN150" s="150"/>
      <c r="AO150" s="150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</row>
    <row r="151" spans="1:64" s="4" customFormat="1" ht="17.100000000000001" hidden="1" customHeight="1" ph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  <c r="AB151" s="150"/>
      <c r="AC151" s="150"/>
      <c r="AD151" s="150"/>
      <c r="AE151" s="150"/>
      <c r="AF151" s="150"/>
      <c r="AG151" s="150"/>
      <c r="AH151" s="150"/>
      <c r="AI151" s="150"/>
      <c r="AJ151" s="150"/>
      <c r="AK151" s="150"/>
      <c r="AL151" s="150"/>
      <c r="AM151" s="150"/>
      <c r="AN151" s="150"/>
      <c r="AO151" s="150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</row>
    <row r="152" spans="1:64" s="4" customFormat="1" ht="17.100000000000001" hidden="1" customHeight="1" x14ac:dyDescent="0.3"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  <c r="AB152" s="150"/>
      <c r="AC152" s="150"/>
      <c r="AD152" s="150"/>
      <c r="AE152" s="150"/>
      <c r="AF152" s="150"/>
      <c r="AG152" s="150"/>
      <c r="AH152" s="150"/>
      <c r="AI152" s="150"/>
      <c r="AJ152" s="150"/>
      <c r="AK152" s="150"/>
      <c r="AL152" s="150"/>
      <c r="AM152" s="150"/>
      <c r="AN152" s="150"/>
      <c r="AO152" s="150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</row>
    <row r="153" spans="1:64" s="4" customFormat="1" ht="17.100000000000001" hidden="1" customHeight="1" x14ac:dyDescent="0.3"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  <c r="AB153" s="150"/>
      <c r="AC153" s="150"/>
      <c r="AD153" s="150"/>
      <c r="AE153" s="150"/>
      <c r="AF153" s="150"/>
      <c r="AG153" s="150"/>
      <c r="AH153" s="150"/>
      <c r="AI153" s="150"/>
      <c r="AJ153" s="150"/>
      <c r="AK153" s="150"/>
      <c r="AL153" s="150"/>
      <c r="AM153" s="150"/>
      <c r="AN153" s="150"/>
      <c r="AO153" s="150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</row>
    <row r="154" spans="1:64" s="4" customFormat="1" ht="17.100000000000001" hidden="1" customHeight="1" x14ac:dyDescent="0.3"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  <c r="AB154" s="150"/>
      <c r="AC154" s="150"/>
      <c r="AD154" s="150"/>
      <c r="AE154" s="150"/>
      <c r="AF154" s="150"/>
      <c r="AG154" s="150"/>
      <c r="AH154" s="150"/>
      <c r="AI154" s="150"/>
      <c r="AJ154" s="150"/>
      <c r="AK154" s="150"/>
      <c r="AL154" s="150"/>
      <c r="AM154" s="150"/>
      <c r="AN154" s="150"/>
      <c r="AO154" s="150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</row>
    <row r="155" spans="1:64" s="4" customFormat="1" ht="17.100000000000001" hidden="1" customHeight="1" x14ac:dyDescent="0.3"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  <c r="AB155" s="150"/>
      <c r="AC155" s="150"/>
      <c r="AD155" s="150"/>
      <c r="AE155" s="150"/>
      <c r="AF155" s="150"/>
      <c r="AG155" s="150"/>
      <c r="AH155" s="150"/>
      <c r="AI155" s="150"/>
      <c r="AJ155" s="150"/>
      <c r="AK155" s="150"/>
      <c r="AL155" s="150"/>
      <c r="AM155" s="150"/>
      <c r="AN155" s="150"/>
      <c r="AO155" s="150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</row>
    <row r="156" spans="1:64" s="4" customFormat="1" ht="18.75" hidden="1" customHeight="1" ph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  <c r="AB156" s="150"/>
      <c r="AC156" s="150"/>
      <c r="AD156" s="150"/>
      <c r="AE156" s="150"/>
      <c r="AF156" s="150"/>
      <c r="AG156" s="150"/>
      <c r="AH156" s="150"/>
      <c r="AI156" s="150"/>
      <c r="AJ156" s="150"/>
      <c r="AK156" s="150"/>
      <c r="AL156" s="150"/>
      <c r="AM156" s="150"/>
      <c r="AN156" s="150"/>
      <c r="AO156" s="150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</row>
    <row r="157" spans="1:64" ht="12.75" hidden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64" ht="12.75" hidden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64" ht="12.75" hidden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64" ht="12.75" hidden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2.75" hidden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2.75" hidden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2.75" hidden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2.75" hidden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2.75" hidden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2.75" hidden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2.75" hidden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2.75" hidden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2.75" hidden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2.75" hidden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2.75" hidden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2.75" hidden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2.75" hidden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2.75" hidden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2.75" hidden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2.75" hidden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2.75" hidden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2.75" hidden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2.75" hidden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2.75" hidden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2.75" hidden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2.75" hidden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2.75" hidden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2.75" hidden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2.75" hidden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2.75" hidden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2.75" hidden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2.75" hidden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2.75" hidden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2.75" hidden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2.75" hidden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2.75" hidden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2.75" hidden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2.75" hidden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2.75" hidden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2.75" hidden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2.75" hidden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2.75" hidden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2.75" hidden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2.75" hidden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</sheetData>
  <sheetProtection password="BA39" sheet="1" objects="1" scenarios="1"/>
  <mergeCells count="12">
    <mergeCell ref="G28:H28"/>
    <mergeCell ref="C29:F29"/>
    <mergeCell ref="G43:H43"/>
    <mergeCell ref="D43:E43"/>
    <mergeCell ref="D28:E28"/>
    <mergeCell ref="C30:F30"/>
    <mergeCell ref="G29:H29"/>
    <mergeCell ref="G30:H30"/>
    <mergeCell ref="C45:F45"/>
    <mergeCell ref="C44:F44"/>
    <mergeCell ref="G44:H44"/>
    <mergeCell ref="G45:H45"/>
  </mergeCells>
  <phoneticPr fontId="59" type="noConversion"/>
  <pageMargins left="0.36" right="0.15" top="0.25" bottom="0.16" header="0.5" footer="0.5"/>
  <pageSetup scale="64" orientation="portrait" blackAndWhite="1" horizontalDpi="4294967292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6" shapeId="1033" r:id="rId4">
          <objectPr defaultSize="0" autoLine="0" autoPict="0" r:id="rId5">
            <anchor moveWithCells="1">
              <from>
                <xdr:col>0</xdr:col>
                <xdr:colOff>9525</xdr:colOff>
                <xdr:row>0</xdr:row>
                <xdr:rowOff>0</xdr:rowOff>
              </from>
              <to>
                <xdr:col>1</xdr:col>
                <xdr:colOff>52388</xdr:colOff>
                <xdr:row>3</xdr:row>
                <xdr:rowOff>38100</xdr:rowOff>
              </to>
            </anchor>
          </objectPr>
        </oleObject>
      </mc:Choice>
      <mc:Fallback>
        <oleObject progId="Word.Picture.6" shapeId="103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071C-73E4-4623-943F-D27D9B006CB0}">
  <sheetPr transitionEvaluation="1">
    <pageSetUpPr fitToPage="1"/>
  </sheetPr>
  <dimension ref="A1:U166"/>
  <sheetViews>
    <sheetView showGridLines="0" showZeros="0" topLeftCell="A43" zoomScale="80" workbookViewId="0">
      <selection activeCell="F24" sqref="F24"/>
    </sheetView>
  </sheetViews>
  <sheetFormatPr defaultColWidth="0" defaultRowHeight="15.4" zeroHeight="1" x14ac:dyDescent="0.45"/>
  <cols>
    <col min="1" max="1" width="6.3984375" style="11" customWidth="1"/>
    <col min="2" max="2" width="11.59765625" style="10" customWidth="1"/>
    <col min="3" max="3" width="7.73046875" style="10" customWidth="1"/>
    <col min="4" max="4" width="6.1328125" style="10" customWidth="1"/>
    <col min="5" max="5" width="9.73046875" style="10" customWidth="1"/>
    <col min="6" max="6" width="11.265625" style="10" customWidth="1"/>
    <col min="7" max="7" width="11" style="10" customWidth="1"/>
    <col min="8" max="8" width="13.1328125" style="10" customWidth="1"/>
    <col min="9" max="9" width="14.1328125" style="10" customWidth="1"/>
    <col min="10" max="10" width="12.59765625" style="10" customWidth="1"/>
    <col min="11" max="11" width="12.1328125" style="10" customWidth="1"/>
    <col min="12" max="12" width="9.265625" style="10" customWidth="1"/>
    <col min="13" max="13" width="11.265625" style="10" customWidth="1"/>
    <col min="14" max="14" width="11" style="10" customWidth="1"/>
    <col min="15" max="15" width="20.73046875" style="10" customWidth="1"/>
    <col min="16" max="16" width="18.86328125" style="11" hidden="1" customWidth="1"/>
    <col min="17" max="16384" width="0" style="11" hidden="1"/>
  </cols>
  <sheetData>
    <row r="1" spans="1:21" ht="19.5" customHeight="1" x14ac:dyDescent="0.5">
      <c r="A1" s="197" t="s">
        <v>62</v>
      </c>
      <c r="B1" s="69"/>
      <c r="C1" s="69"/>
      <c r="D1" s="69"/>
      <c r="E1" s="69"/>
      <c r="F1" s="70"/>
      <c r="G1" s="71"/>
      <c r="H1" s="72"/>
      <c r="I1" s="72"/>
      <c r="J1" s="72"/>
      <c r="K1" s="73"/>
      <c r="L1" s="73"/>
      <c r="M1" s="73"/>
      <c r="N1" s="73"/>
      <c r="O1" s="73"/>
      <c r="P1" s="78"/>
      <c r="Q1" s="78"/>
      <c r="R1" s="78"/>
      <c r="S1" s="78"/>
      <c r="T1" s="78"/>
      <c r="U1" s="78"/>
    </row>
    <row r="2" spans="1:21" ht="20.25" customHeight="1" x14ac:dyDescent="0.6">
      <c r="A2" s="198" t="s">
        <v>63</v>
      </c>
      <c r="B2" s="69"/>
      <c r="C2" s="69"/>
      <c r="D2" s="69"/>
      <c r="E2" s="69"/>
      <c r="F2" s="74"/>
      <c r="G2" s="329"/>
      <c r="H2" s="72"/>
      <c r="I2" s="72"/>
      <c r="J2" s="72"/>
      <c r="K2"/>
      <c r="L2"/>
      <c r="M2" s="266" t="s">
        <v>64</v>
      </c>
      <c r="N2" s="267">
        <f>IF(VALUE('Short Form'!H62)&lt;&gt;0,2,"")</f>
        <v>2</v>
      </c>
      <c r="O2" s="268">
        <f>IF(N2=0,"",'Short Form'!N3)</f>
        <v>4</v>
      </c>
      <c r="P2" s="78"/>
      <c r="Q2" s="78"/>
      <c r="R2" s="78"/>
      <c r="S2" s="78"/>
      <c r="T2" s="78"/>
      <c r="U2" s="78"/>
    </row>
    <row r="3" spans="1:21" ht="9.75" customHeight="1" x14ac:dyDescent="0.4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8"/>
      <c r="P3" s="78"/>
      <c r="Q3" s="78"/>
      <c r="R3" s="78"/>
      <c r="S3" s="78"/>
      <c r="T3" s="78"/>
      <c r="U3" s="78"/>
    </row>
    <row r="4" spans="1:21" ht="14.25" customHeight="1" x14ac:dyDescent="0.45">
      <c r="A4" s="33" t="s">
        <v>8</v>
      </c>
      <c r="B4" s="236"/>
      <c r="C4" s="27"/>
      <c r="D4" s="236"/>
      <c r="E4" s="237" t="s">
        <v>9</v>
      </c>
      <c r="F4" s="236"/>
      <c r="G4" s="236"/>
      <c r="H4" s="81" t="s">
        <v>10</v>
      </c>
      <c r="I4" s="80"/>
      <c r="J4" s="79"/>
      <c r="K4" s="35" t="s">
        <v>103</v>
      </c>
      <c r="L4" s="82"/>
      <c r="M4" s="82"/>
      <c r="N4" s="82"/>
      <c r="O4" s="83"/>
      <c r="P4" s="78"/>
      <c r="Q4" s="78"/>
      <c r="R4" s="78"/>
      <c r="S4" s="78"/>
      <c r="T4" s="78"/>
      <c r="U4" s="78"/>
    </row>
    <row r="5" spans="1:21" s="12" customFormat="1" ht="21" customHeight="1" x14ac:dyDescent="0.4">
      <c r="A5" s="245">
        <f>'Short Form'!A6</f>
        <v>0</v>
      </c>
      <c r="B5" s="121"/>
      <c r="C5" s="121"/>
      <c r="D5" s="121"/>
      <c r="E5" s="252">
        <f>'Short Form'!E6</f>
        <v>0</v>
      </c>
      <c r="F5" s="121"/>
      <c r="G5" s="121"/>
      <c r="H5" s="178">
        <f>'Short Form'!H6</f>
        <v>0</v>
      </c>
      <c r="I5" s="177"/>
      <c r="J5" s="179"/>
      <c r="K5" s="116">
        <f>'Short Form'!K6</f>
        <v>0</v>
      </c>
      <c r="L5" s="113"/>
      <c r="M5" s="113"/>
      <c r="N5" s="17"/>
      <c r="O5" s="18"/>
      <c r="P5" s="163"/>
      <c r="Q5" s="163"/>
      <c r="R5" s="163"/>
      <c r="S5" s="163"/>
      <c r="T5" s="163"/>
      <c r="U5" s="163"/>
    </row>
    <row r="6" spans="1:21" s="12" customFormat="1" ht="8.25" customHeight="1" x14ac:dyDescent="0.45">
      <c r="A6" s="84"/>
      <c r="B6" s="84"/>
      <c r="C6" s="76"/>
      <c r="D6" s="85"/>
      <c r="E6" s="76"/>
      <c r="F6" s="76"/>
      <c r="G6" s="86"/>
      <c r="H6" s="76"/>
      <c r="I6" s="76"/>
      <c r="J6" s="87"/>
      <c r="K6" s="88"/>
      <c r="L6" s="76"/>
      <c r="M6" s="76"/>
      <c r="N6" s="76"/>
      <c r="O6" s="85"/>
      <c r="P6" s="163"/>
      <c r="Q6" s="163"/>
      <c r="R6" s="163"/>
      <c r="S6" s="163"/>
      <c r="T6" s="163"/>
      <c r="U6" s="163"/>
    </row>
    <row r="7" spans="1:21" ht="15.75" customHeight="1" x14ac:dyDescent="0.45">
      <c r="A7" s="199" t="s">
        <v>65</v>
      </c>
      <c r="B7" s="200"/>
      <c r="C7" s="201"/>
      <c r="D7" s="200"/>
      <c r="E7" s="200"/>
      <c r="F7" s="200"/>
      <c r="G7" s="200"/>
      <c r="H7" s="200"/>
      <c r="I7" s="200"/>
      <c r="J7" s="200"/>
      <c r="K7" s="200"/>
      <c r="L7" s="200"/>
      <c r="M7" s="202"/>
      <c r="N7" s="202"/>
      <c r="O7" s="203"/>
      <c r="P7" s="78"/>
      <c r="Q7" s="78"/>
      <c r="R7" s="78"/>
      <c r="S7" s="78"/>
      <c r="T7" s="78"/>
      <c r="U7" s="78"/>
    </row>
    <row r="8" spans="1:21" ht="14.25" customHeight="1" x14ac:dyDescent="0.45">
      <c r="A8" s="204" t="s">
        <v>66</v>
      </c>
      <c r="B8" s="200"/>
      <c r="C8" s="205"/>
      <c r="D8" s="200"/>
      <c r="E8" s="205"/>
      <c r="F8" s="206"/>
      <c r="G8" s="207"/>
      <c r="H8" s="205"/>
      <c r="I8" s="200"/>
      <c r="J8" s="200"/>
      <c r="K8" s="200"/>
      <c r="L8" s="200"/>
      <c r="M8" s="206"/>
      <c r="N8" s="206"/>
      <c r="O8" s="203"/>
      <c r="P8" s="78"/>
      <c r="Q8" s="78"/>
      <c r="R8" s="78"/>
      <c r="S8" s="78"/>
      <c r="T8" s="78"/>
      <c r="U8" s="78"/>
    </row>
    <row r="9" spans="1:21" ht="12.75" customHeight="1" x14ac:dyDescent="0.45">
      <c r="A9" s="203" t="s">
        <v>67</v>
      </c>
      <c r="B9" s="206"/>
      <c r="C9" s="206"/>
      <c r="D9" s="206"/>
      <c r="E9" s="208"/>
      <c r="F9" s="206"/>
      <c r="G9" s="206"/>
      <c r="H9" s="206"/>
      <c r="I9" s="206"/>
      <c r="J9" s="206"/>
      <c r="K9" s="206"/>
      <c r="L9" s="206"/>
      <c r="M9" s="206"/>
      <c r="N9" s="206"/>
      <c r="O9" s="208"/>
      <c r="P9" s="78"/>
      <c r="Q9" s="78"/>
      <c r="R9" s="78"/>
      <c r="S9" s="78"/>
      <c r="T9" s="78"/>
      <c r="U9" s="78"/>
    </row>
    <row r="10" spans="1:21" ht="6.75" customHeight="1" x14ac:dyDescent="0.45">
      <c r="A10" s="73"/>
      <c r="B10" s="91"/>
      <c r="C10" s="91"/>
      <c r="D10" s="91"/>
      <c r="E10" s="78"/>
      <c r="F10" s="91"/>
      <c r="G10" s="91"/>
      <c r="H10" s="91"/>
      <c r="I10" s="91"/>
      <c r="J10" s="91"/>
      <c r="K10" s="91"/>
      <c r="L10" s="91"/>
      <c r="M10" s="91"/>
      <c r="N10" s="91"/>
      <c r="O10" s="78"/>
      <c r="P10" s="78"/>
      <c r="Q10" s="78"/>
      <c r="R10" s="78"/>
      <c r="S10" s="78"/>
      <c r="T10" s="78"/>
      <c r="U10" s="78"/>
    </row>
    <row r="11" spans="1:21" ht="15.75" customHeight="1" x14ac:dyDescent="0.45">
      <c r="A11" s="297" t="s">
        <v>68</v>
      </c>
      <c r="B11" s="297" t="s">
        <v>13</v>
      </c>
      <c r="C11" s="298"/>
      <c r="D11" s="298"/>
      <c r="E11" s="298" t="s">
        <v>69</v>
      </c>
      <c r="F11" s="298"/>
      <c r="G11" s="298"/>
      <c r="H11" s="298"/>
      <c r="I11" s="298"/>
      <c r="J11" s="298"/>
      <c r="K11" s="299"/>
      <c r="L11" s="297" t="s">
        <v>70</v>
      </c>
      <c r="M11" s="296" t="s">
        <v>71</v>
      </c>
      <c r="N11" s="296" t="s">
        <v>18</v>
      </c>
      <c r="O11" s="296" t="s">
        <v>72</v>
      </c>
      <c r="P11" s="78"/>
      <c r="Q11" s="78"/>
      <c r="R11" s="78"/>
      <c r="S11" s="78"/>
      <c r="T11" s="78"/>
      <c r="U11" s="78"/>
    </row>
    <row r="12" spans="1:21" s="13" customFormat="1" ht="24" customHeight="1" x14ac:dyDescent="0.4">
      <c r="A12" s="186" t="s">
        <v>122</v>
      </c>
      <c r="B12" s="148" t="s">
        <v>123</v>
      </c>
      <c r="C12" s="137" t="s">
        <v>124</v>
      </c>
      <c r="D12" s="166"/>
      <c r="E12" s="166"/>
      <c r="F12" s="166"/>
      <c r="G12" s="167"/>
      <c r="H12" s="166"/>
      <c r="I12" s="168"/>
      <c r="J12" s="166"/>
      <c r="K12" s="166"/>
      <c r="L12" s="254" t="s">
        <v>125</v>
      </c>
      <c r="M12" s="259">
        <v>309</v>
      </c>
      <c r="N12" s="257">
        <v>1</v>
      </c>
      <c r="O12" s="188">
        <f t="shared" ref="O12:O27" si="0">IF(N12=" ",M12*1,M12*N12)</f>
        <v>309</v>
      </c>
      <c r="P12" s="91"/>
      <c r="Q12" s="91"/>
      <c r="R12" s="91"/>
      <c r="S12" s="91"/>
      <c r="T12" s="91"/>
      <c r="U12" s="91"/>
    </row>
    <row r="13" spans="1:21" s="13" customFormat="1" ht="24" customHeight="1" x14ac:dyDescent="0.4">
      <c r="A13" s="186" t="s">
        <v>122</v>
      </c>
      <c r="B13" s="148" t="s">
        <v>123</v>
      </c>
      <c r="C13" s="124" t="s">
        <v>142</v>
      </c>
      <c r="D13" s="166"/>
      <c r="E13" s="166"/>
      <c r="F13" s="166"/>
      <c r="G13" s="167"/>
      <c r="H13" s="166"/>
      <c r="I13" s="166"/>
      <c r="J13" s="166"/>
      <c r="K13" s="166"/>
      <c r="L13" s="254"/>
      <c r="M13" s="259">
        <v>410.61</v>
      </c>
      <c r="N13" s="257">
        <v>1</v>
      </c>
      <c r="O13" s="188">
        <f t="shared" si="0"/>
        <v>410.61</v>
      </c>
      <c r="P13" s="91"/>
      <c r="Q13" s="91"/>
      <c r="R13" s="91"/>
      <c r="S13" s="91"/>
      <c r="T13" s="91"/>
      <c r="U13" s="91"/>
    </row>
    <row r="14" spans="1:21" s="13" customFormat="1" ht="24" customHeight="1" x14ac:dyDescent="0.4">
      <c r="A14" s="186" t="s">
        <v>122</v>
      </c>
      <c r="B14" s="148" t="s">
        <v>123</v>
      </c>
      <c r="C14" s="124" t="s">
        <v>145</v>
      </c>
      <c r="D14" s="166"/>
      <c r="E14" s="166"/>
      <c r="F14" s="166"/>
      <c r="G14" s="167"/>
      <c r="H14" s="166"/>
      <c r="I14" s="166"/>
      <c r="J14" s="166"/>
      <c r="K14" s="166"/>
      <c r="L14" s="254" t="s">
        <v>146</v>
      </c>
      <c r="M14" s="259">
        <v>180.72</v>
      </c>
      <c r="N14" s="257">
        <v>1</v>
      </c>
      <c r="O14" s="188">
        <f t="shared" si="0"/>
        <v>180.72</v>
      </c>
      <c r="P14" s="91"/>
      <c r="Q14" s="91"/>
      <c r="R14" s="91"/>
      <c r="S14" s="91"/>
      <c r="T14" s="91"/>
      <c r="U14" s="91"/>
    </row>
    <row r="15" spans="1:21" s="13" customFormat="1" ht="24" customHeight="1" x14ac:dyDescent="0.4">
      <c r="A15" s="186" t="s">
        <v>122</v>
      </c>
      <c r="B15" s="148" t="s">
        <v>123</v>
      </c>
      <c r="C15" s="124" t="s">
        <v>147</v>
      </c>
      <c r="D15" s="166"/>
      <c r="E15" s="166"/>
      <c r="F15" s="166"/>
      <c r="G15" s="167"/>
      <c r="H15" s="166"/>
      <c r="I15" s="166"/>
      <c r="J15" s="166"/>
      <c r="K15" s="166"/>
      <c r="L15" s="254" t="s">
        <v>146</v>
      </c>
      <c r="M15" s="259">
        <v>7.35</v>
      </c>
      <c r="N15" s="257">
        <v>1</v>
      </c>
      <c r="O15" s="188">
        <f t="shared" si="0"/>
        <v>7.35</v>
      </c>
      <c r="P15" s="91"/>
      <c r="Q15" s="91"/>
      <c r="R15" s="91"/>
      <c r="S15" s="91"/>
      <c r="T15" s="91"/>
      <c r="U15" s="91"/>
    </row>
    <row r="16" spans="1:21" s="13" customFormat="1" ht="24" customHeight="1" x14ac:dyDescent="0.4">
      <c r="A16" s="186" t="s">
        <v>122</v>
      </c>
      <c r="B16" s="148">
        <v>36758</v>
      </c>
      <c r="C16" s="124" t="s">
        <v>148</v>
      </c>
      <c r="D16" s="166"/>
      <c r="E16" s="166"/>
      <c r="F16" s="166"/>
      <c r="G16" s="167"/>
      <c r="H16" s="166"/>
      <c r="I16" s="166"/>
      <c r="J16" s="166"/>
      <c r="K16" s="166"/>
      <c r="L16" s="254" t="s">
        <v>149</v>
      </c>
      <c r="M16" s="259">
        <v>62.1</v>
      </c>
      <c r="N16" s="257">
        <v>1</v>
      </c>
      <c r="O16" s="188">
        <f t="shared" si="0"/>
        <v>62.1</v>
      </c>
      <c r="P16" s="91"/>
      <c r="Q16" s="91"/>
      <c r="R16" s="91"/>
      <c r="S16" s="91"/>
      <c r="T16" s="91"/>
      <c r="U16" s="91"/>
    </row>
    <row r="17" spans="1:21" s="13" customFormat="1" ht="24" customHeight="1" x14ac:dyDescent="0.4">
      <c r="A17" s="186" t="s">
        <v>122</v>
      </c>
      <c r="B17" s="148">
        <v>36760</v>
      </c>
      <c r="C17" s="124" t="s">
        <v>151</v>
      </c>
      <c r="D17" s="166"/>
      <c r="E17" s="166"/>
      <c r="F17" s="166"/>
      <c r="G17" s="167"/>
      <c r="H17" s="166"/>
      <c r="I17" s="166"/>
      <c r="J17" s="166"/>
      <c r="K17" s="166"/>
      <c r="L17" s="254"/>
      <c r="M17" s="259">
        <v>90.85</v>
      </c>
      <c r="N17" s="257">
        <v>1</v>
      </c>
      <c r="O17" s="188">
        <f t="shared" si="0"/>
        <v>90.85</v>
      </c>
      <c r="P17" s="91"/>
      <c r="Q17" s="91"/>
      <c r="R17" s="91"/>
      <c r="S17" s="91"/>
      <c r="T17" s="91"/>
      <c r="U17" s="91"/>
    </row>
    <row r="18" spans="1:21" s="13" customFormat="1" ht="24" customHeight="1" x14ac:dyDescent="0.4">
      <c r="A18" s="186" t="s">
        <v>122</v>
      </c>
      <c r="B18" s="148" t="s">
        <v>154</v>
      </c>
      <c r="C18" s="124" t="s">
        <v>155</v>
      </c>
      <c r="D18" s="166"/>
      <c r="E18" s="196"/>
      <c r="F18" s="166"/>
      <c r="G18" s="167"/>
      <c r="H18" s="166"/>
      <c r="I18" s="166"/>
      <c r="J18" s="166"/>
      <c r="K18" s="166"/>
      <c r="L18" s="254" t="s">
        <v>125</v>
      </c>
      <c r="M18" s="259">
        <v>446</v>
      </c>
      <c r="N18" s="257">
        <v>1</v>
      </c>
      <c r="O18" s="188">
        <f t="shared" si="0"/>
        <v>446</v>
      </c>
      <c r="P18" s="91"/>
      <c r="Q18" s="91"/>
      <c r="R18" s="91"/>
      <c r="S18" s="91"/>
      <c r="T18" s="91"/>
      <c r="U18" s="91"/>
    </row>
    <row r="19" spans="1:21" s="13" customFormat="1" ht="24" customHeight="1" x14ac:dyDescent="0.4">
      <c r="A19" s="186" t="s">
        <v>122</v>
      </c>
      <c r="B19" s="148">
        <v>36761</v>
      </c>
      <c r="C19" s="124" t="s">
        <v>151</v>
      </c>
      <c r="D19" s="166"/>
      <c r="E19" s="166"/>
      <c r="F19" s="166"/>
      <c r="G19" s="167"/>
      <c r="H19" s="166"/>
      <c r="I19" s="166"/>
      <c r="J19" s="166"/>
      <c r="K19" s="166"/>
      <c r="L19" s="254"/>
      <c r="M19" s="259">
        <v>107.87</v>
      </c>
      <c r="N19" s="257">
        <v>1</v>
      </c>
      <c r="O19" s="188">
        <f t="shared" si="0"/>
        <v>107.87</v>
      </c>
      <c r="P19" s="91"/>
      <c r="Q19" s="91"/>
      <c r="R19" s="91"/>
      <c r="S19" s="91"/>
      <c r="T19" s="91"/>
      <c r="U19" s="91"/>
    </row>
    <row r="20" spans="1:21" s="13" customFormat="1" ht="24" customHeight="1" ph="1" x14ac:dyDescent="0.4">
      <c r="A20" s="186" t="s">
        <v>122</v>
      </c>
      <c r="B20" s="148">
        <v>36762</v>
      </c>
      <c r="C20" s="124" t="s">
        <v>157</v>
      </c>
      <c r="D20" s="166"/>
      <c r="E20" s="166"/>
      <c r="F20" s="166"/>
      <c r="G20" s="167"/>
      <c r="H20" s="166"/>
      <c r="I20" s="166"/>
      <c r="J20" s="166"/>
      <c r="K20" s="166"/>
      <c r="L20" s="254" t="s">
        <v>146</v>
      </c>
      <c r="M20" s="259">
        <v>72.78</v>
      </c>
      <c r="N20" s="257">
        <v>1</v>
      </c>
      <c r="O20" s="188">
        <f t="shared" si="0"/>
        <v>72.78</v>
      </c>
      <c r="P20" s="91"/>
      <c r="Q20" s="91"/>
      <c r="R20" s="91"/>
      <c r="S20" s="91"/>
      <c r="T20" s="91"/>
      <c r="U20" s="91"/>
    </row>
    <row r="21" spans="1:21" s="13" customFormat="1" ht="24" customHeight="1" x14ac:dyDescent="0.4">
      <c r="A21" s="186" t="s">
        <v>122</v>
      </c>
      <c r="B21" s="148">
        <v>36762</v>
      </c>
      <c r="C21" s="124" t="s">
        <v>158</v>
      </c>
      <c r="D21" s="166"/>
      <c r="E21" s="166"/>
      <c r="F21" s="166"/>
      <c r="G21" s="167"/>
      <c r="H21" s="166"/>
      <c r="I21" s="166"/>
      <c r="J21" s="166"/>
      <c r="K21" s="166"/>
      <c r="L21" s="254" t="s">
        <v>146</v>
      </c>
      <c r="M21" s="259">
        <v>22.25</v>
      </c>
      <c r="N21" s="257">
        <v>1</v>
      </c>
      <c r="O21" s="188">
        <f t="shared" si="0"/>
        <v>22.25</v>
      </c>
      <c r="P21" s="91"/>
      <c r="Q21" s="91"/>
      <c r="R21" s="91"/>
      <c r="S21" s="91"/>
      <c r="T21" s="91"/>
      <c r="U21" s="91"/>
    </row>
    <row r="22" spans="1:21" s="13" customFormat="1" ht="24" customHeight="1" x14ac:dyDescent="0.4">
      <c r="A22" s="186"/>
      <c r="B22" s="148"/>
      <c r="C22" s="124"/>
      <c r="D22" s="166"/>
      <c r="E22" s="166"/>
      <c r="F22" s="166"/>
      <c r="G22" s="167"/>
      <c r="H22" s="166"/>
      <c r="I22" s="166"/>
      <c r="J22" s="166"/>
      <c r="K22" s="166"/>
      <c r="L22" s="254"/>
      <c r="M22" s="259"/>
      <c r="N22" s="257"/>
      <c r="O22" s="188">
        <f t="shared" si="0"/>
        <v>0</v>
      </c>
      <c r="P22" s="91"/>
      <c r="Q22" s="91"/>
      <c r="R22" s="91"/>
      <c r="S22" s="91"/>
      <c r="T22" s="91"/>
      <c r="U22" s="91"/>
    </row>
    <row r="23" spans="1:21" s="13" customFormat="1" ht="24" customHeight="1" x14ac:dyDescent="0.4">
      <c r="A23" s="186"/>
      <c r="B23" s="148"/>
      <c r="C23" s="124"/>
      <c r="D23" s="166"/>
      <c r="E23" s="166"/>
      <c r="F23" s="166"/>
      <c r="G23" s="167"/>
      <c r="H23" s="166"/>
      <c r="I23" s="166"/>
      <c r="J23" s="166"/>
      <c r="K23" s="166"/>
      <c r="L23" s="254"/>
      <c r="M23" s="259"/>
      <c r="N23" s="257"/>
      <c r="O23" s="188">
        <f t="shared" si="0"/>
        <v>0</v>
      </c>
      <c r="P23" s="91"/>
      <c r="Q23" s="91"/>
      <c r="R23" s="91"/>
      <c r="S23" s="91"/>
      <c r="T23" s="91"/>
      <c r="U23" s="91"/>
    </row>
    <row r="24" spans="1:21" s="13" customFormat="1" ht="24" customHeight="1" x14ac:dyDescent="0.4">
      <c r="A24" s="186"/>
      <c r="B24" s="148"/>
      <c r="C24" s="124"/>
      <c r="D24" s="166"/>
      <c r="E24" s="166"/>
      <c r="F24" s="166"/>
      <c r="G24" s="167"/>
      <c r="H24" s="166"/>
      <c r="I24" s="166"/>
      <c r="J24" s="166"/>
      <c r="K24" s="166"/>
      <c r="L24" s="254"/>
      <c r="M24" s="259"/>
      <c r="N24" s="257"/>
      <c r="O24" s="188">
        <f t="shared" si="0"/>
        <v>0</v>
      </c>
      <c r="P24" s="91"/>
      <c r="Q24" s="91"/>
      <c r="R24" s="91"/>
      <c r="S24" s="91"/>
      <c r="T24" s="91"/>
      <c r="U24" s="91"/>
    </row>
    <row r="25" spans="1:21" s="13" customFormat="1" ht="24" customHeight="1" ph="1" x14ac:dyDescent="0.4">
      <c r="A25" s="186"/>
      <c r="B25" s="148"/>
      <c r="C25" s="124"/>
      <c r="D25" s="166"/>
      <c r="E25" s="166"/>
      <c r="F25" s="166"/>
      <c r="G25" s="167"/>
      <c r="H25" s="166"/>
      <c r="I25" s="166"/>
      <c r="J25" s="166"/>
      <c r="K25" s="166"/>
      <c r="L25" s="254"/>
      <c r="M25" s="259"/>
      <c r="N25" s="257"/>
      <c r="O25" s="188">
        <f t="shared" si="0"/>
        <v>0</v>
      </c>
      <c r="P25" s="91"/>
      <c r="Q25" s="91"/>
      <c r="R25" s="91"/>
      <c r="S25" s="91"/>
      <c r="T25" s="91"/>
      <c r="U25" s="91"/>
    </row>
    <row r="26" spans="1:21" s="13" customFormat="1" ht="24" customHeight="1" x14ac:dyDescent="0.4">
      <c r="A26" s="186"/>
      <c r="B26" s="148"/>
      <c r="C26" s="124"/>
      <c r="D26" s="166"/>
      <c r="E26" s="166"/>
      <c r="F26" s="166"/>
      <c r="G26" s="167"/>
      <c r="H26" s="166"/>
      <c r="I26" s="166"/>
      <c r="J26" s="166"/>
      <c r="K26" s="166"/>
      <c r="L26" s="254"/>
      <c r="M26" s="259"/>
      <c r="N26" s="257"/>
      <c r="O26" s="188">
        <f t="shared" si="0"/>
        <v>0</v>
      </c>
      <c r="P26" s="91"/>
      <c r="Q26" s="91"/>
      <c r="R26" s="91"/>
      <c r="S26" s="91"/>
      <c r="T26" s="91"/>
      <c r="U26" s="91"/>
    </row>
    <row r="27" spans="1:21" s="13" customFormat="1" ht="24" customHeight="1" x14ac:dyDescent="0.4">
      <c r="A27" s="186"/>
      <c r="B27" s="148"/>
      <c r="C27" s="124"/>
      <c r="D27" s="166"/>
      <c r="E27" s="166"/>
      <c r="F27" s="166"/>
      <c r="G27" s="167"/>
      <c r="H27" s="166"/>
      <c r="I27" s="166"/>
      <c r="J27" s="166"/>
      <c r="K27" s="166"/>
      <c r="L27" s="254"/>
      <c r="M27" s="259"/>
      <c r="N27" s="257"/>
      <c r="O27" s="188">
        <f t="shared" si="0"/>
        <v>0</v>
      </c>
      <c r="P27" s="91"/>
      <c r="Q27" s="91"/>
      <c r="R27" s="91"/>
      <c r="S27" s="91"/>
      <c r="T27" s="91"/>
      <c r="U27" s="91"/>
    </row>
    <row r="28" spans="1:21" s="13" customFormat="1" ht="24" customHeight="1" x14ac:dyDescent="0.4">
      <c r="A28" s="186"/>
      <c r="B28" s="148"/>
      <c r="C28" s="124"/>
      <c r="D28" s="166"/>
      <c r="E28" s="166"/>
      <c r="F28" s="166"/>
      <c r="G28" s="167"/>
      <c r="H28" s="166"/>
      <c r="I28" s="166"/>
      <c r="J28" s="166"/>
      <c r="K28" s="166"/>
      <c r="L28" s="254"/>
      <c r="M28" s="259"/>
      <c r="N28" s="257"/>
      <c r="O28" s="188">
        <f t="shared" ref="O28:O40" si="1">IF(N28=" ",M28*1,M28*N28)</f>
        <v>0</v>
      </c>
      <c r="P28" s="91"/>
      <c r="Q28" s="91"/>
      <c r="R28" s="91"/>
      <c r="S28" s="91"/>
      <c r="T28" s="91"/>
      <c r="U28" s="91"/>
    </row>
    <row r="29" spans="1:21" s="13" customFormat="1" ht="24" customHeight="1" x14ac:dyDescent="0.4">
      <c r="A29" s="186"/>
      <c r="B29" s="148"/>
      <c r="C29" s="137"/>
      <c r="D29" s="166"/>
      <c r="E29" s="166"/>
      <c r="F29" s="166"/>
      <c r="G29" s="167"/>
      <c r="H29" s="166"/>
      <c r="I29" s="166"/>
      <c r="J29" s="166"/>
      <c r="K29" s="166"/>
      <c r="L29" s="254"/>
      <c r="M29" s="259"/>
      <c r="N29" s="257"/>
      <c r="O29" s="188">
        <f t="shared" si="1"/>
        <v>0</v>
      </c>
      <c r="P29" s="91"/>
      <c r="Q29" s="91"/>
      <c r="R29" s="91"/>
      <c r="S29" s="91"/>
      <c r="T29" s="91"/>
      <c r="U29" s="91"/>
    </row>
    <row r="30" spans="1:21" s="13" customFormat="1" ht="24" customHeight="1" x14ac:dyDescent="0.4">
      <c r="A30" s="186"/>
      <c r="B30" s="148"/>
      <c r="C30" s="124"/>
      <c r="D30" s="166"/>
      <c r="E30" s="166"/>
      <c r="F30" s="166"/>
      <c r="G30" s="167"/>
      <c r="H30" s="166"/>
      <c r="I30" s="166"/>
      <c r="J30" s="166"/>
      <c r="K30" s="166"/>
      <c r="L30" s="254"/>
      <c r="M30" s="259"/>
      <c r="N30" s="257"/>
      <c r="O30" s="188">
        <f t="shared" si="1"/>
        <v>0</v>
      </c>
      <c r="P30" s="91"/>
      <c r="Q30" s="91"/>
      <c r="R30" s="91"/>
      <c r="S30" s="91"/>
      <c r="T30" s="91"/>
      <c r="U30" s="91"/>
    </row>
    <row r="31" spans="1:21" s="13" customFormat="1" ht="24" customHeight="1" x14ac:dyDescent="0.4">
      <c r="A31" s="186"/>
      <c r="B31" s="148"/>
      <c r="C31" s="124"/>
      <c r="D31" s="166"/>
      <c r="E31" s="166"/>
      <c r="F31" s="166"/>
      <c r="G31" s="167"/>
      <c r="H31" s="166"/>
      <c r="I31" s="166"/>
      <c r="J31" s="166"/>
      <c r="K31" s="166"/>
      <c r="L31" s="254"/>
      <c r="M31" s="259"/>
      <c r="N31" s="257"/>
      <c r="O31" s="188">
        <f t="shared" si="1"/>
        <v>0</v>
      </c>
      <c r="P31" s="91"/>
      <c r="Q31" s="91"/>
      <c r="R31" s="91"/>
      <c r="S31" s="91"/>
      <c r="T31" s="91"/>
      <c r="U31" s="91"/>
    </row>
    <row r="32" spans="1:21" s="13" customFormat="1" ht="24" customHeight="1" x14ac:dyDescent="0.4">
      <c r="A32" s="186"/>
      <c r="B32" s="148"/>
      <c r="C32" s="124"/>
      <c r="D32" s="166"/>
      <c r="E32" s="166"/>
      <c r="F32" s="166"/>
      <c r="G32" s="167"/>
      <c r="H32" s="166"/>
      <c r="I32" s="166"/>
      <c r="J32" s="166"/>
      <c r="K32" s="166"/>
      <c r="L32" s="254"/>
      <c r="M32" s="259"/>
      <c r="N32" s="257"/>
      <c r="O32" s="188">
        <f t="shared" si="1"/>
        <v>0</v>
      </c>
      <c r="P32" s="91"/>
      <c r="Q32" s="91"/>
      <c r="R32" s="91"/>
      <c r="S32" s="91"/>
      <c r="T32" s="91"/>
      <c r="U32" s="91"/>
    </row>
    <row r="33" spans="1:21" s="13" customFormat="1" ht="24" customHeight="1" x14ac:dyDescent="0.4">
      <c r="A33" s="186"/>
      <c r="B33" s="148"/>
      <c r="C33" s="124"/>
      <c r="D33" s="166"/>
      <c r="E33" s="166"/>
      <c r="F33" s="166"/>
      <c r="G33" s="167"/>
      <c r="H33" s="166"/>
      <c r="I33" s="166"/>
      <c r="J33" s="166"/>
      <c r="K33" s="166"/>
      <c r="L33" s="254"/>
      <c r="M33" s="259"/>
      <c r="N33" s="257"/>
      <c r="O33" s="188">
        <f t="shared" si="1"/>
        <v>0</v>
      </c>
      <c r="P33" s="91"/>
      <c r="Q33" s="91"/>
      <c r="R33" s="91"/>
      <c r="S33" s="91"/>
      <c r="T33" s="91"/>
      <c r="U33" s="91"/>
    </row>
    <row r="34" spans="1:21" s="13" customFormat="1" ht="24" customHeight="1" x14ac:dyDescent="0.4">
      <c r="A34" s="186"/>
      <c r="B34" s="148"/>
      <c r="C34" s="124"/>
      <c r="D34" s="166"/>
      <c r="E34" s="166"/>
      <c r="F34" s="166"/>
      <c r="G34" s="167"/>
      <c r="H34" s="166"/>
      <c r="I34" s="166"/>
      <c r="J34" s="166"/>
      <c r="K34" s="166"/>
      <c r="L34" s="254"/>
      <c r="M34" s="259"/>
      <c r="N34" s="257"/>
      <c r="O34" s="188">
        <f t="shared" si="1"/>
        <v>0</v>
      </c>
      <c r="P34" s="91"/>
      <c r="Q34" s="91"/>
      <c r="R34" s="91"/>
      <c r="S34" s="91"/>
      <c r="T34" s="91"/>
      <c r="U34" s="91"/>
    </row>
    <row r="35" spans="1:21" s="13" customFormat="1" ht="24" customHeight="1" x14ac:dyDescent="0.4">
      <c r="A35" s="186"/>
      <c r="B35" s="148"/>
      <c r="C35" s="124"/>
      <c r="D35" s="166"/>
      <c r="E35" s="166"/>
      <c r="F35" s="166"/>
      <c r="G35" s="167"/>
      <c r="H35" s="166"/>
      <c r="I35" s="166"/>
      <c r="J35" s="166"/>
      <c r="K35" s="166"/>
      <c r="L35" s="254"/>
      <c r="M35" s="259"/>
      <c r="N35" s="257"/>
      <c r="O35" s="188">
        <f t="shared" si="1"/>
        <v>0</v>
      </c>
      <c r="P35" s="91"/>
      <c r="Q35" s="91"/>
      <c r="R35" s="91"/>
      <c r="S35" s="91"/>
      <c r="T35" s="91"/>
      <c r="U35" s="91"/>
    </row>
    <row r="36" spans="1:21" s="13" customFormat="1" ht="24" customHeight="1" x14ac:dyDescent="0.4">
      <c r="A36" s="186"/>
      <c r="B36" s="148"/>
      <c r="C36" s="124"/>
      <c r="D36" s="166"/>
      <c r="E36" s="166"/>
      <c r="F36" s="166"/>
      <c r="G36" s="167"/>
      <c r="H36" s="166"/>
      <c r="I36" s="166"/>
      <c r="J36" s="166"/>
      <c r="K36" s="166"/>
      <c r="L36" s="254"/>
      <c r="M36" s="259"/>
      <c r="N36" s="257"/>
      <c r="O36" s="188">
        <f t="shared" si="1"/>
        <v>0</v>
      </c>
      <c r="P36" s="91"/>
      <c r="Q36" s="91"/>
      <c r="R36" s="91"/>
      <c r="S36" s="91"/>
      <c r="T36" s="91"/>
      <c r="U36" s="91"/>
    </row>
    <row r="37" spans="1:21" s="13" customFormat="1" ht="24" customHeight="1" x14ac:dyDescent="0.4">
      <c r="A37" s="186"/>
      <c r="B37" s="148"/>
      <c r="C37" s="124"/>
      <c r="D37" s="166"/>
      <c r="E37" s="166"/>
      <c r="F37" s="166"/>
      <c r="G37" s="167"/>
      <c r="H37" s="166"/>
      <c r="I37" s="166"/>
      <c r="J37" s="166"/>
      <c r="K37" s="166"/>
      <c r="L37" s="254"/>
      <c r="M37" s="259"/>
      <c r="N37" s="257"/>
      <c r="O37" s="188">
        <f t="shared" si="1"/>
        <v>0</v>
      </c>
      <c r="P37" s="91"/>
      <c r="Q37" s="91"/>
      <c r="R37" s="91"/>
      <c r="S37" s="91"/>
      <c r="T37" s="91"/>
      <c r="U37" s="91"/>
    </row>
    <row r="38" spans="1:21" s="13" customFormat="1" ht="24" customHeight="1" x14ac:dyDescent="0.4">
      <c r="A38" s="186"/>
      <c r="B38" s="148"/>
      <c r="C38" s="124"/>
      <c r="D38" s="166"/>
      <c r="E38" s="166"/>
      <c r="F38" s="166"/>
      <c r="G38" s="167"/>
      <c r="H38" s="166"/>
      <c r="I38" s="166"/>
      <c r="J38" s="166"/>
      <c r="K38" s="166"/>
      <c r="L38" s="254"/>
      <c r="M38" s="259"/>
      <c r="N38" s="257"/>
      <c r="O38" s="188">
        <f t="shared" si="1"/>
        <v>0</v>
      </c>
      <c r="P38" s="91"/>
      <c r="Q38" s="91"/>
      <c r="R38" s="91"/>
      <c r="S38" s="91"/>
      <c r="T38" s="91"/>
      <c r="U38" s="91"/>
    </row>
    <row r="39" spans="1:21" s="13" customFormat="1" ht="24" customHeight="1" x14ac:dyDescent="0.4">
      <c r="A39" s="186"/>
      <c r="B39" s="148"/>
      <c r="C39" s="124"/>
      <c r="D39" s="166"/>
      <c r="E39" s="166"/>
      <c r="F39" s="166"/>
      <c r="G39" s="167"/>
      <c r="H39" s="166"/>
      <c r="I39" s="166"/>
      <c r="J39" s="166"/>
      <c r="K39" s="166"/>
      <c r="L39" s="254"/>
      <c r="M39" s="259"/>
      <c r="N39" s="257"/>
      <c r="O39" s="188">
        <f t="shared" si="1"/>
        <v>0</v>
      </c>
      <c r="P39" s="91"/>
      <c r="Q39" s="91"/>
      <c r="R39" s="91"/>
      <c r="S39" s="91"/>
      <c r="T39" s="91"/>
      <c r="U39" s="91"/>
    </row>
    <row r="40" spans="1:21" s="13" customFormat="1" ht="24" customHeight="1" x14ac:dyDescent="0.4">
      <c r="A40" s="186"/>
      <c r="B40" s="148"/>
      <c r="C40" s="124"/>
      <c r="D40" s="166"/>
      <c r="E40" s="166"/>
      <c r="F40" s="166"/>
      <c r="G40" s="167"/>
      <c r="H40" s="166"/>
      <c r="I40" s="166"/>
      <c r="J40" s="166"/>
      <c r="K40" s="166"/>
      <c r="L40" s="254"/>
      <c r="M40" s="259"/>
      <c r="N40" s="257"/>
      <c r="O40" s="188">
        <f t="shared" si="1"/>
        <v>0</v>
      </c>
      <c r="P40" s="91"/>
      <c r="Q40" s="91"/>
      <c r="R40" s="91"/>
      <c r="S40" s="91"/>
      <c r="T40" s="91"/>
      <c r="U40" s="91"/>
    </row>
    <row r="41" spans="1:21" s="13" customFormat="1" ht="24" customHeight="1" x14ac:dyDescent="0.4">
      <c r="A41" s="184"/>
      <c r="B41" s="272"/>
      <c r="C41"/>
      <c r="D41" s="95"/>
      <c r="E41"/>
      <c r="F41" s="272" t="s">
        <v>73</v>
      </c>
      <c r="G41" s="279"/>
      <c r="H41" s="271"/>
      <c r="I41"/>
      <c r="J41" s="280" t="s">
        <v>74</v>
      </c>
      <c r="K41" s="281">
        <f>IF(SUM(L49:L54)=0,0,$O$41-(SUMIF($A$12:$A$40,IF($L$49=" ",$A$49," "),$O$12:$O$40))-(SUMIF($A$12:$A$40,IF($L$50=" ",$A$50," "),$O$12:$O$40))-(SUMIF($A$12:$A$40,IF( $L$51=" ",$A$51," "),$O$12:$O$40))-(SUMIF($A$12:$A$40,IF($L$52=" ",$A$52," "),$O$12:$O$40))-(SUMIF($A$12:$A$40,IF($L$53=" ",$A$53," "),$O$12:$O$40))-(SUMIF($A$12:$A$40,IF($L$54=" ",$A$54," "),$O$12:$O$40)))</f>
        <v>0</v>
      </c>
      <c r="L41" s="95"/>
      <c r="M41" s="296" t="s">
        <v>75</v>
      </c>
      <c r="N41" s="296"/>
      <c r="O41" s="125">
        <f>SUM(O12:O40)</f>
        <v>1709.53</v>
      </c>
      <c r="P41" s="91"/>
      <c r="Q41" s="91"/>
      <c r="R41" s="91"/>
      <c r="S41" s="91"/>
      <c r="T41" s="91"/>
      <c r="U41" s="91"/>
    </row>
    <row r="42" spans="1:21" s="13" customFormat="1" ht="15.75" customHeight="1" x14ac:dyDescent="0.4">
      <c r="A42" s="185"/>
      <c r="B42" s="73"/>
      <c r="C42"/>
      <c r="D42" s="273"/>
      <c r="E42" s="274"/>
      <c r="F42" s="203" t="s">
        <v>76</v>
      </c>
      <c r="G42" s="279"/>
      <c r="H42"/>
      <c r="I42"/>
      <c r="J42" s="73"/>
      <c r="K42" s="204" t="s">
        <v>77</v>
      </c>
      <c r="L42" s="95"/>
      <c r="M42" s="92"/>
      <c r="N42" s="93"/>
      <c r="O42" s="97"/>
      <c r="P42" s="91"/>
      <c r="Q42" s="91"/>
      <c r="R42" s="91"/>
      <c r="S42" s="91"/>
      <c r="T42" s="91"/>
      <c r="U42" s="91"/>
    </row>
    <row r="43" spans="1:21" s="13" customFormat="1" ht="15.75" customHeight="1" x14ac:dyDescent="0.4">
      <c r="A43" s="185"/>
      <c r="B43" s="73"/>
      <c r="C43"/>
      <c r="D43" s="275"/>
      <c r="E43" s="275"/>
      <c r="F43" s="203" t="s">
        <v>78</v>
      </c>
      <c r="G43" s="279"/>
      <c r="H43"/>
      <c r="I43"/>
      <c r="J43"/>
      <c r="K43" s="209" t="s">
        <v>79</v>
      </c>
      <c r="L43" s="95"/>
      <c r="M43" s="92"/>
      <c r="N43" s="93"/>
      <c r="O43" s="97"/>
      <c r="P43" s="91"/>
      <c r="Q43" s="91"/>
      <c r="R43" s="91"/>
      <c r="S43" s="91"/>
      <c r="T43" s="91"/>
      <c r="U43" s="91"/>
    </row>
    <row r="44" spans="1:21" s="13" customFormat="1" ht="15.75" customHeight="1" x14ac:dyDescent="0.4">
      <c r="A44" s="185"/>
      <c r="B44"/>
      <c r="C44"/>
      <c r="D44" s="275"/>
      <c r="E44" s="275"/>
      <c r="F44" s="215" t="s">
        <v>80</v>
      </c>
      <c r="G44" s="279"/>
      <c r="H44"/>
      <c r="I44"/>
      <c r="J44"/>
      <c r="K44" s="276"/>
      <c r="L44" s="95"/>
      <c r="M44" s="92"/>
      <c r="N44" s="93"/>
      <c r="O44" s="97"/>
      <c r="P44" s="91"/>
      <c r="Q44" s="91"/>
      <c r="R44" s="91"/>
      <c r="S44" s="91"/>
      <c r="T44" s="91"/>
      <c r="U44" s="91"/>
    </row>
    <row r="45" spans="1:21" s="13" customFormat="1" ht="15.75" customHeight="1" x14ac:dyDescent="0.4">
      <c r="A45" s="185"/>
      <c r="B45" s="277"/>
      <c r="C45"/>
      <c r="D45" s="275"/>
      <c r="E45" s="275"/>
      <c r="F45" s="215" t="s">
        <v>81</v>
      </c>
      <c r="G45" s="279"/>
      <c r="H45"/>
      <c r="I45"/>
      <c r="J45" s="96"/>
      <c r="K45"/>
      <c r="L45"/>
      <c r="M45" s="92"/>
      <c r="N45" s="93"/>
      <c r="O45" s="97"/>
      <c r="P45" s="91"/>
      <c r="Q45" s="91"/>
      <c r="R45" s="91"/>
      <c r="S45" s="91"/>
      <c r="T45" s="91"/>
      <c r="U45" s="91"/>
    </row>
    <row r="46" spans="1:21" s="13" customFormat="1" ht="15.75" customHeight="1" x14ac:dyDescent="0.4">
      <c r="A46" s="221" t="s">
        <v>82</v>
      </c>
      <c r="B46" s="210"/>
      <c r="C46" s="209"/>
      <c r="D46" s="96"/>
      <c r="E46" s="77"/>
      <c r="F46" s="77"/>
      <c r="G46" s="278"/>
      <c r="H46"/>
      <c r="I46"/>
      <c r="J46" s="77"/>
      <c r="K46"/>
      <c r="L46" s="270" t="str">
        <f>IF($O$41=$O$55," ","Totals are not equal")</f>
        <v xml:space="preserve"> </v>
      </c>
      <c r="M46" s="77"/>
      <c r="N46" s="77"/>
      <c r="O46" s="77"/>
      <c r="P46" s="91"/>
      <c r="Q46" s="91"/>
      <c r="R46" s="91"/>
      <c r="S46" s="91"/>
      <c r="T46" s="91"/>
      <c r="U46" s="91"/>
    </row>
    <row r="47" spans="1:21" s="13" customFormat="1" ht="14.25" customHeight="1" x14ac:dyDescent="0.35">
      <c r="A47" s="211" t="s">
        <v>83</v>
      </c>
      <c r="B47" s="210"/>
      <c r="C47" s="209"/>
      <c r="D47" s="96"/>
      <c r="E47" s="77"/>
      <c r="F47" s="77"/>
      <c r="G47" s="77"/>
      <c r="H47" s="77"/>
      <c r="I47"/>
      <c r="J47" s="77"/>
      <c r="K47"/>
      <c r="L47" s="77"/>
      <c r="M47" s="77"/>
      <c r="N47" s="77"/>
      <c r="O47" s="77"/>
      <c r="P47" s="91"/>
      <c r="Q47" s="91"/>
      <c r="R47" s="91"/>
      <c r="S47" s="91"/>
      <c r="T47" s="91"/>
      <c r="U47" s="91"/>
    </row>
    <row r="48" spans="1:21" s="13" customFormat="1" ht="24" customHeight="1" x14ac:dyDescent="0.4">
      <c r="A48" s="306" t="s">
        <v>68</v>
      </c>
      <c r="B48" s="306" t="s">
        <v>106</v>
      </c>
      <c r="C48" s="306" t="s">
        <v>105</v>
      </c>
      <c r="D48" s="330"/>
      <c r="E48" s="402" t="s">
        <v>104</v>
      </c>
      <c r="F48" s="403"/>
      <c r="G48" s="331"/>
      <c r="H48" s="397" t="s">
        <v>101</v>
      </c>
      <c r="I48" s="398"/>
      <c r="J48" s="344" t="s">
        <v>120</v>
      </c>
      <c r="K48" s="344" t="s">
        <v>119</v>
      </c>
      <c r="L48" s="334" t="s">
        <v>84</v>
      </c>
      <c r="M48" s="270"/>
      <c r="N48" s="93"/>
      <c r="O48" s="296" t="s">
        <v>85</v>
      </c>
      <c r="P48" s="91"/>
      <c r="Q48" s="91"/>
      <c r="R48" s="91"/>
      <c r="S48" s="91"/>
      <c r="T48" s="91"/>
      <c r="U48" s="91"/>
    </row>
    <row r="49" spans="1:21" ht="24" customHeight="1" x14ac:dyDescent="0.45">
      <c r="A49" s="335" t="s">
        <v>122</v>
      </c>
      <c r="B49" s="336" t="s">
        <v>135</v>
      </c>
      <c r="C49" s="337" t="s">
        <v>121</v>
      </c>
      <c r="D49" s="404" t="s">
        <v>136</v>
      </c>
      <c r="E49" s="406"/>
      <c r="F49" s="406"/>
      <c r="G49" s="407"/>
      <c r="H49" s="404"/>
      <c r="I49" s="405"/>
      <c r="J49" s="187"/>
      <c r="K49" s="187"/>
      <c r="L49" s="341"/>
      <c r="M49" s="73"/>
      <c r="N49" s="93"/>
      <c r="O49" s="169">
        <f>IF($L$49=" ",SUMIF($A$12:$A$40,A49,$O$12:$O$40),$K$41*$L$49)</f>
        <v>1709.53</v>
      </c>
      <c r="P49" s="78"/>
      <c r="Q49" s="78"/>
      <c r="R49" s="78"/>
      <c r="S49" s="78"/>
      <c r="T49" s="78"/>
      <c r="U49" s="78"/>
    </row>
    <row r="50" spans="1:21" ht="24" customHeight="1" x14ac:dyDescent="0.45">
      <c r="A50" s="339"/>
      <c r="B50" s="336"/>
      <c r="C50" s="337"/>
      <c r="D50" s="404"/>
      <c r="E50" s="406"/>
      <c r="F50" s="406"/>
      <c r="G50" s="407"/>
      <c r="H50" s="404"/>
      <c r="I50" s="406"/>
      <c r="J50" s="187"/>
      <c r="K50" s="187"/>
      <c r="L50" s="340"/>
      <c r="M50" s="94"/>
      <c r="N50" s="93"/>
      <c r="O50" s="347"/>
      <c r="P50" s="78"/>
      <c r="Q50" s="78"/>
      <c r="R50" s="78"/>
      <c r="S50" s="78"/>
      <c r="T50" s="78"/>
      <c r="U50" s="78"/>
    </row>
    <row r="51" spans="1:21" ht="24" customHeight="1" x14ac:dyDescent="0.45">
      <c r="A51" s="338" t="s">
        <v>149</v>
      </c>
      <c r="B51" s="336"/>
      <c r="C51" s="337"/>
      <c r="D51" s="404"/>
      <c r="E51" s="406"/>
      <c r="F51" s="406"/>
      <c r="G51" s="407"/>
      <c r="H51" s="404"/>
      <c r="I51" s="405"/>
      <c r="J51" s="187"/>
      <c r="K51" s="187"/>
      <c r="L51" s="341"/>
      <c r="M51" s="73"/>
      <c r="N51" s="73"/>
      <c r="O51" s="169">
        <f>IF($L$51=" ",SUMIF($A$12:$A$40,A51,$O$12:$O$40),$K$41*$L$51)</f>
        <v>0</v>
      </c>
      <c r="P51" s="78"/>
      <c r="Q51" s="78"/>
      <c r="R51" s="78"/>
      <c r="S51" s="78"/>
      <c r="T51" s="78"/>
      <c r="U51" s="78"/>
    </row>
    <row r="52" spans="1:21" s="13" customFormat="1" ht="24" customHeight="1" ph="1" x14ac:dyDescent="0.4">
      <c r="A52" s="339"/>
      <c r="B52" s="336"/>
      <c r="C52" s="337"/>
      <c r="D52" s="404"/>
      <c r="E52" s="406"/>
      <c r="F52" s="406"/>
      <c r="G52" s="407"/>
      <c r="H52" s="404"/>
      <c r="I52" s="406"/>
      <c r="J52" s="187"/>
      <c r="K52" s="187"/>
      <c r="L52" s="340"/>
      <c r="M52" s="73"/>
      <c r="N52" s="73"/>
      <c r="O52" s="347"/>
      <c r="P52" s="91"/>
      <c r="Q52" s="91"/>
      <c r="R52" s="91"/>
      <c r="S52" s="91"/>
      <c r="T52" s="91"/>
      <c r="U52" s="91"/>
    </row>
    <row r="53" spans="1:21" s="13" customFormat="1" ht="24" customHeight="1" x14ac:dyDescent="0.4">
      <c r="A53" s="186"/>
      <c r="B53" s="187"/>
      <c r="C53" s="337"/>
      <c r="D53" s="404"/>
      <c r="E53" s="406"/>
      <c r="F53" s="406"/>
      <c r="G53" s="407"/>
      <c r="H53" s="404"/>
      <c r="I53" s="405"/>
      <c r="J53" s="187"/>
      <c r="K53" s="187"/>
      <c r="L53" s="341"/>
      <c r="M53" s="73"/>
      <c r="N53" s="73"/>
      <c r="O53" s="169">
        <f>IF($L$53=" ",SUMIF($A$12:$A$40,A53,$O$12:$O$40),$K$41*$L$53)</f>
        <v>0</v>
      </c>
      <c r="P53" s="91"/>
      <c r="Q53" s="91"/>
      <c r="R53" s="91"/>
      <c r="S53" s="91"/>
      <c r="T53" s="91"/>
      <c r="U53" s="91"/>
    </row>
    <row r="54" spans="1:21" s="13" customFormat="1" ht="24" customHeight="1" x14ac:dyDescent="0.4">
      <c r="A54" s="339"/>
      <c r="B54" s="187"/>
      <c r="C54" s="187"/>
      <c r="D54" s="404"/>
      <c r="E54" s="406"/>
      <c r="F54" s="406"/>
      <c r="G54" s="407"/>
      <c r="H54" s="404"/>
      <c r="I54" s="406"/>
      <c r="J54" s="187"/>
      <c r="K54" s="187"/>
      <c r="L54" s="340"/>
      <c r="M54" s="73"/>
      <c r="N54" s="73"/>
      <c r="O54" s="347"/>
      <c r="P54" s="91"/>
      <c r="Q54" s="91"/>
      <c r="R54" s="91"/>
      <c r="S54" s="91"/>
      <c r="T54" s="91"/>
      <c r="U54" s="91"/>
    </row>
    <row r="55" spans="1:21" ht="24" customHeight="1" x14ac:dyDescent="0.45">
      <c r="A55" s="73"/>
      <c r="B55" s="171"/>
      <c r="C55" s="171"/>
      <c r="D55" s="171"/>
      <c r="E55" s="171"/>
      <c r="F55" s="171"/>
      <c r="G55" s="171"/>
      <c r="H55" s="171"/>
      <c r="I55" s="171"/>
      <c r="J55" s="171"/>
      <c r="K55" s="342"/>
      <c r="L55" s="343"/>
      <c r="M55" s="296" t="s">
        <v>75</v>
      </c>
      <c r="N55" s="296"/>
      <c r="O55" s="125">
        <f>SUM(O49:O54)</f>
        <v>1709.53</v>
      </c>
      <c r="P55" s="78"/>
      <c r="Q55" s="78"/>
      <c r="R55" s="78"/>
      <c r="S55" s="78"/>
      <c r="T55" s="78"/>
      <c r="U55" s="78"/>
    </row>
    <row r="56" spans="1:21" s="14" customFormat="1" ht="13.5" customHeight="1" x14ac:dyDescent="0.45">
      <c r="A56" s="171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171"/>
      <c r="P56" s="164"/>
      <c r="Q56" s="164"/>
      <c r="R56" s="164"/>
      <c r="S56" s="164"/>
      <c r="T56" s="164"/>
      <c r="U56" s="164"/>
    </row>
    <row r="57" spans="1:21" s="15" customFormat="1" ht="18" hidden="1" customHeight="1" ph="1" x14ac:dyDescent="0.3">
      <c r="A57" s="1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5"/>
      <c r="P57" s="165"/>
      <c r="Q57" s="165"/>
      <c r="R57" s="165"/>
      <c r="S57" s="165"/>
      <c r="T57" s="165"/>
      <c r="U57" s="165"/>
    </row>
    <row r="58" spans="1:21" s="13" customFormat="1" ht="18" hidden="1" customHeight="1" x14ac:dyDescent="0.3">
      <c r="P58" s="91"/>
      <c r="Q58" s="91"/>
      <c r="R58" s="91"/>
      <c r="S58" s="91"/>
      <c r="T58" s="91"/>
      <c r="U58" s="91"/>
    </row>
    <row r="59" spans="1:21" s="13" customFormat="1" ht="18" hidden="1" customHeight="1" x14ac:dyDescent="0.45">
      <c r="L59" s="11"/>
      <c r="P59" s="91"/>
      <c r="Q59" s="91"/>
      <c r="R59" s="91"/>
      <c r="S59" s="91"/>
      <c r="T59" s="91"/>
      <c r="U59" s="91"/>
    </row>
    <row r="60" spans="1:21" s="13" customFormat="1" ht="18" hidden="1" customHeight="1" x14ac:dyDescent="0.45">
      <c r="L60" s="11"/>
      <c r="P60" s="91"/>
      <c r="Q60" s="91"/>
      <c r="R60" s="91"/>
      <c r="S60" s="91"/>
      <c r="T60" s="91"/>
      <c r="U60" s="91"/>
    </row>
    <row r="61" spans="1:21" s="13" customFormat="1" ht="18" hidden="1" customHeight="1" x14ac:dyDescent="0.45">
      <c r="L61" s="11"/>
    </row>
    <row r="62" spans="1:21" s="13" customFormat="1" ht="18" hidden="1" customHeight="1" x14ac:dyDescent="0.45">
      <c r="L62" s="11"/>
      <c r="M62" s="11"/>
      <c r="N62" s="11"/>
    </row>
    <row r="63" spans="1:21" s="13" customFormat="1" ht="18" hidden="1" customHeight="1" x14ac:dyDescent="0.45">
      <c r="L63" s="11"/>
      <c r="M63" s="11"/>
      <c r="N63" s="11"/>
    </row>
    <row r="64" spans="1:21" s="13" customFormat="1" ht="18" hidden="1" customHeight="1" x14ac:dyDescent="0.45">
      <c r="L64" s="11"/>
      <c r="M64" s="11"/>
      <c r="N64" s="11"/>
    </row>
    <row r="65" spans="2:15" s="13" customFormat="1" ht="18" hidden="1" customHeight="1" x14ac:dyDescent="0.45">
      <c r="L65" s="11"/>
      <c r="M65" s="11"/>
      <c r="N65" s="11"/>
    </row>
    <row r="66" spans="2:15" s="13" customFormat="1" ht="18" hidden="1" customHeight="1" x14ac:dyDescent="0.45">
      <c r="L66" s="11"/>
      <c r="M66" s="11"/>
      <c r="N66" s="11"/>
    </row>
    <row r="67" spans="2:15" s="13" customFormat="1" ht="18" hidden="1" customHeight="1" x14ac:dyDescent="0.4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2:15" s="13" customFormat="1" ht="18" hidden="1" customHeight="1" x14ac:dyDescent="0.4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2:15" s="13" customFormat="1" ht="18" hidden="1" customHeight="1" x14ac:dyDescent="0.4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6"/>
      <c r="M69" s="11"/>
      <c r="N69" s="11"/>
    </row>
    <row r="70" spans="2:15" ht="12.75" hidden="1" customHeight="1" x14ac:dyDescent="0.4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3"/>
      <c r="M70" s="11"/>
      <c r="N70" s="11"/>
      <c r="O70" s="11"/>
    </row>
    <row r="71" spans="2:15" ht="9" hidden="1" customHeight="1" x14ac:dyDescent="0.4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3"/>
      <c r="M71" s="11"/>
      <c r="N71" s="11"/>
      <c r="O71" s="11"/>
    </row>
    <row r="72" spans="2:15" ht="15.75" hidden="1" customHeight="1" x14ac:dyDescent="0.4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3"/>
      <c r="M72" s="16"/>
      <c r="N72" s="16"/>
      <c r="O72" s="11"/>
    </row>
    <row r="73" spans="2:15" ht="14.25" hidden="1" customHeight="1" x14ac:dyDescent="0.4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3"/>
      <c r="M73" s="13"/>
      <c r="N73" s="13"/>
      <c r="O73" s="11"/>
    </row>
    <row r="74" spans="2:15" ht="12" hidden="1" customHeight="1" x14ac:dyDescent="0.4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3"/>
      <c r="M74" s="13"/>
      <c r="N74" s="13"/>
      <c r="O74" s="11"/>
    </row>
    <row r="75" spans="2:15" ht="12" hidden="1" customHeight="1" x14ac:dyDescent="0.4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3"/>
      <c r="M75" s="13"/>
      <c r="N75" s="13"/>
      <c r="O75" s="11"/>
    </row>
    <row r="76" spans="2:15" ht="12" hidden="1" customHeight="1" x14ac:dyDescent="0.4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3"/>
      <c r="M76" s="13"/>
      <c r="N76" s="13"/>
      <c r="O76" s="11"/>
    </row>
    <row r="77" spans="2:15" ht="12" hidden="1" customHeight="1" x14ac:dyDescent="0.4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3"/>
      <c r="M77" s="13"/>
      <c r="N77" s="13"/>
      <c r="O77" s="11"/>
    </row>
    <row r="78" spans="2:15" ht="12" hidden="1" customHeight="1" x14ac:dyDescent="0.45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1"/>
    </row>
    <row r="79" spans="2:15" ht="6.95" hidden="1" customHeight="1" x14ac:dyDescent="0.4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1"/>
    </row>
    <row r="80" spans="2:15" s="16" customFormat="1" ht="17.100000000000001" hidden="1" customHeight="1" x14ac:dyDescent="0.4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 spans="2:15" s="13" customFormat="1" ht="17.100000000000001" hidden="1" customHeight="1" x14ac:dyDescent="0.3"/>
    <row r="82" spans="2:15" s="13" customFormat="1" ht="17.100000000000001" hidden="1" customHeight="1" x14ac:dyDescent="0.3"/>
    <row r="83" spans="2:15" s="13" customFormat="1" ht="17.100000000000001" hidden="1" customHeight="1" x14ac:dyDescent="0.3"/>
    <row r="84" spans="2:15" s="13" customFormat="1" ht="17.100000000000001" hidden="1" customHeight="1" ph="1" x14ac:dyDescent="0.3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2:15" s="13" customFormat="1" ht="17.100000000000001" hidden="1" customHeight="1" x14ac:dyDescent="0.3"/>
    <row r="86" spans="2:15" s="13" customFormat="1" ht="17.100000000000001" hidden="1" customHeight="1" x14ac:dyDescent="0.3"/>
    <row r="87" spans="2:15" s="13" customFormat="1" ht="17.100000000000001" hidden="1" customHeight="1" x14ac:dyDescent="0.3"/>
    <row r="88" spans="2:15" s="13" customFormat="1" ht="17.100000000000001" hidden="1" customHeight="1" x14ac:dyDescent="0.3"/>
    <row r="89" spans="2:15" s="13" customFormat="1" ht="17.100000000000001" hidden="1" customHeight="1" ph="1" x14ac:dyDescent="0.3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spans="2:15" s="13" customFormat="1" ht="17.100000000000001" hidden="1" customHeight="1" x14ac:dyDescent="0.3"/>
    <row r="91" spans="2:15" s="13" customFormat="1" ht="17.100000000000001" hidden="1" customHeight="1" x14ac:dyDescent="0.3"/>
    <row r="92" spans="2:15" s="13" customFormat="1" ht="17.100000000000001" hidden="1" customHeight="1" x14ac:dyDescent="0.3"/>
    <row r="93" spans="2:15" s="13" customFormat="1" ht="17.100000000000001" hidden="1" customHeight="1" x14ac:dyDescent="0.3"/>
    <row r="94" spans="2:15" s="13" customFormat="1" ht="17.100000000000001" hidden="1" customHeight="1" x14ac:dyDescent="0.3"/>
    <row r="95" spans="2:15" s="13" customFormat="1" ht="17.100000000000001" hidden="1" customHeight="1" x14ac:dyDescent="0.3"/>
    <row r="96" spans="2:15" s="13" customFormat="1" ht="17.100000000000001" hidden="1" customHeight="1" x14ac:dyDescent="0.3"/>
    <row r="97" spans="12:12" s="13" customFormat="1" ht="17.100000000000001" hidden="1" customHeight="1" x14ac:dyDescent="0.3"/>
    <row r="98" spans="12:12" s="13" customFormat="1" ht="17.100000000000001" hidden="1" customHeight="1" x14ac:dyDescent="0.3"/>
    <row r="99" spans="12:12" s="13" customFormat="1" ht="17.100000000000001" hidden="1" customHeight="1" x14ac:dyDescent="0.3"/>
    <row r="100" spans="12:12" s="13" customFormat="1" ht="17.100000000000001" hidden="1" customHeight="1" x14ac:dyDescent="0.3"/>
    <row r="101" spans="12:12" s="13" customFormat="1" ht="17.100000000000001" hidden="1" customHeight="1" x14ac:dyDescent="0.3"/>
    <row r="102" spans="12:12" s="13" customFormat="1" ht="17.100000000000001" hidden="1" customHeight="1" x14ac:dyDescent="0.3"/>
    <row r="103" spans="12:12" s="13" customFormat="1" ht="17.100000000000001" hidden="1" customHeight="1" x14ac:dyDescent="0.3"/>
    <row r="104" spans="12:12" s="13" customFormat="1" ht="17.100000000000001" hidden="1" customHeight="1" x14ac:dyDescent="0.3"/>
    <row r="105" spans="12:12" s="13" customFormat="1" ht="17.100000000000001" hidden="1" customHeight="1" x14ac:dyDescent="0.3"/>
    <row r="106" spans="12:12" s="13" customFormat="1" ht="17.100000000000001" hidden="1" customHeight="1" x14ac:dyDescent="0.3"/>
    <row r="107" spans="12:12" s="13" customFormat="1" ht="17.100000000000001" hidden="1" customHeight="1" x14ac:dyDescent="0.3"/>
    <row r="108" spans="12:12" s="13" customFormat="1" ht="17.100000000000001" hidden="1" customHeight="1" x14ac:dyDescent="0.3"/>
    <row r="109" spans="12:12" s="13" customFormat="1" ht="17.100000000000001" hidden="1" customHeight="1" x14ac:dyDescent="0.3"/>
    <row r="110" spans="12:12" s="13" customFormat="1" ht="17.100000000000001" hidden="1" customHeight="1" x14ac:dyDescent="0.3"/>
    <row r="111" spans="12:12" s="13" customFormat="1" ht="17.100000000000001" hidden="1" customHeight="1" x14ac:dyDescent="0.3"/>
    <row r="112" spans="12:12" s="13" customFormat="1" ht="17.100000000000001" hidden="1" customHeight="1" x14ac:dyDescent="0.45">
      <c r="L112" s="11"/>
    </row>
    <row r="113" spans="2:15" s="13" customFormat="1" ht="17.100000000000001" hidden="1" customHeight="1" x14ac:dyDescent="0.45">
      <c r="L113" s="11"/>
    </row>
    <row r="114" spans="2:15" s="13" customFormat="1" ht="17.100000000000001" hidden="1" customHeight="1" x14ac:dyDescent="0.45">
      <c r="L114" s="11"/>
    </row>
    <row r="115" spans="2:15" s="13" customFormat="1" ht="17.100000000000001" hidden="1" customHeight="1" x14ac:dyDescent="0.45">
      <c r="L115" s="11"/>
      <c r="M115" s="11"/>
      <c r="N115" s="11"/>
    </row>
    <row r="116" spans="2:15" s="13" customFormat="1" ht="17.100000000000001" hidden="1" customHeight="1" ph="1" x14ac:dyDescent="0.45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1"/>
      <c r="M116" s="11"/>
      <c r="N116" s="11"/>
      <c r="O116" s="13"/>
    </row>
    <row r="117" spans="2:15" s="13" customFormat="1" ht="17.100000000000001" hidden="1" customHeight="1" x14ac:dyDescent="0.45">
      <c r="L117" s="11"/>
      <c r="M117" s="11"/>
      <c r="N117" s="11"/>
    </row>
    <row r="118" spans="2:15" s="13" customFormat="1" ht="17.100000000000001" hidden="1" customHeight="1" x14ac:dyDescent="0.45">
      <c r="L118" s="11"/>
      <c r="M118" s="11"/>
      <c r="N118" s="11"/>
    </row>
    <row r="119" spans="2:15" s="13" customFormat="1" ht="17.100000000000001" hidden="1" customHeight="1" x14ac:dyDescent="0.45">
      <c r="L119" s="11"/>
      <c r="M119" s="11"/>
      <c r="N119" s="11"/>
    </row>
    <row r="120" spans="2:15" s="13" customFormat="1" ht="17.100000000000001" hidden="1" customHeight="1" x14ac:dyDescent="0.4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2:15" s="13" customFormat="1" ht="17.100000000000001" hidden="1" customHeight="1" ph="1" x14ac:dyDescent="0.45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3"/>
    </row>
    <row r="122" spans="2:15" s="13" customFormat="1" ht="18.75" hidden="1" customHeight="1" x14ac:dyDescent="0.45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2:15" hidden="1" x14ac:dyDescent="0.45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2:15" hidden="1" x14ac:dyDescent="0.45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2:15" hidden="1" x14ac:dyDescent="0.4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2:15" hidden="1" x14ac:dyDescent="0.45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2:15" hidden="1" x14ac:dyDescent="0.45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2:15" hidden="1" x14ac:dyDescent="0.45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="11" customFormat="1" hidden="1" x14ac:dyDescent="0.45"/>
    <row r="130" s="11" customFormat="1" hidden="1" x14ac:dyDescent="0.45"/>
    <row r="131" s="11" customFormat="1" hidden="1" x14ac:dyDescent="0.45"/>
    <row r="132" s="11" customFormat="1" hidden="1" x14ac:dyDescent="0.45"/>
    <row r="133" s="11" customFormat="1" hidden="1" x14ac:dyDescent="0.45"/>
    <row r="134" s="11" customFormat="1" hidden="1" x14ac:dyDescent="0.45"/>
    <row r="135" s="11" customFormat="1" hidden="1" x14ac:dyDescent="0.45"/>
    <row r="136" s="11" customFormat="1" hidden="1" x14ac:dyDescent="0.45"/>
    <row r="137" s="11" customFormat="1" hidden="1" x14ac:dyDescent="0.45"/>
    <row r="138" s="11" customFormat="1" hidden="1" x14ac:dyDescent="0.45"/>
    <row r="139" s="11" customFormat="1" hidden="1" x14ac:dyDescent="0.45"/>
    <row r="140" s="11" customFormat="1" hidden="1" x14ac:dyDescent="0.45"/>
    <row r="141" s="11" customFormat="1" hidden="1" x14ac:dyDescent="0.45"/>
    <row r="142" s="11" customFormat="1" hidden="1" x14ac:dyDescent="0.45"/>
    <row r="143" s="11" customFormat="1" hidden="1" x14ac:dyDescent="0.45"/>
    <row r="144" s="11" customFormat="1" hidden="1" x14ac:dyDescent="0.45"/>
    <row r="145" spans="12:14" s="11" customFormat="1" hidden="1" x14ac:dyDescent="0.45"/>
    <row r="146" spans="12:14" s="11" customFormat="1" hidden="1" x14ac:dyDescent="0.45"/>
    <row r="147" spans="12:14" s="11" customFormat="1" hidden="1" x14ac:dyDescent="0.45"/>
    <row r="148" spans="12:14" s="11" customFormat="1" hidden="1" x14ac:dyDescent="0.45"/>
    <row r="149" spans="12:14" s="11" customFormat="1" hidden="1" x14ac:dyDescent="0.45"/>
    <row r="150" spans="12:14" s="11" customFormat="1" hidden="1" x14ac:dyDescent="0.45"/>
    <row r="151" spans="12:14" s="11" customFormat="1" hidden="1" x14ac:dyDescent="0.45"/>
    <row r="152" spans="12:14" s="11" customFormat="1" hidden="1" x14ac:dyDescent="0.45"/>
    <row r="153" spans="12:14" s="11" customFormat="1" hidden="1" x14ac:dyDescent="0.45"/>
    <row r="154" spans="12:14" s="11" customFormat="1" hidden="1" x14ac:dyDescent="0.45"/>
    <row r="155" spans="12:14" s="11" customFormat="1" hidden="1" x14ac:dyDescent="0.45"/>
    <row r="156" spans="12:14" s="11" customFormat="1" hidden="1" x14ac:dyDescent="0.45">
      <c r="L156" s="10"/>
    </row>
    <row r="157" spans="12:14" s="11" customFormat="1" hidden="1" x14ac:dyDescent="0.45">
      <c r="L157" s="10"/>
    </row>
    <row r="158" spans="12:14" s="11" customFormat="1" hidden="1" x14ac:dyDescent="0.45">
      <c r="L158" s="10"/>
    </row>
    <row r="159" spans="12:14" s="11" customFormat="1" hidden="1" x14ac:dyDescent="0.45">
      <c r="L159" s="10"/>
      <c r="M159" s="10"/>
      <c r="N159" s="10"/>
    </row>
    <row r="160" spans="12:14" s="11" customFormat="1" hidden="1" x14ac:dyDescent="0.45">
      <c r="L160" s="10"/>
      <c r="M160" s="10"/>
      <c r="N160" s="10"/>
    </row>
    <row r="161" spans="2:15" hidden="1" x14ac:dyDescent="0.45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O161" s="11"/>
    </row>
    <row r="162" spans="2:15" hidden="1" x14ac:dyDescent="0.45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O162" s="11"/>
    </row>
    <row r="163" spans="2:15" hidden="1" x14ac:dyDescent="0.45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O163" s="11"/>
    </row>
    <row r="164" spans="2:15" hidden="1" x14ac:dyDescent="0.45">
      <c r="O164" s="11"/>
    </row>
    <row r="165" spans="2:15" hidden="1" x14ac:dyDescent="0.45">
      <c r="O165" s="11"/>
    </row>
    <row r="166" spans="2:15" hidden="1" x14ac:dyDescent="0.45">
      <c r="O166" s="11"/>
    </row>
  </sheetData>
  <sheetProtection password="BA39" sheet="1" objects="1" scenarios="1"/>
  <mergeCells count="14">
    <mergeCell ref="D53:G53"/>
    <mergeCell ref="D54:G54"/>
    <mergeCell ref="H48:I48"/>
    <mergeCell ref="D49:G49"/>
    <mergeCell ref="D50:G50"/>
    <mergeCell ref="E48:F48"/>
    <mergeCell ref="H53:I53"/>
    <mergeCell ref="H54:I54"/>
    <mergeCell ref="H49:I49"/>
    <mergeCell ref="H50:I50"/>
    <mergeCell ref="H51:I51"/>
    <mergeCell ref="H52:I52"/>
    <mergeCell ref="D51:G51"/>
    <mergeCell ref="D52:G52"/>
  </mergeCells>
  <phoneticPr fontId="59" type="noConversion"/>
  <pageMargins left="0.36" right="0.2" top="0.25" bottom="0.16" header="0.5" footer="0.5"/>
  <pageSetup scale="61" orientation="portrait" blackAndWhite="1" horizontalDpi="4294967292" verticalDpi="300" r:id="rId1"/>
  <headerFooter alignWithMargins="0"/>
  <colBreaks count="1" manualBreakCount="1">
    <brk id="15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E22F-92B8-4DE4-9685-ABE8008E187E}">
  <sheetPr transitionEvaluation="1">
    <pageSetUpPr fitToPage="1"/>
  </sheetPr>
  <dimension ref="A1:T181"/>
  <sheetViews>
    <sheetView showGridLines="0" showZeros="0" topLeftCell="A46" zoomScale="80" workbookViewId="0">
      <selection activeCell="E26" sqref="E26"/>
    </sheetView>
  </sheetViews>
  <sheetFormatPr defaultColWidth="0" defaultRowHeight="21" customHeight="1" zeroHeight="1" x14ac:dyDescent="0.4"/>
  <cols>
    <col min="1" max="1" width="6.1328125" style="2" customWidth="1"/>
    <col min="2" max="2" width="10.73046875" style="1" customWidth="1"/>
    <col min="3" max="3" width="6.86328125" style="1" customWidth="1"/>
    <col min="4" max="4" width="7.86328125" style="1" customWidth="1"/>
    <col min="5" max="5" width="10.73046875" style="1" customWidth="1"/>
    <col min="6" max="6" width="12.265625" style="1" customWidth="1"/>
    <col min="7" max="7" width="9.86328125" style="1" customWidth="1"/>
    <col min="8" max="8" width="11" style="1" customWidth="1"/>
    <col min="9" max="9" width="16.73046875" style="1" customWidth="1"/>
    <col min="10" max="10" width="15.59765625" style="1" customWidth="1"/>
    <col min="11" max="11" width="13" style="1" customWidth="1"/>
    <col min="12" max="12" width="11.59765625" style="1" customWidth="1"/>
    <col min="13" max="13" width="12" style="1" customWidth="1"/>
    <col min="14" max="14" width="20.59765625" style="1" customWidth="1"/>
    <col min="15" max="15" width="18.86328125" style="2" hidden="1" customWidth="1"/>
    <col min="16" max="16384" width="0" style="2" hidden="1"/>
  </cols>
  <sheetData>
    <row r="1" spans="1:20" ht="19.5" customHeight="1" x14ac:dyDescent="0.5">
      <c r="A1" s="213" t="s">
        <v>62</v>
      </c>
      <c r="B1" s="69"/>
      <c r="C1" s="98"/>
      <c r="D1" s="99"/>
      <c r="E1" s="100"/>
      <c r="F1" s="100"/>
      <c r="G1" s="101"/>
      <c r="H1" s="102"/>
      <c r="I1" s="103"/>
      <c r="J1" s="104"/>
      <c r="K1" s="38"/>
      <c r="L1" s="72"/>
      <c r="M1" s="55"/>
      <c r="N1" s="55"/>
      <c r="O1" s="149"/>
      <c r="P1" s="149"/>
      <c r="Q1" s="149"/>
      <c r="R1" s="149"/>
      <c r="S1" s="149"/>
      <c r="T1" s="9"/>
    </row>
    <row r="2" spans="1:20" ht="19.5" customHeight="1" x14ac:dyDescent="0.6">
      <c r="A2" s="214" t="s">
        <v>86</v>
      </c>
      <c r="B2" s="98"/>
      <c r="C2" s="98"/>
      <c r="D2" s="105"/>
      <c r="E2" s="105"/>
      <c r="F2" s="105"/>
      <c r="G2" s="102"/>
      <c r="H2" s="329"/>
      <c r="I2" s="105"/>
      <c r="J2" s="105"/>
      <c r="K2" s="38"/>
      <c r="L2" s="266" t="s">
        <v>64</v>
      </c>
      <c r="M2" s="267">
        <f>IF((VALUE('Short Form'!I62)&lt;&gt;0),1+VALUE('Short Form'!H62)+VALUE('Short Form'!I62),"")</f>
        <v>3</v>
      </c>
      <c r="N2" s="268">
        <f>IF((M2=0),"",'Short Form'!N3)</f>
        <v>4</v>
      </c>
      <c r="O2" s="149"/>
      <c r="P2" s="149"/>
      <c r="Q2" s="149"/>
      <c r="R2" s="149"/>
      <c r="S2" s="149"/>
      <c r="T2" s="9"/>
    </row>
    <row r="3" spans="1:20" ht="9" customHeight="1" x14ac:dyDescent="0.4">
      <c r="A3" s="57"/>
      <c r="B3" s="38"/>
      <c r="C3" s="38"/>
      <c r="D3" s="38"/>
      <c r="E3" s="38"/>
      <c r="F3" s="38"/>
      <c r="G3" s="38"/>
      <c r="H3" s="38"/>
      <c r="I3" s="38"/>
      <c r="J3" s="38"/>
      <c r="K3" s="38"/>
      <c r="L3" s="72"/>
      <c r="M3" s="38"/>
      <c r="N3" s="38"/>
      <c r="O3" s="9"/>
      <c r="P3" s="9"/>
      <c r="Q3" s="9"/>
      <c r="R3" s="9"/>
      <c r="S3" s="9"/>
      <c r="T3" s="9"/>
    </row>
    <row r="4" spans="1:20" ht="14.25" customHeight="1" x14ac:dyDescent="0.4">
      <c r="A4" s="33" t="s">
        <v>8</v>
      </c>
      <c r="B4" s="236"/>
      <c r="C4" s="27"/>
      <c r="D4" s="236"/>
      <c r="E4" s="237" t="s">
        <v>9</v>
      </c>
      <c r="F4" s="236"/>
      <c r="G4" s="236"/>
      <c r="H4" s="106" t="s">
        <v>10</v>
      </c>
      <c r="I4" s="27"/>
      <c r="J4" s="27"/>
      <c r="K4" s="28"/>
      <c r="L4" s="35" t="s">
        <v>103</v>
      </c>
      <c r="M4" s="23"/>
      <c r="N4" s="24"/>
      <c r="O4" s="9"/>
      <c r="P4" s="9"/>
      <c r="Q4" s="9"/>
      <c r="R4" s="9"/>
      <c r="S4" s="9"/>
      <c r="T4" s="9"/>
    </row>
    <row r="5" spans="1:20" s="3" customFormat="1" ht="21" customHeight="1" x14ac:dyDescent="0.4">
      <c r="A5" s="245">
        <f>'Short Form'!A6</f>
        <v>0</v>
      </c>
      <c r="B5" s="121"/>
      <c r="C5" s="121"/>
      <c r="D5" s="121"/>
      <c r="E5" s="253">
        <f>'Short Form'!E6</f>
        <v>0</v>
      </c>
      <c r="F5" s="121"/>
      <c r="G5" s="121"/>
      <c r="H5" s="178">
        <f>'Short Form'!H6</f>
        <v>0</v>
      </c>
      <c r="I5" s="121"/>
      <c r="J5" s="121"/>
      <c r="K5" s="19"/>
      <c r="L5" s="144">
        <f>'Short Form'!K6</f>
        <v>0</v>
      </c>
      <c r="M5" s="115"/>
      <c r="N5" s="21"/>
      <c r="O5" s="110"/>
      <c r="P5" s="110"/>
      <c r="Q5" s="110"/>
      <c r="R5" s="110"/>
      <c r="S5" s="110"/>
      <c r="T5" s="110"/>
    </row>
    <row r="6" spans="1:20" ht="18" customHeight="1" x14ac:dyDescent="0.4">
      <c r="A6" s="215" t="s">
        <v>116</v>
      </c>
      <c r="B6" s="216"/>
      <c r="C6" s="217"/>
      <c r="D6" s="218"/>
      <c r="E6" s="217"/>
      <c r="F6" s="9"/>
      <c r="G6" s="9"/>
      <c r="H6" s="37"/>
      <c r="I6" s="37"/>
      <c r="J6" s="37"/>
      <c r="K6" s="37"/>
      <c r="L6" s="37"/>
      <c r="M6" s="37"/>
      <c r="N6" s="37"/>
      <c r="O6" s="9"/>
      <c r="P6" s="9"/>
      <c r="Q6" s="9"/>
      <c r="R6" s="9"/>
      <c r="S6" s="9"/>
      <c r="T6" s="9"/>
    </row>
    <row r="7" spans="1:20" ht="14.25" customHeight="1" x14ac:dyDescent="0.4">
      <c r="A7" s="378" t="s">
        <v>88</v>
      </c>
      <c r="B7" s="216"/>
      <c r="C7" s="219"/>
      <c r="D7" s="218"/>
      <c r="E7" s="219"/>
      <c r="F7" s="38"/>
      <c r="G7" s="38"/>
      <c r="H7"/>
      <c r="I7" s="38"/>
      <c r="J7" s="38"/>
      <c r="K7" s="39"/>
      <c r="L7" s="38"/>
      <c r="M7" s="38"/>
      <c r="N7" s="38"/>
      <c r="O7" s="9"/>
      <c r="P7" s="9"/>
      <c r="Q7" s="9"/>
      <c r="R7" s="9"/>
      <c r="S7" s="9"/>
      <c r="T7" s="9"/>
    </row>
    <row r="8" spans="1:20" ht="5.25" customHeight="1" x14ac:dyDescent="0.4">
      <c r="A8" s="203"/>
      <c r="B8" s="38"/>
      <c r="C8" s="38"/>
      <c r="D8" s="38"/>
      <c r="E8" s="38"/>
      <c r="F8" s="38"/>
      <c r="G8" s="38"/>
      <c r="H8" s="38"/>
      <c r="I8" s="38"/>
      <c r="J8" s="38"/>
      <c r="K8" s="107"/>
      <c r="L8" s="38"/>
      <c r="M8" s="38"/>
      <c r="N8" s="38"/>
      <c r="O8" s="9"/>
      <c r="P8" s="9"/>
      <c r="Q8" s="9"/>
      <c r="R8" s="9"/>
      <c r="S8" s="9"/>
      <c r="T8" s="9"/>
    </row>
    <row r="9" spans="1:20" ht="21" customHeight="1" x14ac:dyDescent="0.35">
      <c r="A9" s="296" t="s">
        <v>68</v>
      </c>
      <c r="B9" s="297" t="s">
        <v>13</v>
      </c>
      <c r="C9" s="354" t="s">
        <v>14</v>
      </c>
      <c r="D9" s="298"/>
      <c r="E9" s="299" t="s">
        <v>15</v>
      </c>
      <c r="F9" s="355"/>
      <c r="G9" s="298"/>
      <c r="H9" s="303"/>
      <c r="I9" s="300" t="s">
        <v>16</v>
      </c>
      <c r="J9" s="300"/>
      <c r="K9" s="300"/>
      <c r="L9" s="296" t="s">
        <v>89</v>
      </c>
      <c r="M9" s="297" t="s">
        <v>18</v>
      </c>
      <c r="N9" s="296" t="s">
        <v>72</v>
      </c>
      <c r="O9" s="9"/>
      <c r="P9" s="9"/>
      <c r="Q9" s="9"/>
      <c r="R9" s="9"/>
      <c r="S9" s="9"/>
      <c r="T9" s="9"/>
    </row>
    <row r="10" spans="1:20" s="5" customFormat="1" ht="24" customHeight="1" x14ac:dyDescent="0.4">
      <c r="A10" s="136" t="s">
        <v>137</v>
      </c>
      <c r="B10" s="146">
        <v>36741</v>
      </c>
      <c r="C10" s="135" t="s">
        <v>126</v>
      </c>
      <c r="D10" s="126" t="s">
        <v>127</v>
      </c>
      <c r="E10" s="155"/>
      <c r="F10" s="155"/>
      <c r="G10" s="156"/>
      <c r="H10" s="157"/>
      <c r="I10" s="126"/>
      <c r="J10" s="155"/>
      <c r="K10" s="155"/>
      <c r="L10" s="259">
        <v>7.94</v>
      </c>
      <c r="M10" s="255">
        <v>1</v>
      </c>
      <c r="N10" s="188">
        <f t="shared" ref="N10:N25" si="0">IF(M10=" ",L10*1,L10*M10)</f>
        <v>7.94</v>
      </c>
      <c r="O10" s="41"/>
      <c r="P10" s="41"/>
      <c r="Q10" s="41"/>
      <c r="R10" s="41"/>
      <c r="S10" s="41"/>
      <c r="T10" s="41"/>
    </row>
    <row r="11" spans="1:20" s="5" customFormat="1" ht="24" customHeight="1" x14ac:dyDescent="0.4">
      <c r="A11" s="136" t="s">
        <v>137</v>
      </c>
      <c r="B11" s="146" t="s">
        <v>128</v>
      </c>
      <c r="C11" s="135" t="s">
        <v>129</v>
      </c>
      <c r="D11" s="126" t="s">
        <v>127</v>
      </c>
      <c r="E11" s="155"/>
      <c r="F11" s="155"/>
      <c r="G11" s="156"/>
      <c r="H11" s="157"/>
      <c r="I11" s="127" t="s">
        <v>130</v>
      </c>
      <c r="J11" s="155"/>
      <c r="K11" s="156"/>
      <c r="L11" s="259">
        <v>98.84</v>
      </c>
      <c r="M11" s="255">
        <v>1</v>
      </c>
      <c r="N11" s="188">
        <f t="shared" si="0"/>
        <v>98.84</v>
      </c>
      <c r="O11" s="41"/>
      <c r="P11" s="41"/>
      <c r="Q11" s="41"/>
      <c r="R11" s="41"/>
      <c r="S11" s="41"/>
      <c r="T11" s="41"/>
    </row>
    <row r="12" spans="1:20" s="5" customFormat="1" ht="24" customHeight="1" x14ac:dyDescent="0.4">
      <c r="A12" s="136" t="s">
        <v>137</v>
      </c>
      <c r="B12" s="146">
        <v>36745</v>
      </c>
      <c r="C12" s="135" t="s">
        <v>131</v>
      </c>
      <c r="D12" s="126" t="s">
        <v>132</v>
      </c>
      <c r="E12" s="155"/>
      <c r="F12" s="155"/>
      <c r="G12" s="156"/>
      <c r="H12" s="157"/>
      <c r="I12" s="127"/>
      <c r="J12" s="155"/>
      <c r="K12" s="156"/>
      <c r="L12" s="259">
        <v>13.7</v>
      </c>
      <c r="M12" s="255">
        <v>1</v>
      </c>
      <c r="N12" s="188">
        <f t="shared" si="0"/>
        <v>13.7</v>
      </c>
      <c r="O12" s="41"/>
      <c r="P12" s="41"/>
      <c r="Q12" s="41"/>
      <c r="R12" s="41"/>
      <c r="S12" s="41"/>
      <c r="T12" s="41"/>
    </row>
    <row r="13" spans="1:20" s="5" customFormat="1" ht="24" customHeight="1" x14ac:dyDescent="0.4">
      <c r="A13" s="136" t="s">
        <v>137</v>
      </c>
      <c r="B13" s="146">
        <v>36746</v>
      </c>
      <c r="C13" s="135" t="s">
        <v>133</v>
      </c>
      <c r="D13" s="126" t="s">
        <v>134</v>
      </c>
      <c r="E13" s="155"/>
      <c r="F13" s="155"/>
      <c r="G13" s="156"/>
      <c r="H13" s="157"/>
      <c r="I13" s="127"/>
      <c r="J13" s="155"/>
      <c r="K13" s="156"/>
      <c r="L13" s="259">
        <v>3.78</v>
      </c>
      <c r="M13" s="255">
        <v>1</v>
      </c>
      <c r="N13" s="188">
        <f t="shared" si="0"/>
        <v>3.78</v>
      </c>
      <c r="O13" s="41"/>
      <c r="P13" s="41"/>
      <c r="Q13" s="41"/>
      <c r="R13" s="41"/>
      <c r="S13" s="41"/>
      <c r="T13" s="41"/>
    </row>
    <row r="14" spans="1:20" s="5" customFormat="1" ht="24" customHeight="1" x14ac:dyDescent="0.4">
      <c r="A14" s="136" t="s">
        <v>137</v>
      </c>
      <c r="B14" s="146">
        <v>36752</v>
      </c>
      <c r="C14" s="135" t="s">
        <v>140</v>
      </c>
      <c r="D14" s="126" t="s">
        <v>141</v>
      </c>
      <c r="E14" s="155"/>
      <c r="F14" s="155"/>
      <c r="G14" s="156"/>
      <c r="H14" s="157"/>
      <c r="I14" s="127"/>
      <c r="J14" s="155"/>
      <c r="K14" s="156"/>
      <c r="L14" s="259">
        <v>10.65</v>
      </c>
      <c r="M14" s="255">
        <v>1</v>
      </c>
      <c r="N14" s="188">
        <f t="shared" si="0"/>
        <v>10.65</v>
      </c>
      <c r="O14" s="41"/>
      <c r="P14" s="41"/>
      <c r="Q14" s="41"/>
      <c r="R14" s="41"/>
      <c r="S14" s="41"/>
      <c r="T14" s="41"/>
    </row>
    <row r="15" spans="1:20" s="5" customFormat="1" ht="24" customHeight="1" x14ac:dyDescent="0.4">
      <c r="A15" s="136" t="s">
        <v>137</v>
      </c>
      <c r="B15" s="146">
        <v>36754</v>
      </c>
      <c r="C15" s="135" t="s">
        <v>133</v>
      </c>
      <c r="D15" s="126" t="s">
        <v>141</v>
      </c>
      <c r="E15" s="155"/>
      <c r="F15" s="155"/>
      <c r="G15" s="156"/>
      <c r="H15" s="157"/>
      <c r="I15" s="127"/>
      <c r="J15" s="155"/>
      <c r="K15" s="156"/>
      <c r="L15" s="259">
        <v>24.33</v>
      </c>
      <c r="M15" s="255">
        <v>1</v>
      </c>
      <c r="N15" s="188">
        <f t="shared" si="0"/>
        <v>24.33</v>
      </c>
      <c r="O15" s="41"/>
      <c r="P15" s="41"/>
      <c r="Q15" s="41"/>
      <c r="R15" s="41"/>
      <c r="S15" s="41"/>
      <c r="T15" s="41"/>
    </row>
    <row r="16" spans="1:20" s="5" customFormat="1" ht="24" customHeight="1" x14ac:dyDescent="0.4">
      <c r="A16" s="136" t="s">
        <v>137</v>
      </c>
      <c r="B16" s="146">
        <v>36754</v>
      </c>
      <c r="C16" s="135" t="s">
        <v>143</v>
      </c>
      <c r="D16" s="126" t="s">
        <v>141</v>
      </c>
      <c r="E16" s="155"/>
      <c r="F16" s="155"/>
      <c r="G16" s="156"/>
      <c r="H16" s="157"/>
      <c r="I16" s="127" t="s">
        <v>144</v>
      </c>
      <c r="J16" s="155"/>
      <c r="K16" s="156"/>
      <c r="L16" s="259">
        <v>124.86</v>
      </c>
      <c r="M16" s="255">
        <v>1</v>
      </c>
      <c r="N16" s="188">
        <f t="shared" si="0"/>
        <v>124.86</v>
      </c>
      <c r="O16" s="41"/>
      <c r="P16" s="41"/>
      <c r="Q16" s="41"/>
      <c r="R16" s="41"/>
      <c r="S16" s="41"/>
      <c r="T16" s="41"/>
    </row>
    <row r="17" spans="1:20" s="5" customFormat="1" ht="24" customHeight="1" x14ac:dyDescent="0.4">
      <c r="A17" s="136" t="s">
        <v>137</v>
      </c>
      <c r="B17" s="146">
        <v>36756</v>
      </c>
      <c r="C17" s="135" t="s">
        <v>131</v>
      </c>
      <c r="D17" s="126" t="s">
        <v>141</v>
      </c>
      <c r="E17" s="155"/>
      <c r="F17" s="155"/>
      <c r="G17" s="156"/>
      <c r="H17" s="157"/>
      <c r="I17" s="127"/>
      <c r="J17" s="155"/>
      <c r="K17" s="156"/>
      <c r="L17" s="259">
        <v>2.87</v>
      </c>
      <c r="M17" s="255">
        <v>1</v>
      </c>
      <c r="N17" s="188">
        <f t="shared" si="0"/>
        <v>2.87</v>
      </c>
      <c r="O17" s="41"/>
      <c r="P17" s="41"/>
      <c r="Q17" s="41"/>
      <c r="R17" s="41"/>
      <c r="S17" s="41"/>
      <c r="T17" s="41"/>
    </row>
    <row r="18" spans="1:20" s="5" customFormat="1" ht="24" customHeight="1" x14ac:dyDescent="0.4">
      <c r="A18" s="136" t="s">
        <v>137</v>
      </c>
      <c r="B18" s="146">
        <v>36758</v>
      </c>
      <c r="C18" s="135" t="s">
        <v>143</v>
      </c>
      <c r="D18" s="126" t="s">
        <v>148</v>
      </c>
      <c r="E18" s="155"/>
      <c r="F18" s="155"/>
      <c r="G18" s="156"/>
      <c r="H18" s="157"/>
      <c r="I18" s="127"/>
      <c r="J18" s="155"/>
      <c r="K18" s="156"/>
      <c r="L18" s="259">
        <v>6.19</v>
      </c>
      <c r="M18" s="255">
        <v>1</v>
      </c>
      <c r="N18" s="188">
        <f t="shared" si="0"/>
        <v>6.19</v>
      </c>
      <c r="O18" s="41"/>
      <c r="P18" s="41"/>
      <c r="Q18" s="41"/>
      <c r="R18" s="41"/>
      <c r="S18" s="41"/>
      <c r="T18" s="41"/>
    </row>
    <row r="19" spans="1:20" s="5" customFormat="1" ht="24" customHeight="1" x14ac:dyDescent="0.4">
      <c r="A19" s="136" t="s">
        <v>137</v>
      </c>
      <c r="B19" s="146">
        <v>36759</v>
      </c>
      <c r="C19" s="135" t="s">
        <v>129</v>
      </c>
      <c r="D19" s="126" t="s">
        <v>148</v>
      </c>
      <c r="E19" s="155"/>
      <c r="F19" s="155"/>
      <c r="G19" s="156"/>
      <c r="H19" s="157"/>
      <c r="I19" s="127" t="s">
        <v>150</v>
      </c>
      <c r="J19" s="155"/>
      <c r="K19" s="156"/>
      <c r="L19" s="259">
        <v>93.58</v>
      </c>
      <c r="M19" s="255">
        <v>1</v>
      </c>
      <c r="N19" s="188">
        <f t="shared" si="0"/>
        <v>93.58</v>
      </c>
      <c r="O19" s="41"/>
      <c r="P19" s="41"/>
      <c r="Q19" s="41"/>
      <c r="R19" s="41"/>
      <c r="S19" s="41"/>
      <c r="T19" s="41"/>
    </row>
    <row r="20" spans="1:20" s="5" customFormat="1" ht="24" customHeight="1" ph="1" x14ac:dyDescent="0.4">
      <c r="A20" s="136" t="s">
        <v>137</v>
      </c>
      <c r="B20" s="146">
        <v>36759</v>
      </c>
      <c r="C20" s="135" t="s">
        <v>133</v>
      </c>
      <c r="D20" s="126" t="s">
        <v>148</v>
      </c>
      <c r="E20" s="155"/>
      <c r="F20" s="155"/>
      <c r="G20" s="156"/>
      <c r="H20" s="157"/>
      <c r="I20" s="127"/>
      <c r="J20" s="155"/>
      <c r="K20" s="156"/>
      <c r="L20" s="259">
        <v>2.34</v>
      </c>
      <c r="M20" s="255">
        <v>1</v>
      </c>
      <c r="N20" s="188">
        <f t="shared" si="0"/>
        <v>2.34</v>
      </c>
      <c r="O20" s="41"/>
      <c r="P20" s="41"/>
      <c r="Q20" s="41"/>
      <c r="R20" s="41"/>
      <c r="S20" s="41"/>
      <c r="T20" s="41"/>
    </row>
    <row r="21" spans="1:20" s="5" customFormat="1" ht="24" customHeight="1" x14ac:dyDescent="0.4">
      <c r="A21" s="136" t="s">
        <v>137</v>
      </c>
      <c r="B21" s="146">
        <v>36759</v>
      </c>
      <c r="C21" s="135" t="s">
        <v>143</v>
      </c>
      <c r="D21" s="126" t="s">
        <v>151</v>
      </c>
      <c r="E21" s="155"/>
      <c r="F21" s="155"/>
      <c r="G21" s="156"/>
      <c r="H21" s="157"/>
      <c r="I21" s="127" t="s">
        <v>152</v>
      </c>
      <c r="J21" s="155"/>
      <c r="K21" s="156"/>
      <c r="L21" s="259">
        <v>64.92</v>
      </c>
      <c r="M21" s="255">
        <v>1</v>
      </c>
      <c r="N21" s="188">
        <f t="shared" si="0"/>
        <v>64.92</v>
      </c>
      <c r="O21" s="41"/>
      <c r="P21" s="41"/>
      <c r="Q21" s="41"/>
      <c r="R21" s="41"/>
      <c r="S21" s="41"/>
      <c r="T21" s="41"/>
    </row>
    <row r="22" spans="1:20" s="5" customFormat="1" ht="24" customHeight="1" x14ac:dyDescent="0.4">
      <c r="A22" s="136" t="s">
        <v>137</v>
      </c>
      <c r="B22" s="146">
        <v>36760</v>
      </c>
      <c r="C22" s="135" t="s">
        <v>133</v>
      </c>
      <c r="D22" s="126" t="s">
        <v>151</v>
      </c>
      <c r="E22" s="155"/>
      <c r="F22" s="155"/>
      <c r="G22" s="156"/>
      <c r="H22" s="157"/>
      <c r="I22" s="127"/>
      <c r="J22" s="155"/>
      <c r="K22" s="156"/>
      <c r="L22" s="259">
        <v>5.01</v>
      </c>
      <c r="M22" s="255">
        <v>1</v>
      </c>
      <c r="N22" s="188">
        <f t="shared" si="0"/>
        <v>5.01</v>
      </c>
      <c r="O22" s="41"/>
      <c r="P22" s="41"/>
      <c r="Q22" s="41"/>
      <c r="R22" s="41"/>
      <c r="S22" s="41"/>
      <c r="T22" s="41"/>
    </row>
    <row r="23" spans="1:20" s="5" customFormat="1" ht="24" customHeight="1" x14ac:dyDescent="0.4">
      <c r="A23" s="136" t="s">
        <v>137</v>
      </c>
      <c r="B23" s="146">
        <v>36761</v>
      </c>
      <c r="C23" s="135" t="s">
        <v>156</v>
      </c>
      <c r="D23" s="126" t="s">
        <v>151</v>
      </c>
      <c r="E23" s="155"/>
      <c r="F23" s="155"/>
      <c r="G23" s="156"/>
      <c r="H23" s="157"/>
      <c r="I23" s="127"/>
      <c r="J23" s="155"/>
      <c r="K23" s="156"/>
      <c r="L23" s="259">
        <v>18.98</v>
      </c>
      <c r="M23" s="255">
        <v>1</v>
      </c>
      <c r="N23" s="188">
        <f t="shared" si="0"/>
        <v>18.98</v>
      </c>
      <c r="O23" s="41"/>
      <c r="P23" s="41"/>
      <c r="Q23" s="41"/>
      <c r="R23" s="41"/>
      <c r="S23" s="41"/>
      <c r="T23" s="41"/>
    </row>
    <row r="24" spans="1:20" s="5" customFormat="1" ht="24" customHeight="1" x14ac:dyDescent="0.4">
      <c r="A24" s="136" t="s">
        <v>137</v>
      </c>
      <c r="B24" s="146">
        <v>36762</v>
      </c>
      <c r="C24" s="135" t="s">
        <v>156</v>
      </c>
      <c r="D24" s="126" t="s">
        <v>151</v>
      </c>
      <c r="E24" s="155"/>
      <c r="F24" s="155"/>
      <c r="G24" s="156"/>
      <c r="H24" s="157"/>
      <c r="I24" s="127"/>
      <c r="J24" s="155"/>
      <c r="K24" s="156"/>
      <c r="L24" s="259">
        <v>6.97</v>
      </c>
      <c r="M24" s="255">
        <v>1</v>
      </c>
      <c r="N24" s="188">
        <f t="shared" si="0"/>
        <v>6.97</v>
      </c>
      <c r="O24" s="41"/>
      <c r="P24" s="41"/>
      <c r="Q24" s="41"/>
      <c r="R24" s="41"/>
      <c r="S24" s="41"/>
      <c r="T24" s="41"/>
    </row>
    <row r="25" spans="1:20" s="5" customFormat="1" ht="24" customHeight="1" ph="1" x14ac:dyDescent="0.4">
      <c r="A25" s="136"/>
      <c r="B25" s="146"/>
      <c r="C25" s="135"/>
      <c r="D25" s="126"/>
      <c r="E25" s="155"/>
      <c r="F25" s="155"/>
      <c r="G25" s="156"/>
      <c r="H25" s="157"/>
      <c r="I25" s="127"/>
      <c r="J25" s="155"/>
      <c r="K25" s="156"/>
      <c r="L25" s="259"/>
      <c r="M25" s="255"/>
      <c r="N25" s="188">
        <f t="shared" si="0"/>
        <v>0</v>
      </c>
      <c r="O25" s="41"/>
      <c r="P25" s="41"/>
      <c r="Q25" s="41"/>
      <c r="R25" s="41"/>
      <c r="S25" s="41"/>
      <c r="T25" s="41"/>
    </row>
    <row r="26" spans="1:20" s="5" customFormat="1" ht="24" customHeight="1" x14ac:dyDescent="0.4">
      <c r="A26" s="136"/>
      <c r="B26" s="146"/>
      <c r="C26" s="135"/>
      <c r="D26" s="126"/>
      <c r="E26" s="155"/>
      <c r="F26" s="155"/>
      <c r="G26" s="156"/>
      <c r="H26" s="157"/>
      <c r="I26" s="127"/>
      <c r="J26" s="155"/>
      <c r="K26" s="156"/>
      <c r="L26" s="259"/>
      <c r="M26" s="255"/>
      <c r="N26" s="188">
        <f t="shared" ref="N26:N39" si="1">IF(M26=" ",L26*1,L26*M26)</f>
        <v>0</v>
      </c>
      <c r="O26" s="41"/>
      <c r="P26" s="41"/>
      <c r="Q26" s="41"/>
      <c r="R26" s="41"/>
      <c r="S26" s="41"/>
      <c r="T26" s="41"/>
    </row>
    <row r="27" spans="1:20" s="5" customFormat="1" ht="24" customHeight="1" x14ac:dyDescent="0.4">
      <c r="A27" s="136"/>
      <c r="B27" s="146"/>
      <c r="C27" s="135"/>
      <c r="D27" s="126"/>
      <c r="E27" s="155"/>
      <c r="F27" s="155"/>
      <c r="G27" s="156"/>
      <c r="H27" s="157"/>
      <c r="I27" s="127"/>
      <c r="J27" s="155"/>
      <c r="K27" s="156"/>
      <c r="L27" s="259"/>
      <c r="M27" s="255"/>
      <c r="N27" s="188">
        <f t="shared" si="1"/>
        <v>0</v>
      </c>
      <c r="O27" s="41"/>
      <c r="P27" s="41"/>
      <c r="Q27" s="41"/>
      <c r="R27" s="41"/>
      <c r="S27" s="41"/>
      <c r="T27" s="41"/>
    </row>
    <row r="28" spans="1:20" s="5" customFormat="1" ht="24" customHeight="1" x14ac:dyDescent="0.4">
      <c r="A28" s="136"/>
      <c r="B28" s="146"/>
      <c r="C28" s="135"/>
      <c r="D28" s="126"/>
      <c r="E28" s="155"/>
      <c r="F28" s="155"/>
      <c r="G28" s="156"/>
      <c r="H28" s="157"/>
      <c r="I28" s="127"/>
      <c r="J28" s="155"/>
      <c r="K28" s="156"/>
      <c r="L28" s="259"/>
      <c r="M28" s="255"/>
      <c r="N28" s="188">
        <f t="shared" si="1"/>
        <v>0</v>
      </c>
      <c r="O28" s="41"/>
      <c r="P28" s="41"/>
      <c r="Q28" s="41"/>
      <c r="R28" s="41"/>
      <c r="S28" s="41"/>
      <c r="T28" s="41"/>
    </row>
    <row r="29" spans="1:20" s="5" customFormat="1" ht="24" customHeight="1" x14ac:dyDescent="0.4">
      <c r="A29" s="136"/>
      <c r="B29" s="146"/>
      <c r="C29" s="135"/>
      <c r="D29" s="126"/>
      <c r="E29" s="155"/>
      <c r="F29" s="155"/>
      <c r="G29" s="156"/>
      <c r="H29" s="157"/>
      <c r="I29" s="127"/>
      <c r="J29" s="155"/>
      <c r="K29" s="156"/>
      <c r="L29" s="259"/>
      <c r="M29" s="255"/>
      <c r="N29" s="188">
        <f t="shared" si="1"/>
        <v>0</v>
      </c>
      <c r="O29" s="41"/>
      <c r="P29" s="41"/>
      <c r="Q29" s="41"/>
      <c r="R29" s="41"/>
      <c r="S29" s="41"/>
      <c r="T29" s="41"/>
    </row>
    <row r="30" spans="1:20" s="5" customFormat="1" ht="24" customHeight="1" x14ac:dyDescent="0.4">
      <c r="A30" s="136"/>
      <c r="B30" s="146"/>
      <c r="C30" s="135"/>
      <c r="D30" s="126"/>
      <c r="E30" s="155"/>
      <c r="F30" s="155"/>
      <c r="G30" s="156"/>
      <c r="H30" s="157"/>
      <c r="I30" s="127"/>
      <c r="J30" s="155"/>
      <c r="K30" s="156"/>
      <c r="L30" s="259"/>
      <c r="M30" s="255"/>
      <c r="N30" s="188">
        <f t="shared" si="1"/>
        <v>0</v>
      </c>
      <c r="O30" s="41"/>
      <c r="P30" s="41"/>
      <c r="Q30" s="41"/>
      <c r="R30" s="41"/>
      <c r="S30" s="41"/>
      <c r="T30" s="41"/>
    </row>
    <row r="31" spans="1:20" s="5" customFormat="1" ht="24" customHeight="1" x14ac:dyDescent="0.4">
      <c r="A31" s="136"/>
      <c r="B31" s="146"/>
      <c r="C31" s="135"/>
      <c r="D31" s="126"/>
      <c r="E31" s="155"/>
      <c r="F31" s="155"/>
      <c r="G31" s="156"/>
      <c r="H31" s="157"/>
      <c r="I31" s="127"/>
      <c r="J31" s="155"/>
      <c r="K31" s="156"/>
      <c r="L31" s="259"/>
      <c r="M31" s="255"/>
      <c r="N31" s="188">
        <f t="shared" si="1"/>
        <v>0</v>
      </c>
      <c r="O31" s="41"/>
      <c r="P31" s="41"/>
      <c r="Q31" s="41"/>
      <c r="R31" s="41"/>
      <c r="S31" s="41"/>
      <c r="T31" s="41"/>
    </row>
    <row r="32" spans="1:20" s="5" customFormat="1" ht="24" customHeight="1" x14ac:dyDescent="0.4">
      <c r="A32" s="136"/>
      <c r="B32" s="146"/>
      <c r="C32" s="135"/>
      <c r="D32" s="126"/>
      <c r="E32" s="155"/>
      <c r="F32" s="155"/>
      <c r="G32" s="156"/>
      <c r="H32" s="157"/>
      <c r="I32" s="127"/>
      <c r="J32" s="155"/>
      <c r="K32" s="156"/>
      <c r="L32" s="259"/>
      <c r="M32" s="255"/>
      <c r="N32" s="188">
        <f t="shared" si="1"/>
        <v>0</v>
      </c>
      <c r="O32" s="41"/>
      <c r="P32" s="41"/>
      <c r="Q32" s="41"/>
      <c r="R32" s="41"/>
      <c r="S32" s="41"/>
      <c r="T32" s="41"/>
    </row>
    <row r="33" spans="1:20" s="5" customFormat="1" ht="24" customHeight="1" x14ac:dyDescent="0.4">
      <c r="A33" s="136"/>
      <c r="B33" s="146"/>
      <c r="C33" s="135"/>
      <c r="D33" s="126"/>
      <c r="E33" s="155"/>
      <c r="F33" s="155"/>
      <c r="G33" s="156"/>
      <c r="H33" s="157"/>
      <c r="I33" s="127"/>
      <c r="J33" s="155"/>
      <c r="K33" s="156"/>
      <c r="L33" s="259"/>
      <c r="M33" s="255"/>
      <c r="N33" s="188">
        <f t="shared" si="1"/>
        <v>0</v>
      </c>
      <c r="O33" s="41"/>
      <c r="P33" s="41"/>
      <c r="Q33" s="41"/>
      <c r="R33" s="41"/>
      <c r="S33" s="41"/>
      <c r="T33" s="41"/>
    </row>
    <row r="34" spans="1:20" s="5" customFormat="1" ht="24" customHeight="1" x14ac:dyDescent="0.4">
      <c r="A34" s="136"/>
      <c r="B34" s="146"/>
      <c r="C34" s="135"/>
      <c r="D34" s="126"/>
      <c r="E34" s="155"/>
      <c r="F34" s="155"/>
      <c r="G34" s="156"/>
      <c r="H34" s="157"/>
      <c r="I34" s="127"/>
      <c r="J34" s="155"/>
      <c r="K34" s="156"/>
      <c r="L34" s="259"/>
      <c r="M34" s="255"/>
      <c r="N34" s="188">
        <f t="shared" si="1"/>
        <v>0</v>
      </c>
      <c r="O34" s="41"/>
      <c r="P34" s="41"/>
      <c r="Q34" s="41"/>
      <c r="R34" s="41"/>
      <c r="S34" s="41"/>
      <c r="T34" s="41"/>
    </row>
    <row r="35" spans="1:20" s="5" customFormat="1" ht="24" customHeight="1" x14ac:dyDescent="0.4">
      <c r="A35" s="136"/>
      <c r="B35" s="146"/>
      <c r="C35" s="135"/>
      <c r="D35" s="126"/>
      <c r="E35" s="155"/>
      <c r="F35" s="155"/>
      <c r="G35" s="156"/>
      <c r="H35" s="157"/>
      <c r="I35" s="127"/>
      <c r="J35" s="155"/>
      <c r="K35" s="156"/>
      <c r="L35" s="259"/>
      <c r="M35" s="255"/>
      <c r="N35" s="188">
        <f t="shared" si="1"/>
        <v>0</v>
      </c>
      <c r="O35" s="41"/>
      <c r="P35" s="41"/>
      <c r="Q35" s="41"/>
      <c r="R35" s="41"/>
      <c r="S35" s="41"/>
      <c r="T35" s="41"/>
    </row>
    <row r="36" spans="1:20" s="5" customFormat="1" ht="24" customHeight="1" x14ac:dyDescent="0.4">
      <c r="A36" s="136"/>
      <c r="B36" s="146"/>
      <c r="C36" s="135"/>
      <c r="D36" s="126"/>
      <c r="E36" s="155"/>
      <c r="F36" s="155"/>
      <c r="G36" s="156"/>
      <c r="H36" s="157"/>
      <c r="I36" s="127"/>
      <c r="J36" s="155"/>
      <c r="K36" s="156"/>
      <c r="L36" s="259"/>
      <c r="M36" s="255"/>
      <c r="N36" s="188">
        <f t="shared" si="1"/>
        <v>0</v>
      </c>
      <c r="O36" s="41"/>
      <c r="P36" s="41"/>
      <c r="Q36" s="41"/>
      <c r="R36" s="41"/>
      <c r="S36" s="41"/>
      <c r="T36" s="41"/>
    </row>
    <row r="37" spans="1:20" s="5" customFormat="1" ht="24" customHeight="1" x14ac:dyDescent="0.4">
      <c r="A37" s="136"/>
      <c r="B37" s="146"/>
      <c r="C37" s="135"/>
      <c r="D37" s="126"/>
      <c r="E37" s="155"/>
      <c r="F37" s="155"/>
      <c r="G37" s="156"/>
      <c r="H37" s="157"/>
      <c r="I37" s="127"/>
      <c r="J37" s="155"/>
      <c r="K37" s="156"/>
      <c r="L37" s="259"/>
      <c r="M37" s="255"/>
      <c r="N37" s="188">
        <f t="shared" si="1"/>
        <v>0</v>
      </c>
      <c r="O37" s="41"/>
      <c r="P37" s="41"/>
      <c r="Q37" s="41"/>
      <c r="R37" s="41"/>
      <c r="S37" s="41"/>
      <c r="T37" s="41"/>
    </row>
    <row r="38" spans="1:20" s="5" customFormat="1" ht="24" customHeight="1" x14ac:dyDescent="0.4">
      <c r="A38" s="136"/>
      <c r="B38" s="146"/>
      <c r="C38" s="135"/>
      <c r="D38" s="126"/>
      <c r="E38" s="155"/>
      <c r="F38" s="155"/>
      <c r="G38" s="156"/>
      <c r="H38" s="157"/>
      <c r="I38" s="126"/>
      <c r="J38" s="155"/>
      <c r="K38" s="156"/>
      <c r="L38" s="259"/>
      <c r="M38" s="255"/>
      <c r="N38" s="188">
        <f t="shared" si="1"/>
        <v>0</v>
      </c>
      <c r="O38" s="41"/>
      <c r="P38" s="41"/>
      <c r="Q38" s="41"/>
      <c r="R38" s="41"/>
      <c r="S38" s="41"/>
      <c r="T38" s="41"/>
    </row>
    <row r="39" spans="1:20" s="5" customFormat="1" ht="24" customHeight="1" x14ac:dyDescent="0.4">
      <c r="A39" s="136"/>
      <c r="B39" s="146"/>
      <c r="C39" s="135"/>
      <c r="D39" s="126"/>
      <c r="E39" s="155"/>
      <c r="F39" s="155"/>
      <c r="G39" s="156"/>
      <c r="H39" s="157"/>
      <c r="I39" s="126"/>
      <c r="J39" s="155"/>
      <c r="K39" s="158"/>
      <c r="L39" s="259"/>
      <c r="M39" s="255"/>
      <c r="N39" s="188">
        <f t="shared" si="1"/>
        <v>0</v>
      </c>
      <c r="O39" s="41"/>
      <c r="P39" s="41"/>
      <c r="Q39" s="41"/>
      <c r="R39" s="41"/>
      <c r="S39" s="41"/>
      <c r="T39" s="41"/>
    </row>
    <row r="40" spans="1:20" s="5" customFormat="1" ht="24" customHeight="1" x14ac:dyDescent="0.4">
      <c r="A40" s="136"/>
      <c r="B40" s="146"/>
      <c r="C40" s="135"/>
      <c r="D40" s="126"/>
      <c r="E40" s="155"/>
      <c r="F40" s="155"/>
      <c r="G40" s="156"/>
      <c r="H40" s="157"/>
      <c r="I40" s="126"/>
      <c r="J40" s="155"/>
      <c r="K40" s="156"/>
      <c r="L40" s="259"/>
      <c r="M40" s="255"/>
      <c r="N40" s="188">
        <f>IF(M40=" ",L40*1,L40*M40)</f>
        <v>0</v>
      </c>
      <c r="O40" s="41"/>
      <c r="P40" s="41"/>
      <c r="Q40" s="41"/>
      <c r="R40" s="41"/>
      <c r="S40" s="41"/>
      <c r="T40" s="41"/>
    </row>
    <row r="41" spans="1:20" s="5" customFormat="1" ht="24" customHeight="1" x14ac:dyDescent="0.4">
      <c r="A41" s="184"/>
      <c r="B41" s="272"/>
      <c r="C41"/>
      <c r="D41" s="95"/>
      <c r="E41"/>
      <c r="F41" s="272" t="s">
        <v>73</v>
      </c>
      <c r="G41" s="279"/>
      <c r="H41" s="271"/>
      <c r="I41"/>
      <c r="J41" s="280" t="s">
        <v>74</v>
      </c>
      <c r="K41" s="281">
        <f>IF(SUM(L49:L54)=0,0,$N$41-(SUMIF($A$10:$A$40,IF($L$49=" ",$A$49," "),$N$10:$N$40))-(SUMIF($A$10:$A$40,IF($L$50=" ",$A$50," "),$N$10:$N$40))-(SUMIF($A$10:$A$40,IF( $L$51=" ",$A$51," "),$N$10:$N$40))-(SUMIF($A$10:$A$40,IF($L$52=" ",$A$52," "),$N$10:$N$40))-(SUMIF($A$10:$A$40,IF($L$53=" ",$A$53," "),$N$10:$N$40))-(SUMIF($A$10:$A$40,IF($L$54=" ",$A$54," "),$N$10:$N$40)))</f>
        <v>0</v>
      </c>
      <c r="L41" s="296" t="s">
        <v>75</v>
      </c>
      <c r="M41" s="352"/>
      <c r="N41" s="131">
        <f>SUM(N10:N40)</f>
        <v>484.96</v>
      </c>
      <c r="O41" s="41"/>
      <c r="P41" s="41"/>
      <c r="Q41" s="41"/>
      <c r="R41" s="41"/>
      <c r="S41" s="41"/>
      <c r="T41" s="41"/>
    </row>
    <row r="42" spans="1:20" ht="15.75" customHeight="1" x14ac:dyDescent="0.4">
      <c r="A42" s="185"/>
      <c r="B42" s="73"/>
      <c r="C42"/>
      <c r="D42" s="273"/>
      <c r="E42" s="274"/>
      <c r="F42" s="203" t="s">
        <v>76</v>
      </c>
      <c r="G42" s="279"/>
      <c r="H42"/>
      <c r="I42"/>
      <c r="J42" s="73"/>
      <c r="K42" s="204" t="s">
        <v>77</v>
      </c>
      <c r="L42" s="95"/>
      <c r="M42" s="108"/>
      <c r="N42" s="109"/>
      <c r="O42" s="9"/>
      <c r="P42" s="9"/>
      <c r="Q42" s="9"/>
      <c r="R42" s="9"/>
      <c r="S42" s="9"/>
      <c r="T42" s="9"/>
    </row>
    <row r="43" spans="1:20" ht="15.75" customHeight="1" x14ac:dyDescent="0.4">
      <c r="A43" s="185"/>
      <c r="B43" s="73"/>
      <c r="C43"/>
      <c r="D43" s="275"/>
      <c r="E43" s="275"/>
      <c r="F43" s="203" t="s">
        <v>78</v>
      </c>
      <c r="G43" s="279"/>
      <c r="H43"/>
      <c r="I43"/>
      <c r="J43"/>
      <c r="K43" s="209" t="s">
        <v>79</v>
      </c>
      <c r="L43" s="95"/>
      <c r="M43" s="108"/>
      <c r="N43" s="109"/>
      <c r="O43" s="9"/>
      <c r="P43" s="9"/>
      <c r="Q43" s="9"/>
      <c r="R43" s="9"/>
      <c r="S43" s="9"/>
      <c r="T43" s="9"/>
    </row>
    <row r="44" spans="1:20" ht="15.75" customHeight="1" x14ac:dyDescent="0.4">
      <c r="A44" s="185"/>
      <c r="B44"/>
      <c r="C44"/>
      <c r="D44" s="275"/>
      <c r="E44" s="275"/>
      <c r="F44" s="215" t="s">
        <v>80</v>
      </c>
      <c r="G44" s="279"/>
      <c r="H44"/>
      <c r="I44"/>
      <c r="J44"/>
      <c r="K44"/>
      <c r="L44" s="95"/>
      <c r="M44" s="108"/>
      <c r="N44" s="109"/>
      <c r="O44" s="9"/>
      <c r="P44" s="9"/>
      <c r="Q44" s="9"/>
      <c r="R44" s="9"/>
      <c r="S44" s="9"/>
      <c r="T44" s="9"/>
    </row>
    <row r="45" spans="1:20" ht="15.75" customHeight="1" x14ac:dyDescent="0.35">
      <c r="A45" s="185"/>
      <c r="B45" s="277"/>
      <c r="C45"/>
      <c r="D45" s="275"/>
      <c r="E45" s="275"/>
      <c r="F45" s="215" t="s">
        <v>81</v>
      </c>
      <c r="G45" s="279"/>
      <c r="H45"/>
      <c r="I45"/>
      <c r="J45" s="96"/>
      <c r="K45"/>
      <c r="L45"/>
      <c r="M45" s="41"/>
      <c r="N45" s="41"/>
      <c r="O45" s="9"/>
      <c r="P45" s="151"/>
      <c r="Q45" s="9"/>
      <c r="R45" s="9"/>
      <c r="S45" s="9"/>
      <c r="T45" s="9"/>
    </row>
    <row r="46" spans="1:20" ht="15.75" customHeight="1" x14ac:dyDescent="0.4">
      <c r="A46" s="221" t="s">
        <v>82</v>
      </c>
      <c r="B46" s="210"/>
      <c r="C46" s="209"/>
      <c r="D46" s="96"/>
      <c r="E46" s="77"/>
      <c r="F46" s="77"/>
      <c r="G46" s="278"/>
      <c r="H46"/>
      <c r="I46"/>
      <c r="J46" s="77"/>
      <c r="K46"/>
      <c r="L46" s="270" t="str">
        <f>IF($N$41=$N$55," ","Totals are not equal")</f>
        <v xml:space="preserve"> </v>
      </c>
      <c r="M46" s="67"/>
      <c r="N46" s="67"/>
      <c r="O46" s="9"/>
      <c r="P46" s="9"/>
      <c r="Q46" s="9"/>
      <c r="R46" s="9"/>
      <c r="S46" s="9"/>
      <c r="T46" s="9"/>
    </row>
    <row r="47" spans="1:20" ht="14.25" customHeight="1" x14ac:dyDescent="0.35">
      <c r="A47" s="220" t="s">
        <v>90</v>
      </c>
      <c r="B47" s="210"/>
      <c r="C47" s="209"/>
      <c r="D47" s="96"/>
      <c r="E47" s="77"/>
      <c r="F47" s="77"/>
      <c r="G47" s="77"/>
      <c r="H47" s="77"/>
      <c r="I47" s="77"/>
      <c r="J47" s="77"/>
      <c r="K47" s="77"/>
      <c r="L47" s="77"/>
      <c r="M47" s="9"/>
      <c r="N47" s="9"/>
      <c r="O47" s="9"/>
      <c r="P47" s="9"/>
      <c r="Q47" s="9"/>
      <c r="R47" s="9"/>
      <c r="S47" s="9"/>
      <c r="T47" s="9"/>
    </row>
    <row r="48" spans="1:20" s="3" customFormat="1" ht="24" customHeight="1" x14ac:dyDescent="0.35">
      <c r="A48" s="306" t="s">
        <v>68</v>
      </c>
      <c r="B48" s="306" t="s">
        <v>106</v>
      </c>
      <c r="C48" s="306" t="s">
        <v>108</v>
      </c>
      <c r="D48" s="330"/>
      <c r="E48" s="402" t="s">
        <v>110</v>
      </c>
      <c r="F48" s="403"/>
      <c r="G48" s="331"/>
      <c r="H48" s="397" t="s">
        <v>101</v>
      </c>
      <c r="I48" s="398"/>
      <c r="J48" s="344" t="s">
        <v>120</v>
      </c>
      <c r="K48" s="344" t="s">
        <v>119</v>
      </c>
      <c r="L48" s="334" t="s">
        <v>84</v>
      </c>
      <c r="M48" s="110"/>
      <c r="N48" s="353" t="s">
        <v>85</v>
      </c>
      <c r="O48" s="110"/>
      <c r="P48" s="110"/>
      <c r="Q48" s="110"/>
      <c r="R48" s="110"/>
      <c r="S48" s="110"/>
      <c r="T48" s="110"/>
    </row>
    <row r="49" spans="1:20" s="6" customFormat="1" ht="24" customHeight="1" x14ac:dyDescent="0.4">
      <c r="A49" s="335" t="s">
        <v>137</v>
      </c>
      <c r="B49" s="336" t="s">
        <v>138</v>
      </c>
      <c r="C49" s="337" t="s">
        <v>121</v>
      </c>
      <c r="D49" s="404" t="s">
        <v>136</v>
      </c>
      <c r="E49" s="406"/>
      <c r="F49" s="406"/>
      <c r="G49" s="407"/>
      <c r="H49" s="404"/>
      <c r="I49" s="405"/>
      <c r="J49" s="187" t="s">
        <v>139</v>
      </c>
      <c r="K49" s="187"/>
      <c r="L49" s="341"/>
      <c r="M49" s="40"/>
      <c r="N49" s="169">
        <f>IF($L$49=" ",SUMIF($A$10:$A$40,A49,$N$10:$N$40),$K$41*$L$49)</f>
        <v>484.96</v>
      </c>
      <c r="O49" s="152"/>
      <c r="P49" s="152"/>
      <c r="Q49" s="152"/>
      <c r="R49" s="152"/>
      <c r="S49" s="152"/>
      <c r="T49" s="152"/>
    </row>
    <row r="50" spans="1:20" s="4" customFormat="1" ht="24" customHeight="1" x14ac:dyDescent="0.4">
      <c r="A50" s="339"/>
      <c r="B50" s="336"/>
      <c r="C50" s="337"/>
      <c r="D50" s="404"/>
      <c r="E50" s="406"/>
      <c r="F50" s="406"/>
      <c r="G50" s="407"/>
      <c r="H50" s="404"/>
      <c r="I50" s="406"/>
      <c r="J50" s="187"/>
      <c r="K50" s="187"/>
      <c r="L50" s="340"/>
      <c r="M50" s="41"/>
      <c r="N50" s="347"/>
      <c r="O50" s="150"/>
      <c r="P50" s="150"/>
      <c r="Q50" s="150"/>
      <c r="R50" s="150"/>
      <c r="S50" s="150"/>
      <c r="T50" s="150"/>
    </row>
    <row r="51" spans="1:20" s="4" customFormat="1" ht="24" customHeight="1" x14ac:dyDescent="0.4">
      <c r="A51" s="338" t="s">
        <v>149</v>
      </c>
      <c r="B51" s="336"/>
      <c r="C51" s="337"/>
      <c r="D51" s="404"/>
      <c r="E51" s="406"/>
      <c r="F51" s="406"/>
      <c r="G51" s="407"/>
      <c r="H51" s="404"/>
      <c r="I51" s="405"/>
      <c r="J51" s="187"/>
      <c r="K51" s="187"/>
      <c r="L51" s="341"/>
      <c r="M51" s="41"/>
      <c r="N51" s="169">
        <f>IF($L$51=" ",SUMIF($A$10:$A$40,A51,$N$10:$N$40),$K$41*$L$51)</f>
        <v>0</v>
      </c>
      <c r="O51" s="150"/>
      <c r="P51" s="150"/>
      <c r="Q51" s="150"/>
      <c r="R51" s="150"/>
      <c r="S51" s="150"/>
      <c r="T51" s="150"/>
    </row>
    <row r="52" spans="1:20" s="4" customFormat="1" ht="24" customHeight="1" ph="1" x14ac:dyDescent="0.4">
      <c r="A52" s="339"/>
      <c r="B52" s="336"/>
      <c r="C52" s="337"/>
      <c r="D52" s="404"/>
      <c r="E52" s="406"/>
      <c r="F52" s="406"/>
      <c r="G52" s="407"/>
      <c r="H52" s="404"/>
      <c r="I52" s="406"/>
      <c r="J52" s="187"/>
      <c r="K52" s="187"/>
      <c r="L52" s="340"/>
      <c r="M52" s="41"/>
      <c r="N52" s="347"/>
      <c r="O52" s="150"/>
      <c r="P52" s="150"/>
      <c r="Q52" s="150"/>
      <c r="R52" s="150"/>
      <c r="S52" s="150"/>
      <c r="T52" s="150"/>
    </row>
    <row r="53" spans="1:20" s="4" customFormat="1" ht="24" customHeight="1" x14ac:dyDescent="0.4">
      <c r="A53" s="186"/>
      <c r="B53" s="187"/>
      <c r="C53" s="337"/>
      <c r="D53" s="404"/>
      <c r="E53" s="406"/>
      <c r="F53" s="406"/>
      <c r="G53" s="407"/>
      <c r="H53" s="404"/>
      <c r="I53" s="405"/>
      <c r="J53" s="187"/>
      <c r="K53" s="187"/>
      <c r="L53" s="341"/>
      <c r="M53" s="41"/>
      <c r="N53" s="169">
        <f>IF($L$53=" ",SUMIF($A$10:$A$40,A53,$N$10:$N$40),$K$41*$L$53)</f>
        <v>0</v>
      </c>
      <c r="O53" s="150"/>
      <c r="P53" s="150"/>
      <c r="Q53" s="150"/>
      <c r="R53" s="150"/>
      <c r="S53" s="150"/>
      <c r="T53" s="150"/>
    </row>
    <row r="54" spans="1:20" s="4" customFormat="1" ht="24" customHeight="1" x14ac:dyDescent="0.4">
      <c r="A54" s="339"/>
      <c r="B54" s="187"/>
      <c r="C54" s="187"/>
      <c r="D54" s="404"/>
      <c r="E54" s="406"/>
      <c r="F54" s="406"/>
      <c r="G54" s="407"/>
      <c r="H54" s="404"/>
      <c r="I54" s="406"/>
      <c r="J54" s="187"/>
      <c r="K54" s="187"/>
      <c r="L54" s="340"/>
      <c r="M54" s="41"/>
      <c r="N54" s="347"/>
      <c r="O54" s="150"/>
      <c r="P54" s="150"/>
      <c r="Q54" s="150"/>
      <c r="R54" s="150"/>
      <c r="S54" s="150"/>
      <c r="T54" s="150"/>
    </row>
    <row r="55" spans="1:20" s="4" customFormat="1" ht="24" customHeight="1" x14ac:dyDescent="0.4">
      <c r="A55" s="246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356"/>
      <c r="M55" s="352" t="s">
        <v>75</v>
      </c>
      <c r="N55" s="128">
        <f>SUM(N49:N54)</f>
        <v>484.96</v>
      </c>
      <c r="O55" s="150"/>
      <c r="P55" s="150"/>
      <c r="Q55" s="150"/>
      <c r="R55" s="150"/>
      <c r="S55" s="150"/>
      <c r="T55" s="150"/>
    </row>
    <row r="56" spans="1:20" ht="18.75" customHeight="1" x14ac:dyDescent="0.35">
      <c r="A56" s="24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s="7" customFormat="1" ht="21" hidden="1" customHeight="1" ph="1" x14ac:dyDescent="0.4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53"/>
      <c r="P57" s="153"/>
      <c r="Q57" s="153"/>
      <c r="R57" s="153"/>
      <c r="S57" s="153"/>
      <c r="T57" s="153"/>
    </row>
    <row r="58" spans="1:20" s="6" customFormat="1" ht="21" hidden="1" customHeight="1" x14ac:dyDescent="0.4">
      <c r="A58" s="7"/>
      <c r="O58" s="152"/>
      <c r="P58" s="152"/>
      <c r="Q58" s="152"/>
      <c r="R58" s="152"/>
      <c r="S58" s="152"/>
      <c r="T58" s="152"/>
    </row>
    <row r="59" spans="1:20" s="4" customFormat="1" ht="21" hidden="1" customHeight="1" x14ac:dyDescent="0.3">
      <c r="A59" s="6"/>
      <c r="O59" s="150"/>
      <c r="P59" s="150"/>
      <c r="Q59" s="150"/>
      <c r="R59" s="150"/>
      <c r="S59" s="150"/>
      <c r="T59" s="150"/>
    </row>
    <row r="60" spans="1:20" s="4" customFormat="1" ht="21" hidden="1" customHeight="1" x14ac:dyDescent="0.3">
      <c r="O60" s="150"/>
      <c r="P60" s="150"/>
      <c r="Q60" s="150"/>
      <c r="R60" s="150"/>
      <c r="S60" s="150"/>
      <c r="T60" s="150"/>
    </row>
    <row r="61" spans="1:20" s="4" customFormat="1" ht="21" hidden="1" customHeight="1" x14ac:dyDescent="0.3"/>
    <row r="62" spans="1:20" s="4" customFormat="1" ht="21" hidden="1" customHeight="1" x14ac:dyDescent="0.3"/>
    <row r="63" spans="1:20" s="4" customFormat="1" ht="21" hidden="1" customHeight="1" x14ac:dyDescent="0.3"/>
    <row r="64" spans="1:20" s="4" customFormat="1" ht="21" hidden="1" customHeight="1" x14ac:dyDescent="0.3"/>
    <row r="65" s="4" customFormat="1" ht="21" hidden="1" customHeight="1" x14ac:dyDescent="0.3"/>
    <row r="66" s="4" customFormat="1" ht="21" hidden="1" customHeight="1" x14ac:dyDescent="0.3"/>
    <row r="67" s="4" customFormat="1" ht="21" hidden="1" customHeight="1" x14ac:dyDescent="0.3"/>
    <row r="68" s="4" customFormat="1" ht="21" hidden="1" customHeight="1" x14ac:dyDescent="0.3"/>
    <row r="69" s="4" customFormat="1" ht="21" hidden="1" customHeight="1" x14ac:dyDescent="0.3"/>
    <row r="70" s="2" customFormat="1" ht="21" hidden="1" customHeight="1" x14ac:dyDescent="0.35"/>
    <row r="71" s="8" customFormat="1" ht="21" hidden="1" customHeight="1" x14ac:dyDescent="0.45"/>
    <row r="72" s="6" customFormat="1" ht="21" hidden="1" customHeight="1" x14ac:dyDescent="0.3"/>
    <row r="73" s="4" customFormat="1" ht="21" hidden="1" customHeight="1" x14ac:dyDescent="0.3"/>
    <row r="74" s="4" customFormat="1" ht="21" hidden="1" customHeight="1" x14ac:dyDescent="0.3"/>
    <row r="75" s="4" customFormat="1" ht="21" hidden="1" customHeight="1" x14ac:dyDescent="0.3"/>
    <row r="76" s="4" customFormat="1" ht="21" hidden="1" customHeight="1" x14ac:dyDescent="0.3"/>
    <row r="77" s="4" customFormat="1" ht="21" hidden="1" customHeight="1" x14ac:dyDescent="0.3"/>
    <row r="78" s="4" customFormat="1" ht="21" hidden="1" customHeight="1" x14ac:dyDescent="0.3"/>
    <row r="79" s="4" customFormat="1" ht="21" hidden="1" customHeight="1" x14ac:dyDescent="0.3"/>
    <row r="80" s="4" customFormat="1" ht="21" hidden="1" customHeight="1" x14ac:dyDescent="0.3"/>
    <row r="81" spans="2:14" s="4" customFormat="1" ht="21" hidden="1" customHeight="1" x14ac:dyDescent="0.3"/>
    <row r="82" spans="2:14" s="4" customFormat="1" ht="21" hidden="1" customHeight="1" x14ac:dyDescent="0.3"/>
    <row r="83" spans="2:14" s="4" customFormat="1" ht="21" hidden="1" customHeight="1" x14ac:dyDescent="0.3"/>
    <row r="84" spans="2:14" s="4" customFormat="1" ht="21" hidden="1" customHeight="1" ph="1" x14ac:dyDescent="0.3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2:14" s="2" customFormat="1" ht="21" hidden="1" customHeight="1" x14ac:dyDescent="0.35"/>
    <row r="86" spans="2:14" s="2" customFormat="1" ht="21" hidden="1" customHeight="1" x14ac:dyDescent="0.35"/>
    <row r="87" spans="2:14" s="2" customFormat="1" ht="21" hidden="1" customHeight="1" x14ac:dyDescent="0.35"/>
    <row r="88" spans="2:14" s="2" customFormat="1" ht="21" hidden="1" customHeight="1" x14ac:dyDescent="0.35"/>
    <row r="89" spans="2:14" s="2" customFormat="1" ht="21" hidden="1" customHeight="1" x14ac:dyDescent="0.35"/>
    <row r="90" spans="2:14" s="2" customFormat="1" ht="21" hidden="1" customHeight="1" x14ac:dyDescent="0.35"/>
    <row r="91" spans="2:14" s="2" customFormat="1" ht="21" hidden="1" customHeight="1" x14ac:dyDescent="0.35"/>
    <row r="92" spans="2:14" s="2" customFormat="1" ht="21" hidden="1" customHeight="1" x14ac:dyDescent="0.35"/>
    <row r="93" spans="2:14" s="2" customFormat="1" ht="21" hidden="1" customHeight="1" x14ac:dyDescent="0.35"/>
    <row r="94" spans="2:14" s="2" customFormat="1" ht="21" hidden="1" customHeight="1" x14ac:dyDescent="0.35"/>
    <row r="95" spans="2:14" s="7" customFormat="1" ht="21" hidden="1" customHeight="1" x14ac:dyDescent="0.4"/>
    <row r="96" spans="2:14" s="4" customFormat="1" ht="21" hidden="1" customHeight="1" x14ac:dyDescent="0.3"/>
    <row r="97" s="4" customFormat="1" ht="21" hidden="1" customHeight="1" x14ac:dyDescent="0.3"/>
    <row r="98" s="4" customFormat="1" ht="21" hidden="1" customHeight="1" x14ac:dyDescent="0.3"/>
    <row r="99" s="4" customFormat="1" ht="21" hidden="1" customHeight="1" x14ac:dyDescent="0.3"/>
    <row r="100" s="4" customFormat="1" ht="21" hidden="1" customHeight="1" x14ac:dyDescent="0.3"/>
    <row r="101" s="4" customFormat="1" ht="21" hidden="1" customHeight="1" x14ac:dyDescent="0.3"/>
    <row r="102" s="4" customFormat="1" ht="21" hidden="1" customHeight="1" x14ac:dyDescent="0.3"/>
    <row r="103" s="4" customFormat="1" ht="21" hidden="1" customHeight="1" x14ac:dyDescent="0.3"/>
    <row r="104" s="4" customFormat="1" ht="21" hidden="1" customHeight="1" x14ac:dyDescent="0.3"/>
    <row r="105" s="4" customFormat="1" ht="21" hidden="1" customHeight="1" x14ac:dyDescent="0.3"/>
    <row r="106" s="4" customFormat="1" ht="21" hidden="1" customHeight="1" x14ac:dyDescent="0.3"/>
    <row r="107" s="4" customFormat="1" ht="21" hidden="1" customHeight="1" x14ac:dyDescent="0.3"/>
    <row r="108" s="4" customFormat="1" ht="21" hidden="1" customHeight="1" x14ac:dyDescent="0.3"/>
    <row r="109" s="4" customFormat="1" ht="21" hidden="1" customHeight="1" x14ac:dyDescent="0.3"/>
    <row r="110" s="4" customFormat="1" ht="21" hidden="1" customHeight="1" x14ac:dyDescent="0.3"/>
    <row r="111" s="4" customFormat="1" ht="21" hidden="1" customHeight="1" x14ac:dyDescent="0.3"/>
    <row r="112" s="4" customFormat="1" ht="21" hidden="1" customHeight="1" x14ac:dyDescent="0.3"/>
    <row r="113" spans="2:14" s="4" customFormat="1" ht="21" hidden="1" customHeight="1" x14ac:dyDescent="0.3"/>
    <row r="114" spans="2:14" s="4" customFormat="1" ht="21" hidden="1" customHeight="1" x14ac:dyDescent="0.3"/>
    <row r="115" spans="2:14" s="4" customFormat="1" ht="21" hidden="1" customHeight="1" x14ac:dyDescent="0.3"/>
    <row r="116" spans="2:14" s="4" customFormat="1" ht="21" hidden="1" customHeight="1" ph="1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2:14" s="4" customFormat="1" ht="21" hidden="1" customHeight="1" x14ac:dyDescent="0.3"/>
    <row r="118" spans="2:14" s="4" customFormat="1" ht="21" hidden="1" customHeight="1" x14ac:dyDescent="0.3"/>
    <row r="119" spans="2:14" s="4" customFormat="1" ht="21" hidden="1" customHeight="1" x14ac:dyDescent="0.3"/>
    <row r="120" spans="2:14" s="4" customFormat="1" ht="21" hidden="1" customHeight="1" x14ac:dyDescent="0.3"/>
    <row r="121" spans="2:14" s="4" customFormat="1" ht="21" hidden="1" customHeight="1" ph="1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2:14" s="4" customFormat="1" ht="21" hidden="1" customHeight="1" x14ac:dyDescent="0.3"/>
    <row r="123" spans="2:14" s="4" customFormat="1" ht="21" hidden="1" customHeight="1" x14ac:dyDescent="0.3"/>
    <row r="124" spans="2:14" s="4" customFormat="1" ht="21" hidden="1" customHeight="1" x14ac:dyDescent="0.3"/>
    <row r="125" spans="2:14" s="4" customFormat="1" ht="21" hidden="1" customHeight="1" x14ac:dyDescent="0.3"/>
    <row r="126" spans="2:14" s="4" customFormat="1" ht="21" hidden="1" customHeight="1" x14ac:dyDescent="0.3"/>
    <row r="127" spans="2:14" s="4" customFormat="1" ht="21" hidden="1" customHeight="1" x14ac:dyDescent="0.3"/>
    <row r="128" spans="2:14" s="4" customFormat="1" ht="21" hidden="1" customHeight="1" x14ac:dyDescent="0.3"/>
    <row r="129" s="4" customFormat="1" ht="21" hidden="1" customHeight="1" x14ac:dyDescent="0.3"/>
    <row r="130" s="4" customFormat="1" ht="21" hidden="1" customHeight="1" x14ac:dyDescent="0.3"/>
    <row r="131" s="4" customFormat="1" ht="21" hidden="1" customHeight="1" x14ac:dyDescent="0.3"/>
    <row r="132" s="4" customFormat="1" ht="21" hidden="1" customHeight="1" x14ac:dyDescent="0.3"/>
    <row r="133" s="4" customFormat="1" ht="21" hidden="1" customHeight="1" x14ac:dyDescent="0.3"/>
    <row r="134" s="4" customFormat="1" ht="21" hidden="1" customHeight="1" x14ac:dyDescent="0.3"/>
    <row r="135" s="4" customFormat="1" ht="21" hidden="1" customHeight="1" x14ac:dyDescent="0.3"/>
    <row r="136" s="4" customFormat="1" ht="21" hidden="1" customHeight="1" x14ac:dyDescent="0.3"/>
    <row r="137" s="4" customFormat="1" ht="21" hidden="1" customHeight="1" x14ac:dyDescent="0.3"/>
    <row r="138" s="2" customFormat="1" ht="21" hidden="1" customHeight="1" x14ac:dyDescent="0.35"/>
    <row r="139" s="2" customFormat="1" ht="21" hidden="1" customHeight="1" x14ac:dyDescent="0.35"/>
    <row r="140" s="2" customFormat="1" ht="21" hidden="1" customHeight="1" x14ac:dyDescent="0.35"/>
    <row r="141" s="2" customFormat="1" ht="21" hidden="1" customHeight="1" x14ac:dyDescent="0.35"/>
    <row r="142" s="2" customFormat="1" ht="21" hidden="1" customHeight="1" x14ac:dyDescent="0.35"/>
    <row r="143" s="2" customFormat="1" ht="21" hidden="1" customHeight="1" x14ac:dyDescent="0.35"/>
    <row r="144" s="2" customFormat="1" ht="21" hidden="1" customHeight="1" x14ac:dyDescent="0.35"/>
    <row r="145" s="2" customFormat="1" ht="21" hidden="1" customHeight="1" x14ac:dyDescent="0.35"/>
    <row r="146" s="2" customFormat="1" ht="21" hidden="1" customHeight="1" x14ac:dyDescent="0.35"/>
    <row r="147" s="2" customFormat="1" ht="21" hidden="1" customHeight="1" x14ac:dyDescent="0.35"/>
    <row r="148" s="2" customFormat="1" ht="21" hidden="1" customHeight="1" x14ac:dyDescent="0.35"/>
    <row r="149" s="2" customFormat="1" ht="21" hidden="1" customHeight="1" x14ac:dyDescent="0.35"/>
    <row r="150" s="2" customFormat="1" ht="21" hidden="1" customHeight="1" x14ac:dyDescent="0.35"/>
    <row r="151" s="2" customFormat="1" ht="21" hidden="1" customHeight="1" x14ac:dyDescent="0.35"/>
    <row r="152" s="2" customFormat="1" ht="21" hidden="1" customHeight="1" x14ac:dyDescent="0.35"/>
    <row r="153" s="2" customFormat="1" ht="21" hidden="1" customHeight="1" x14ac:dyDescent="0.35"/>
    <row r="154" s="2" customFormat="1" ht="21" hidden="1" customHeight="1" x14ac:dyDescent="0.35"/>
    <row r="155" s="2" customFormat="1" ht="21" hidden="1" customHeight="1" x14ac:dyDescent="0.35"/>
    <row r="156" s="2" customFormat="1" ht="21" hidden="1" customHeight="1" x14ac:dyDescent="0.35"/>
    <row r="157" s="2" customFormat="1" ht="21" hidden="1" customHeight="1" x14ac:dyDescent="0.35"/>
    <row r="158" s="2" customFormat="1" ht="21" hidden="1" customHeight="1" x14ac:dyDescent="0.35"/>
    <row r="159" s="2" customFormat="1" ht="21" hidden="1" customHeight="1" x14ac:dyDescent="0.35"/>
    <row r="160" s="2" customFormat="1" ht="21" hidden="1" customHeight="1" x14ac:dyDescent="0.35"/>
    <row r="161" s="2" customFormat="1" ht="21" hidden="1" customHeight="1" x14ac:dyDescent="0.35"/>
    <row r="162" s="2" customFormat="1" ht="21" hidden="1" customHeight="1" x14ac:dyDescent="0.35"/>
    <row r="163" s="2" customFormat="1" ht="21" hidden="1" customHeight="1" x14ac:dyDescent="0.35"/>
    <row r="164" s="2" customFormat="1" ht="21" hidden="1" customHeight="1" x14ac:dyDescent="0.35"/>
    <row r="165" s="2" customFormat="1" ht="21" hidden="1" customHeight="1" x14ac:dyDescent="0.35"/>
    <row r="166" s="2" customFormat="1" ht="21" hidden="1" customHeight="1" x14ac:dyDescent="0.35"/>
    <row r="167" s="2" customFormat="1" ht="21" hidden="1" customHeight="1" x14ac:dyDescent="0.35"/>
    <row r="168" s="2" customFormat="1" ht="21" hidden="1" customHeight="1" x14ac:dyDescent="0.35"/>
    <row r="169" s="2" customFormat="1" ht="21" hidden="1" customHeight="1" x14ac:dyDescent="0.35"/>
    <row r="170" s="2" customFormat="1" ht="21" hidden="1" customHeight="1" x14ac:dyDescent="0.35"/>
    <row r="171" s="2" customFormat="1" ht="21" hidden="1" customHeight="1" x14ac:dyDescent="0.35"/>
    <row r="172" s="2" customFormat="1" ht="21" hidden="1" customHeight="1" x14ac:dyDescent="0.35"/>
    <row r="173" s="2" customFormat="1" ht="21" hidden="1" customHeight="1" x14ac:dyDescent="0.35"/>
    <row r="174" s="2" customFormat="1" ht="21" hidden="1" customHeight="1" x14ac:dyDescent="0.35"/>
    <row r="175" s="2" customFormat="1" ht="21" hidden="1" customHeight="1" x14ac:dyDescent="0.35"/>
    <row r="176" s="2" customFormat="1" ht="21" hidden="1" customHeight="1" x14ac:dyDescent="0.35"/>
    <row r="177" s="2" customFormat="1" ht="21" hidden="1" customHeight="1" x14ac:dyDescent="0.35"/>
    <row r="178" s="2" customFormat="1" ht="21" hidden="1" customHeight="1" x14ac:dyDescent="0.35"/>
    <row r="179" s="2" customFormat="1" ht="21" hidden="1" customHeight="1" x14ac:dyDescent="0.35"/>
    <row r="180" s="2" customFormat="1" ht="21" hidden="1" customHeight="1" x14ac:dyDescent="0.35"/>
    <row r="181" s="2" customFormat="1" ht="21" hidden="1" customHeight="1" x14ac:dyDescent="0.35"/>
  </sheetData>
  <sheetProtection password="BA39" sheet="1" objects="1" scenarios="1"/>
  <mergeCells count="14">
    <mergeCell ref="D54:G54"/>
    <mergeCell ref="H54:I54"/>
    <mergeCell ref="D52:G52"/>
    <mergeCell ref="H52:I52"/>
    <mergeCell ref="D53:G53"/>
    <mergeCell ref="H53:I53"/>
    <mergeCell ref="D50:G50"/>
    <mergeCell ref="H50:I50"/>
    <mergeCell ref="D51:G51"/>
    <mergeCell ref="H51:I51"/>
    <mergeCell ref="E48:F48"/>
    <mergeCell ref="H48:I48"/>
    <mergeCell ref="D49:G49"/>
    <mergeCell ref="H49:I49"/>
  </mergeCells>
  <phoneticPr fontId="59" type="noConversion"/>
  <pageMargins left="0.36" right="0.2" top="0.25" bottom="0.16" header="0.5" footer="0.5"/>
  <pageSetup scale="62" orientation="portrait" blackAndWhite="1" horizontalDpi="4294967292" verticalDpi="300" r:id="rId1"/>
  <headerFooter alignWithMargins="0"/>
  <colBreaks count="1" manualBreakCount="1">
    <brk id="1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A05E-2A25-4004-8DCE-59DA46C03C61}">
  <sheetPr transitionEvaluation="1">
    <pageSetUpPr fitToPage="1"/>
  </sheetPr>
  <dimension ref="A1:T154"/>
  <sheetViews>
    <sheetView showGridLines="0" showZeros="0" zoomScale="80" workbookViewId="0">
      <selection activeCell="A10" sqref="A10"/>
    </sheetView>
  </sheetViews>
  <sheetFormatPr defaultColWidth="0" defaultRowHeight="15.4" zeroHeight="1" x14ac:dyDescent="0.45"/>
  <cols>
    <col min="1" max="1" width="5.73046875" style="11" customWidth="1"/>
    <col min="2" max="2" width="11" style="10" customWidth="1"/>
    <col min="3" max="3" width="8.3984375" style="10" customWidth="1"/>
    <col min="4" max="4" width="5" style="10" customWidth="1"/>
    <col min="5" max="5" width="9.265625" style="10" customWidth="1"/>
    <col min="6" max="6" width="11.1328125" style="10" customWidth="1"/>
    <col min="7" max="7" width="10.3984375" style="10" customWidth="1"/>
    <col min="8" max="8" width="12.3984375" style="10" customWidth="1"/>
    <col min="9" max="9" width="13.59765625" style="10" customWidth="1"/>
    <col min="10" max="10" width="12.59765625" style="10" customWidth="1"/>
    <col min="11" max="11" width="12.73046875" style="10" customWidth="1"/>
    <col min="12" max="12" width="10" style="10" customWidth="1"/>
    <col min="13" max="13" width="10.86328125" style="10" customWidth="1"/>
    <col min="14" max="14" width="9.3984375" style="10" customWidth="1"/>
    <col min="15" max="15" width="20.59765625" style="10" customWidth="1"/>
    <col min="16" max="16" width="18.86328125" style="11" hidden="1" customWidth="1"/>
    <col min="17" max="16384" width="0" style="11" hidden="1"/>
  </cols>
  <sheetData>
    <row r="1" spans="1:20" ht="20.25" customHeight="1" x14ac:dyDescent="0.5">
      <c r="A1" s="197" t="s">
        <v>62</v>
      </c>
      <c r="B1" s="222"/>
      <c r="C1" s="222"/>
      <c r="D1" s="222"/>
      <c r="E1" s="222"/>
      <c r="F1" s="223"/>
      <c r="G1" s="71"/>
      <c r="H1" s="72"/>
      <c r="I1" s="216"/>
      <c r="J1" s="72"/>
      <c r="K1" s="117"/>
      <c r="L1" s="117"/>
      <c r="M1" s="118"/>
      <c r="N1" s="117"/>
      <c r="O1" s="117"/>
      <c r="P1" s="78"/>
      <c r="Q1" s="78"/>
      <c r="R1" s="78"/>
      <c r="S1" s="78"/>
      <c r="T1" s="78"/>
    </row>
    <row r="2" spans="1:20" ht="20.25" customHeight="1" x14ac:dyDescent="0.6">
      <c r="A2" s="198" t="s">
        <v>91</v>
      </c>
      <c r="B2" s="222"/>
      <c r="C2" s="222"/>
      <c r="D2" s="222"/>
      <c r="E2" s="222"/>
      <c r="F2" s="224"/>
      <c r="G2" s="75"/>
      <c r="H2" s="329"/>
      <c r="I2" s="72"/>
      <c r="J2" s="72"/>
      <c r="K2" s="117"/>
      <c r="L2" s="119"/>
      <c r="M2" s="266" t="s">
        <v>64</v>
      </c>
      <c r="N2" s="267">
        <f>IF((VALUE('Short Form'!J62)&lt;&gt;0),1+VALUE('Short Form'!I62)+VALUE('Short Form'!J62)+VALUE('Short Form'!H62),"")</f>
        <v>4</v>
      </c>
      <c r="O2" s="268">
        <f>IF((N2=0),"",'Short Form'!$N3)</f>
        <v>4</v>
      </c>
      <c r="P2" s="78"/>
      <c r="Q2" s="78"/>
      <c r="R2" s="78"/>
      <c r="S2" s="78"/>
      <c r="T2" s="78"/>
    </row>
    <row r="3" spans="1:20" ht="9" customHeight="1" x14ac:dyDescent="0.4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8"/>
      <c r="P3" s="78"/>
      <c r="Q3" s="78"/>
      <c r="R3" s="78"/>
      <c r="S3" s="78"/>
      <c r="T3" s="78"/>
    </row>
    <row r="4" spans="1:20" ht="14.25" customHeight="1" x14ac:dyDescent="0.45">
      <c r="A4" s="33" t="s">
        <v>8</v>
      </c>
      <c r="B4" s="236"/>
      <c r="C4" s="27"/>
      <c r="D4" s="236"/>
      <c r="E4" s="237" t="s">
        <v>9</v>
      </c>
      <c r="F4" s="236"/>
      <c r="G4" s="236"/>
      <c r="H4" s="81" t="s">
        <v>10</v>
      </c>
      <c r="I4" s="80"/>
      <c r="J4" s="79"/>
      <c r="K4" s="35" t="s">
        <v>103</v>
      </c>
      <c r="L4" s="82"/>
      <c r="M4" s="82"/>
      <c r="N4" s="82"/>
      <c r="O4" s="83"/>
      <c r="P4" s="78"/>
      <c r="Q4" s="78"/>
      <c r="R4" s="78"/>
      <c r="S4" s="78"/>
      <c r="T4" s="78"/>
    </row>
    <row r="5" spans="1:20" s="12" customFormat="1" ht="15.75" customHeight="1" x14ac:dyDescent="0.4">
      <c r="A5" s="245">
        <f>'Short Form'!A6</f>
        <v>0</v>
      </c>
      <c r="B5" s="121"/>
      <c r="C5" s="121"/>
      <c r="D5" s="121"/>
      <c r="E5" s="252">
        <f>'Short Form'!E6</f>
        <v>0</v>
      </c>
      <c r="F5" s="172"/>
      <c r="G5" s="121"/>
      <c r="H5" s="178">
        <f>'Short Form'!H6</f>
        <v>0</v>
      </c>
      <c r="I5" s="177"/>
      <c r="J5" s="179"/>
      <c r="K5" s="116">
        <f>'Short Form'!K6</f>
        <v>0</v>
      </c>
      <c r="L5" s="113"/>
      <c r="M5" s="113"/>
      <c r="N5" s="17"/>
      <c r="O5" s="18"/>
      <c r="P5" s="170"/>
      <c r="Q5" s="163"/>
      <c r="R5" s="163"/>
      <c r="S5" s="163"/>
      <c r="T5" s="163"/>
    </row>
    <row r="6" spans="1:20" s="12" customFormat="1" ht="4.5" customHeight="1" x14ac:dyDescent="0.45">
      <c r="A6" s="84"/>
      <c r="B6" s="84"/>
      <c r="C6" s="76"/>
      <c r="D6" s="85"/>
      <c r="E6" s="76"/>
      <c r="F6" s="76"/>
      <c r="G6" s="86"/>
      <c r="H6" s="76"/>
      <c r="I6" s="76"/>
      <c r="J6" s="87"/>
      <c r="K6" s="88"/>
      <c r="L6" s="76"/>
      <c r="M6" s="76"/>
      <c r="N6" s="76"/>
      <c r="O6" s="85"/>
      <c r="P6" s="163"/>
      <c r="Q6" s="163"/>
      <c r="R6" s="163"/>
      <c r="S6" s="163"/>
      <c r="T6" s="163"/>
    </row>
    <row r="7" spans="1:20" ht="15" customHeight="1" x14ac:dyDescent="0.45">
      <c r="A7" s="193" t="s">
        <v>92</v>
      </c>
      <c r="B7" s="225"/>
      <c r="C7" s="225"/>
      <c r="D7" s="218"/>
      <c r="E7" s="226"/>
      <c r="F7" s="226"/>
      <c r="G7" s="227"/>
      <c r="H7" s="120"/>
      <c r="I7" s="120"/>
      <c r="J7" s="120"/>
      <c r="K7" s="89"/>
      <c r="L7" s="89"/>
      <c r="M7" s="70"/>
      <c r="N7" s="70"/>
      <c r="O7" s="78"/>
      <c r="P7" s="78"/>
      <c r="Q7" s="78"/>
      <c r="R7" s="78"/>
      <c r="S7" s="78"/>
      <c r="T7" s="78"/>
    </row>
    <row r="8" spans="1:20" ht="15" customHeight="1" x14ac:dyDescent="0.45">
      <c r="A8" s="203" t="s">
        <v>67</v>
      </c>
      <c r="B8" s="200"/>
      <c r="C8" s="205"/>
      <c r="D8" s="200"/>
      <c r="E8" s="205"/>
      <c r="F8" s="206"/>
      <c r="G8" s="207"/>
      <c r="H8" s="90"/>
      <c r="I8" s="89"/>
      <c r="J8" s="89"/>
      <c r="K8" s="89"/>
      <c r="L8" s="89"/>
      <c r="M8" s="91"/>
      <c r="N8" s="91"/>
      <c r="O8" s="78"/>
      <c r="P8" s="78"/>
      <c r="Q8" s="78"/>
      <c r="R8" s="78"/>
      <c r="S8" s="78"/>
      <c r="T8" s="78"/>
    </row>
    <row r="9" spans="1:20" ht="15.75" customHeight="1" x14ac:dyDescent="0.45">
      <c r="A9" s="297" t="s">
        <v>68</v>
      </c>
      <c r="B9" s="297" t="s">
        <v>13</v>
      </c>
      <c r="C9" s="298"/>
      <c r="D9" s="298"/>
      <c r="E9" s="298" t="s">
        <v>15</v>
      </c>
      <c r="F9" s="298"/>
      <c r="G9" s="298"/>
      <c r="H9" s="298"/>
      <c r="I9" s="298"/>
      <c r="J9" s="298"/>
      <c r="K9" s="298"/>
      <c r="L9" s="298"/>
      <c r="M9" s="297" t="s">
        <v>71</v>
      </c>
      <c r="N9" s="297" t="s">
        <v>18</v>
      </c>
      <c r="O9" s="296" t="s">
        <v>72</v>
      </c>
      <c r="P9" s="78"/>
      <c r="Q9" s="78"/>
      <c r="R9" s="78"/>
      <c r="S9" s="78"/>
      <c r="T9" s="78"/>
    </row>
    <row r="10" spans="1:20" s="13" customFormat="1" ht="24" customHeight="1" x14ac:dyDescent="0.4">
      <c r="A10" s="186" t="s">
        <v>122</v>
      </c>
      <c r="B10" s="148">
        <v>36759</v>
      </c>
      <c r="C10" s="124" t="s">
        <v>153</v>
      </c>
      <c r="D10" s="166"/>
      <c r="E10" s="166"/>
      <c r="F10" s="166"/>
      <c r="G10" s="167"/>
      <c r="H10" s="166"/>
      <c r="I10" s="168"/>
      <c r="J10" s="166"/>
      <c r="K10" s="166"/>
      <c r="L10" s="166"/>
      <c r="M10" s="244">
        <v>11.88</v>
      </c>
      <c r="N10" s="256">
        <v>1</v>
      </c>
      <c r="O10" s="188">
        <f>IF(N10=" ",M10*1,M10*N10)</f>
        <v>11.88</v>
      </c>
      <c r="P10" s="91"/>
      <c r="Q10" s="91"/>
      <c r="R10" s="91"/>
      <c r="S10" s="91"/>
      <c r="T10" s="91"/>
    </row>
    <row r="11" spans="1:20" s="13" customFormat="1" ht="24" customHeight="1" x14ac:dyDescent="0.4">
      <c r="A11" s="186"/>
      <c r="B11" s="148"/>
      <c r="C11" s="124"/>
      <c r="D11" s="166"/>
      <c r="E11" s="166"/>
      <c r="F11" s="166"/>
      <c r="G11" s="167"/>
      <c r="H11" s="166"/>
      <c r="I11" s="166"/>
      <c r="J11" s="166"/>
      <c r="K11" s="166"/>
      <c r="L11" s="166"/>
      <c r="M11" s="244"/>
      <c r="N11" s="256"/>
      <c r="O11" s="188">
        <f>IF(N11=" ",M11*1,M11*N11)</f>
        <v>0</v>
      </c>
      <c r="P11" s="91"/>
      <c r="Q11" s="91"/>
      <c r="R11" s="91"/>
      <c r="S11" s="91"/>
      <c r="T11" s="91"/>
    </row>
    <row r="12" spans="1:20" s="13" customFormat="1" ht="24" customHeight="1" x14ac:dyDescent="0.4">
      <c r="A12" s="186"/>
      <c r="B12" s="148"/>
      <c r="C12" s="124"/>
      <c r="D12" s="166"/>
      <c r="E12" s="166"/>
      <c r="F12" s="166"/>
      <c r="G12" s="167"/>
      <c r="H12" s="166"/>
      <c r="I12" s="166"/>
      <c r="J12" s="166"/>
      <c r="K12" s="166"/>
      <c r="L12" s="166"/>
      <c r="M12" s="244"/>
      <c r="N12" s="256"/>
      <c r="O12" s="188">
        <f>IF(N12=" ",M12*1,M12*N12)</f>
        <v>0</v>
      </c>
      <c r="P12" s="91"/>
      <c r="Q12" s="91"/>
      <c r="R12" s="91"/>
      <c r="S12" s="91"/>
      <c r="T12" s="91"/>
    </row>
    <row r="13" spans="1:20" s="13" customFormat="1" ht="24" customHeight="1" x14ac:dyDescent="0.4">
      <c r="A13" s="186"/>
      <c r="B13" s="148"/>
      <c r="C13" s="124"/>
      <c r="D13" s="166"/>
      <c r="E13" s="166"/>
      <c r="F13" s="166"/>
      <c r="G13" s="167"/>
      <c r="H13" s="166"/>
      <c r="I13" s="166"/>
      <c r="J13" s="166"/>
      <c r="K13" s="166"/>
      <c r="L13" s="166"/>
      <c r="M13" s="244"/>
      <c r="N13" s="256"/>
      <c r="O13" s="188">
        <f t="shared" ref="O13:O25" si="0">IF(N13=" ",M13*1,M13*N13)</f>
        <v>0</v>
      </c>
      <c r="P13" s="91"/>
      <c r="Q13" s="91"/>
      <c r="R13" s="91"/>
      <c r="S13" s="91"/>
      <c r="T13" s="91"/>
    </row>
    <row r="14" spans="1:20" s="13" customFormat="1" ht="24" customHeight="1" x14ac:dyDescent="0.4">
      <c r="A14" s="186"/>
      <c r="B14" s="148"/>
      <c r="C14" s="124"/>
      <c r="D14" s="166"/>
      <c r="E14" s="166"/>
      <c r="F14" s="166"/>
      <c r="G14" s="167"/>
      <c r="H14" s="166"/>
      <c r="I14" s="166"/>
      <c r="J14" s="166"/>
      <c r="K14" s="166"/>
      <c r="L14" s="166"/>
      <c r="M14" s="244"/>
      <c r="N14" s="256"/>
      <c r="O14" s="188">
        <f t="shared" si="0"/>
        <v>0</v>
      </c>
      <c r="P14" s="91"/>
      <c r="Q14" s="91"/>
      <c r="R14" s="91"/>
      <c r="S14" s="91"/>
      <c r="T14" s="91"/>
    </row>
    <row r="15" spans="1:20" s="13" customFormat="1" ht="24" customHeight="1" x14ac:dyDescent="0.4">
      <c r="A15" s="186"/>
      <c r="B15" s="148"/>
      <c r="C15" s="124"/>
      <c r="D15" s="166"/>
      <c r="E15" s="166"/>
      <c r="F15" s="166"/>
      <c r="G15" s="167"/>
      <c r="H15" s="166"/>
      <c r="I15" s="166"/>
      <c r="J15" s="166"/>
      <c r="K15" s="166"/>
      <c r="L15" s="166"/>
      <c r="M15" s="244"/>
      <c r="N15" s="256"/>
      <c r="O15" s="188">
        <f t="shared" si="0"/>
        <v>0</v>
      </c>
      <c r="P15" s="91"/>
      <c r="Q15" s="91"/>
      <c r="R15" s="91"/>
      <c r="S15" s="91"/>
      <c r="T15" s="91"/>
    </row>
    <row r="16" spans="1:20" s="13" customFormat="1" ht="24" customHeight="1" x14ac:dyDescent="0.4">
      <c r="A16" s="186"/>
      <c r="B16" s="148"/>
      <c r="C16" s="124"/>
      <c r="D16" s="166"/>
      <c r="E16" s="166"/>
      <c r="F16" s="166"/>
      <c r="G16" s="167"/>
      <c r="H16" s="166"/>
      <c r="I16" s="166"/>
      <c r="J16" s="166"/>
      <c r="K16" s="166"/>
      <c r="L16" s="166"/>
      <c r="M16" s="244"/>
      <c r="N16" s="256"/>
      <c r="O16" s="188">
        <f t="shared" si="0"/>
        <v>0</v>
      </c>
      <c r="P16" s="91"/>
      <c r="Q16" s="91"/>
      <c r="R16" s="91"/>
      <c r="S16" s="91"/>
      <c r="T16" s="91"/>
    </row>
    <row r="17" spans="1:20" s="13" customFormat="1" ht="24" customHeight="1" x14ac:dyDescent="0.4">
      <c r="A17" s="186"/>
      <c r="B17" s="148"/>
      <c r="C17" s="124"/>
      <c r="D17" s="166"/>
      <c r="E17" s="166"/>
      <c r="F17" s="166"/>
      <c r="G17" s="167"/>
      <c r="H17" s="166"/>
      <c r="I17" s="166"/>
      <c r="J17" s="166"/>
      <c r="K17" s="166"/>
      <c r="L17" s="166"/>
      <c r="M17" s="244"/>
      <c r="N17" s="256"/>
      <c r="O17" s="188">
        <f t="shared" si="0"/>
        <v>0</v>
      </c>
      <c r="P17" s="91"/>
      <c r="Q17" s="91"/>
      <c r="R17" s="91"/>
      <c r="S17" s="91"/>
      <c r="T17" s="91"/>
    </row>
    <row r="18" spans="1:20" s="13" customFormat="1" ht="24" customHeight="1" x14ac:dyDescent="0.4">
      <c r="A18" s="186"/>
      <c r="B18" s="148"/>
      <c r="C18" s="124"/>
      <c r="D18" s="166"/>
      <c r="E18" s="166"/>
      <c r="F18" s="166"/>
      <c r="G18" s="167"/>
      <c r="H18" s="166"/>
      <c r="I18" s="166"/>
      <c r="J18" s="166"/>
      <c r="K18" s="166"/>
      <c r="L18" s="166"/>
      <c r="M18" s="244"/>
      <c r="N18" s="256"/>
      <c r="O18" s="188">
        <f t="shared" si="0"/>
        <v>0</v>
      </c>
      <c r="P18" s="91"/>
      <c r="Q18" s="91"/>
      <c r="R18" s="91"/>
      <c r="S18" s="91"/>
      <c r="T18" s="91"/>
    </row>
    <row r="19" spans="1:20" s="13" customFormat="1" ht="24" customHeight="1" x14ac:dyDescent="0.4">
      <c r="A19" s="186"/>
      <c r="B19" s="148"/>
      <c r="C19" s="124"/>
      <c r="D19" s="166"/>
      <c r="E19" s="166"/>
      <c r="F19" s="166"/>
      <c r="G19" s="167"/>
      <c r="H19" s="166"/>
      <c r="I19" s="166"/>
      <c r="J19" s="166"/>
      <c r="K19" s="166"/>
      <c r="L19" s="166"/>
      <c r="M19" s="244"/>
      <c r="N19" s="256"/>
      <c r="O19" s="188">
        <f t="shared" si="0"/>
        <v>0</v>
      </c>
      <c r="P19" s="91"/>
      <c r="Q19" s="91"/>
      <c r="R19" s="91"/>
      <c r="S19" s="91"/>
      <c r="T19" s="91"/>
    </row>
    <row r="20" spans="1:20" s="13" customFormat="1" ht="24" customHeight="1" ph="1" x14ac:dyDescent="0.4">
      <c r="A20" s="186"/>
      <c r="B20" s="148"/>
      <c r="C20" s="124"/>
      <c r="D20" s="166"/>
      <c r="E20" s="166"/>
      <c r="F20" s="166"/>
      <c r="G20" s="167"/>
      <c r="H20" s="166"/>
      <c r="I20" s="166"/>
      <c r="J20" s="166"/>
      <c r="K20" s="166"/>
      <c r="L20" s="166"/>
      <c r="M20" s="244"/>
      <c r="N20" s="256"/>
      <c r="O20" s="188">
        <f t="shared" si="0"/>
        <v>0</v>
      </c>
      <c r="P20" s="91"/>
      <c r="Q20" s="91"/>
      <c r="R20" s="91"/>
      <c r="S20" s="91"/>
      <c r="T20" s="91"/>
    </row>
    <row r="21" spans="1:20" s="13" customFormat="1" ht="24" customHeight="1" x14ac:dyDescent="0.4">
      <c r="A21" s="186"/>
      <c r="B21" s="148"/>
      <c r="C21" s="124"/>
      <c r="D21" s="166"/>
      <c r="E21" s="166"/>
      <c r="F21" s="166"/>
      <c r="G21" s="167"/>
      <c r="H21" s="166"/>
      <c r="I21" s="166"/>
      <c r="J21" s="166"/>
      <c r="K21" s="166"/>
      <c r="L21" s="166"/>
      <c r="M21" s="244"/>
      <c r="N21" s="256"/>
      <c r="O21" s="188">
        <f t="shared" si="0"/>
        <v>0</v>
      </c>
      <c r="P21" s="91"/>
      <c r="Q21" s="91"/>
      <c r="R21" s="91"/>
      <c r="S21" s="91"/>
      <c r="T21" s="91"/>
    </row>
    <row r="22" spans="1:20" s="13" customFormat="1" ht="24" customHeight="1" x14ac:dyDescent="0.4">
      <c r="A22" s="186"/>
      <c r="B22" s="148"/>
      <c r="C22" s="124"/>
      <c r="D22" s="166"/>
      <c r="E22" s="166"/>
      <c r="F22" s="166"/>
      <c r="G22" s="167"/>
      <c r="H22" s="166"/>
      <c r="I22" s="166"/>
      <c r="J22" s="166"/>
      <c r="K22" s="166"/>
      <c r="L22" s="166"/>
      <c r="M22" s="244"/>
      <c r="N22" s="256"/>
      <c r="O22" s="188">
        <f t="shared" si="0"/>
        <v>0</v>
      </c>
      <c r="P22" s="91"/>
      <c r="Q22" s="91"/>
      <c r="R22" s="91"/>
      <c r="S22" s="91"/>
      <c r="T22" s="91"/>
    </row>
    <row r="23" spans="1:20" s="13" customFormat="1" ht="24" customHeight="1" x14ac:dyDescent="0.4">
      <c r="A23" s="186"/>
      <c r="B23" s="148"/>
      <c r="C23" s="124"/>
      <c r="D23" s="166"/>
      <c r="E23" s="166"/>
      <c r="F23" s="166"/>
      <c r="G23" s="167"/>
      <c r="H23" s="166"/>
      <c r="I23" s="166"/>
      <c r="J23" s="166"/>
      <c r="K23" s="166"/>
      <c r="L23" s="166"/>
      <c r="M23" s="244"/>
      <c r="N23" s="256"/>
      <c r="O23" s="188">
        <f t="shared" si="0"/>
        <v>0</v>
      </c>
      <c r="P23" s="91"/>
      <c r="Q23" s="91"/>
      <c r="R23" s="91"/>
      <c r="S23" s="91"/>
      <c r="T23" s="91"/>
    </row>
    <row r="24" spans="1:20" s="13" customFormat="1" ht="24" customHeight="1" x14ac:dyDescent="0.4">
      <c r="A24" s="186"/>
      <c r="B24" s="148"/>
      <c r="C24" s="124"/>
      <c r="D24" s="166"/>
      <c r="E24" s="166"/>
      <c r="F24" s="166"/>
      <c r="G24" s="167"/>
      <c r="H24" s="166"/>
      <c r="I24" s="166"/>
      <c r="J24" s="166"/>
      <c r="K24" s="166"/>
      <c r="L24" s="166"/>
      <c r="M24" s="244"/>
      <c r="N24" s="256"/>
      <c r="O24" s="188">
        <f t="shared" si="0"/>
        <v>0</v>
      </c>
      <c r="P24" s="91"/>
      <c r="Q24" s="91"/>
      <c r="R24" s="91"/>
      <c r="S24" s="91"/>
      <c r="T24" s="91"/>
    </row>
    <row r="25" spans="1:20" s="13" customFormat="1" ht="24" customHeight="1" ph="1" x14ac:dyDescent="0.4">
      <c r="A25" s="186"/>
      <c r="B25" s="148"/>
      <c r="C25" s="124"/>
      <c r="D25" s="166"/>
      <c r="E25" s="166"/>
      <c r="F25" s="166"/>
      <c r="G25" s="167"/>
      <c r="H25" s="166"/>
      <c r="I25" s="166"/>
      <c r="J25" s="166"/>
      <c r="K25" s="166"/>
      <c r="L25" s="166"/>
      <c r="M25" s="244"/>
      <c r="N25" s="256"/>
      <c r="O25" s="188">
        <f t="shared" si="0"/>
        <v>0</v>
      </c>
      <c r="P25" s="91"/>
      <c r="Q25" s="91"/>
      <c r="R25" s="91"/>
      <c r="S25" s="91"/>
      <c r="T25" s="91"/>
    </row>
    <row r="26" spans="1:20" s="13" customFormat="1" ht="24" customHeight="1" x14ac:dyDescent="0.4">
      <c r="A26" s="186"/>
      <c r="B26" s="148"/>
      <c r="C26" s="124"/>
      <c r="D26" s="166"/>
      <c r="E26" s="166"/>
      <c r="F26" s="166"/>
      <c r="G26" s="167"/>
      <c r="H26" s="166"/>
      <c r="I26" s="166"/>
      <c r="J26" s="166"/>
      <c r="K26" s="166"/>
      <c r="L26" s="166"/>
      <c r="M26" s="244"/>
      <c r="N26" s="256"/>
      <c r="O26" s="188">
        <f t="shared" ref="O26:O39" si="1">IF(N26=" ",M26*1,M26*N26)</f>
        <v>0</v>
      </c>
      <c r="P26" s="91"/>
      <c r="Q26" s="91"/>
      <c r="R26" s="91"/>
      <c r="S26" s="91"/>
      <c r="T26" s="91"/>
    </row>
    <row r="27" spans="1:20" s="13" customFormat="1" ht="24" customHeight="1" x14ac:dyDescent="0.4">
      <c r="A27" s="186"/>
      <c r="B27" s="148"/>
      <c r="C27" s="124"/>
      <c r="D27" s="166"/>
      <c r="E27" s="166"/>
      <c r="F27" s="166"/>
      <c r="G27" s="167"/>
      <c r="H27" s="166"/>
      <c r="I27" s="166"/>
      <c r="J27" s="166"/>
      <c r="K27" s="166"/>
      <c r="L27" s="166"/>
      <c r="M27" s="244"/>
      <c r="N27" s="256"/>
      <c r="O27" s="188">
        <f t="shared" si="1"/>
        <v>0</v>
      </c>
      <c r="P27" s="91"/>
      <c r="Q27" s="91"/>
      <c r="R27" s="91"/>
      <c r="S27" s="91"/>
      <c r="T27" s="91"/>
    </row>
    <row r="28" spans="1:20" s="13" customFormat="1" ht="24" customHeight="1" x14ac:dyDescent="0.4">
      <c r="A28" s="186"/>
      <c r="B28" s="148"/>
      <c r="C28" s="124"/>
      <c r="D28" s="166"/>
      <c r="E28" s="166"/>
      <c r="F28" s="166"/>
      <c r="G28" s="167"/>
      <c r="H28" s="166"/>
      <c r="I28" s="166"/>
      <c r="J28" s="166"/>
      <c r="K28" s="166"/>
      <c r="L28" s="166"/>
      <c r="M28" s="244"/>
      <c r="N28" s="256"/>
      <c r="O28" s="188">
        <f t="shared" si="1"/>
        <v>0</v>
      </c>
      <c r="P28" s="91"/>
      <c r="Q28" s="91"/>
      <c r="R28" s="91"/>
      <c r="S28" s="91"/>
      <c r="T28" s="91"/>
    </row>
    <row r="29" spans="1:20" s="13" customFormat="1" ht="24" customHeight="1" x14ac:dyDescent="0.4">
      <c r="A29" s="186"/>
      <c r="B29" s="148"/>
      <c r="C29" s="124"/>
      <c r="D29" s="166"/>
      <c r="E29" s="166"/>
      <c r="F29" s="166"/>
      <c r="G29" s="167"/>
      <c r="H29" s="166"/>
      <c r="I29" s="166"/>
      <c r="J29" s="166"/>
      <c r="K29" s="166"/>
      <c r="L29" s="166"/>
      <c r="M29" s="244"/>
      <c r="N29" s="256"/>
      <c r="O29" s="188">
        <f t="shared" si="1"/>
        <v>0</v>
      </c>
      <c r="P29" s="91"/>
      <c r="Q29" s="91"/>
      <c r="R29" s="91"/>
      <c r="S29" s="91"/>
      <c r="T29" s="91"/>
    </row>
    <row r="30" spans="1:20" s="13" customFormat="1" ht="24" customHeight="1" x14ac:dyDescent="0.4">
      <c r="A30" s="186"/>
      <c r="B30" s="148"/>
      <c r="C30" s="124"/>
      <c r="D30" s="166"/>
      <c r="E30" s="166"/>
      <c r="F30" s="166"/>
      <c r="G30" s="167"/>
      <c r="H30" s="166"/>
      <c r="I30" s="166"/>
      <c r="J30" s="166"/>
      <c r="K30" s="166"/>
      <c r="L30" s="166"/>
      <c r="M30" s="244"/>
      <c r="N30" s="256"/>
      <c r="O30" s="188">
        <f t="shared" si="1"/>
        <v>0</v>
      </c>
      <c r="P30" s="91"/>
      <c r="Q30" s="91"/>
      <c r="R30" s="91"/>
      <c r="S30" s="91"/>
      <c r="T30" s="91"/>
    </row>
    <row r="31" spans="1:20" s="13" customFormat="1" ht="24" customHeight="1" x14ac:dyDescent="0.4">
      <c r="A31" s="186"/>
      <c r="B31" s="148"/>
      <c r="C31" s="124"/>
      <c r="D31" s="166"/>
      <c r="E31" s="166"/>
      <c r="F31" s="166"/>
      <c r="G31" s="167"/>
      <c r="H31" s="166"/>
      <c r="I31" s="166"/>
      <c r="J31" s="166"/>
      <c r="K31" s="166"/>
      <c r="L31" s="166"/>
      <c r="M31" s="244"/>
      <c r="N31" s="256"/>
      <c r="O31" s="188">
        <f t="shared" si="1"/>
        <v>0</v>
      </c>
      <c r="P31" s="91"/>
      <c r="Q31" s="91"/>
      <c r="R31" s="91"/>
      <c r="S31" s="91"/>
      <c r="T31" s="91"/>
    </row>
    <row r="32" spans="1:20" s="13" customFormat="1" ht="24" customHeight="1" x14ac:dyDescent="0.4">
      <c r="A32" s="186"/>
      <c r="B32" s="148"/>
      <c r="C32" s="124"/>
      <c r="D32" s="166"/>
      <c r="E32" s="166"/>
      <c r="F32" s="166"/>
      <c r="G32" s="167"/>
      <c r="H32" s="166"/>
      <c r="I32" s="166"/>
      <c r="J32" s="166"/>
      <c r="K32" s="166"/>
      <c r="L32" s="166"/>
      <c r="M32" s="244"/>
      <c r="N32" s="256"/>
      <c r="O32" s="188">
        <f t="shared" si="1"/>
        <v>0</v>
      </c>
      <c r="P32" s="91"/>
      <c r="Q32" s="91"/>
      <c r="R32" s="91"/>
      <c r="S32" s="91"/>
      <c r="T32" s="91"/>
    </row>
    <row r="33" spans="1:20" s="13" customFormat="1" ht="24" customHeight="1" x14ac:dyDescent="0.4">
      <c r="A33" s="186"/>
      <c r="B33" s="148"/>
      <c r="C33" s="124"/>
      <c r="D33" s="166"/>
      <c r="E33" s="166"/>
      <c r="F33" s="166"/>
      <c r="G33" s="167"/>
      <c r="H33" s="166"/>
      <c r="I33" s="166"/>
      <c r="J33" s="166"/>
      <c r="K33" s="166"/>
      <c r="L33" s="166"/>
      <c r="M33" s="244"/>
      <c r="N33" s="256"/>
      <c r="O33" s="188">
        <f t="shared" si="1"/>
        <v>0</v>
      </c>
      <c r="P33" s="91"/>
      <c r="Q33" s="91"/>
      <c r="R33" s="91"/>
      <c r="S33" s="91"/>
      <c r="T33" s="91"/>
    </row>
    <row r="34" spans="1:20" s="13" customFormat="1" ht="24" customHeight="1" x14ac:dyDescent="0.4">
      <c r="A34" s="186"/>
      <c r="B34" s="148"/>
      <c r="C34" s="124"/>
      <c r="D34" s="166"/>
      <c r="E34" s="166"/>
      <c r="F34" s="166"/>
      <c r="G34" s="167"/>
      <c r="H34" s="166"/>
      <c r="I34" s="166"/>
      <c r="J34" s="166"/>
      <c r="K34" s="166"/>
      <c r="L34" s="166"/>
      <c r="M34" s="244"/>
      <c r="N34" s="256"/>
      <c r="O34" s="188">
        <f t="shared" si="1"/>
        <v>0</v>
      </c>
      <c r="P34" s="91"/>
      <c r="Q34" s="91"/>
      <c r="R34" s="91"/>
      <c r="S34" s="91"/>
      <c r="T34" s="91"/>
    </row>
    <row r="35" spans="1:20" s="13" customFormat="1" ht="24" customHeight="1" x14ac:dyDescent="0.4">
      <c r="A35" s="186"/>
      <c r="B35" s="148"/>
      <c r="C35" s="124"/>
      <c r="D35" s="166"/>
      <c r="E35" s="166"/>
      <c r="F35" s="166"/>
      <c r="G35" s="167"/>
      <c r="H35" s="166"/>
      <c r="I35" s="166"/>
      <c r="J35" s="166"/>
      <c r="K35" s="166"/>
      <c r="L35" s="166"/>
      <c r="M35" s="244"/>
      <c r="N35" s="256"/>
      <c r="O35" s="188">
        <f t="shared" si="1"/>
        <v>0</v>
      </c>
      <c r="P35" s="91"/>
      <c r="Q35" s="91"/>
      <c r="R35" s="91"/>
      <c r="S35" s="91"/>
      <c r="T35" s="91"/>
    </row>
    <row r="36" spans="1:20" s="13" customFormat="1" ht="24" customHeight="1" x14ac:dyDescent="0.4">
      <c r="A36" s="186"/>
      <c r="B36" s="148"/>
      <c r="C36" s="124"/>
      <c r="D36" s="166"/>
      <c r="E36" s="166"/>
      <c r="F36" s="166"/>
      <c r="G36" s="167"/>
      <c r="H36" s="166"/>
      <c r="I36" s="166"/>
      <c r="J36" s="166"/>
      <c r="K36" s="166"/>
      <c r="L36" s="166"/>
      <c r="M36" s="244"/>
      <c r="N36" s="256"/>
      <c r="O36" s="188">
        <f t="shared" si="1"/>
        <v>0</v>
      </c>
      <c r="P36" s="91"/>
      <c r="Q36" s="91"/>
      <c r="R36" s="91"/>
      <c r="S36" s="91"/>
      <c r="T36" s="91"/>
    </row>
    <row r="37" spans="1:20" s="13" customFormat="1" ht="24" customHeight="1" x14ac:dyDescent="0.4">
      <c r="A37" s="186"/>
      <c r="B37" s="148"/>
      <c r="C37" s="124"/>
      <c r="D37" s="166"/>
      <c r="E37" s="166"/>
      <c r="F37" s="166"/>
      <c r="G37" s="167"/>
      <c r="H37" s="166"/>
      <c r="I37" s="166"/>
      <c r="J37" s="166"/>
      <c r="K37" s="166"/>
      <c r="L37" s="166"/>
      <c r="M37" s="244"/>
      <c r="N37" s="256"/>
      <c r="O37" s="188">
        <f t="shared" si="1"/>
        <v>0</v>
      </c>
      <c r="P37" s="91"/>
      <c r="Q37" s="91"/>
      <c r="R37" s="91"/>
      <c r="S37" s="91"/>
      <c r="T37" s="91"/>
    </row>
    <row r="38" spans="1:20" s="13" customFormat="1" ht="24" customHeight="1" x14ac:dyDescent="0.4">
      <c r="A38" s="186"/>
      <c r="B38" s="148"/>
      <c r="C38" s="124"/>
      <c r="D38" s="166"/>
      <c r="E38" s="166"/>
      <c r="F38" s="166"/>
      <c r="G38" s="167"/>
      <c r="H38" s="166"/>
      <c r="I38" s="166"/>
      <c r="J38" s="166"/>
      <c r="K38" s="166"/>
      <c r="L38" s="166"/>
      <c r="M38" s="244"/>
      <c r="N38" s="256"/>
      <c r="O38" s="188">
        <f t="shared" si="1"/>
        <v>0</v>
      </c>
      <c r="P38" s="91"/>
      <c r="Q38" s="91"/>
      <c r="R38" s="91"/>
      <c r="S38" s="91"/>
      <c r="T38" s="91"/>
    </row>
    <row r="39" spans="1:20" s="13" customFormat="1" ht="24" customHeight="1" x14ac:dyDescent="0.4">
      <c r="A39" s="186"/>
      <c r="B39" s="148"/>
      <c r="C39" s="124"/>
      <c r="D39" s="166"/>
      <c r="E39" s="166"/>
      <c r="F39" s="166"/>
      <c r="G39" s="167"/>
      <c r="H39" s="166"/>
      <c r="I39" s="166"/>
      <c r="J39" s="166"/>
      <c r="K39" s="166"/>
      <c r="L39" s="166"/>
      <c r="M39" s="244"/>
      <c r="N39" s="256"/>
      <c r="O39" s="188">
        <f t="shared" si="1"/>
        <v>0</v>
      </c>
      <c r="P39" s="91"/>
      <c r="Q39" s="91"/>
      <c r="R39" s="91"/>
      <c r="S39" s="91"/>
      <c r="T39" s="91"/>
    </row>
    <row r="40" spans="1:20" s="13" customFormat="1" ht="24" customHeight="1" x14ac:dyDescent="0.4">
      <c r="A40" s="186"/>
      <c r="B40" s="148"/>
      <c r="C40" s="124"/>
      <c r="D40" s="166"/>
      <c r="E40" s="166"/>
      <c r="F40" s="166"/>
      <c r="G40" s="167"/>
      <c r="H40" s="166"/>
      <c r="I40" s="166"/>
      <c r="J40" s="166"/>
      <c r="K40" s="166"/>
      <c r="L40" s="166"/>
      <c r="M40" s="244"/>
      <c r="N40" s="256"/>
      <c r="O40" s="188">
        <f>IF(N40=" ",M40*1,M40*N40)</f>
        <v>0</v>
      </c>
      <c r="P40" s="91"/>
      <c r="Q40" s="91"/>
      <c r="R40" s="91"/>
      <c r="S40" s="91"/>
      <c r="T40" s="91"/>
    </row>
    <row r="41" spans="1:20" s="13" customFormat="1" ht="24" customHeight="1" x14ac:dyDescent="0.4">
      <c r="A41" s="184"/>
      <c r="B41" s="272"/>
      <c r="C41"/>
      <c r="D41" s="95"/>
      <c r="E41"/>
      <c r="F41" s="272" t="s">
        <v>73</v>
      </c>
      <c r="G41" s="279"/>
      <c r="H41" s="271"/>
      <c r="I41"/>
      <c r="J41" s="280" t="s">
        <v>74</v>
      </c>
      <c r="K41" s="281">
        <f>IF(SUM(L49:L54)=0,0,$O$41-(SUMIF($A$10:$A$40,IF($L$49=" ",$A$49," "),$O$10:$O$40))-(SUMIF($A$10:$A$40,IF($L$50=" ",$A$50," "),$O$10:$O$40))-(SUMIF($A$10:$A$40,IF($L$51=" ",$A$51," "),$O$10:$O$40))-(SUMIF($A$10:$A$40,IF($L$52=" ",$A$52," "),$O$10:$O$40))-(SUMIF($A$10:$A$40,IF($L$53=" ",$A$53," "),$O$10:$O$40))-(SUMIF($A$10:$A$40,IF($L$54=" ",$A$54," "),$O$10:$O$40)))</f>
        <v>0</v>
      </c>
      <c r="L41"/>
      <c r="M41" s="296" t="s">
        <v>75</v>
      </c>
      <c r="N41" s="296"/>
      <c r="O41" s="125">
        <f>SUM(O10:O40)</f>
        <v>11.88</v>
      </c>
      <c r="P41" s="91"/>
      <c r="Q41" s="91"/>
      <c r="R41" s="91"/>
      <c r="S41" s="91"/>
      <c r="T41" s="91"/>
    </row>
    <row r="42" spans="1:20" s="13" customFormat="1" ht="15.75" customHeight="1" x14ac:dyDescent="0.4">
      <c r="A42" s="185"/>
      <c r="B42" s="73"/>
      <c r="C42"/>
      <c r="D42" s="273"/>
      <c r="E42" s="274"/>
      <c r="F42" s="203" t="s">
        <v>76</v>
      </c>
      <c r="G42" s="279"/>
      <c r="H42"/>
      <c r="I42"/>
      <c r="J42" s="73"/>
      <c r="K42"/>
      <c r="L42" s="204" t="s">
        <v>77</v>
      </c>
      <c r="M42" s="92"/>
      <c r="N42" s="93"/>
      <c r="O42" s="97"/>
      <c r="P42" s="91"/>
      <c r="Q42" s="91"/>
      <c r="R42" s="91"/>
      <c r="S42" s="91"/>
      <c r="T42" s="91"/>
    </row>
    <row r="43" spans="1:20" s="13" customFormat="1" ht="15.75" customHeight="1" x14ac:dyDescent="0.4">
      <c r="A43" s="185"/>
      <c r="B43" s="73"/>
      <c r="C43"/>
      <c r="D43" s="275"/>
      <c r="E43" s="275"/>
      <c r="F43" s="203" t="s">
        <v>78</v>
      </c>
      <c r="G43" s="279"/>
      <c r="H43"/>
      <c r="I43"/>
      <c r="J43"/>
      <c r="K43"/>
      <c r="L43" s="209" t="s">
        <v>79</v>
      </c>
      <c r="M43" s="92"/>
      <c r="N43" s="93"/>
      <c r="O43" s="97"/>
      <c r="P43" s="91"/>
      <c r="Q43" s="91"/>
      <c r="R43" s="91"/>
      <c r="S43" s="91"/>
      <c r="T43" s="91"/>
    </row>
    <row r="44" spans="1:20" s="13" customFormat="1" ht="15.75" customHeight="1" x14ac:dyDescent="0.4">
      <c r="A44" s="185"/>
      <c r="B44"/>
      <c r="C44"/>
      <c r="D44" s="275"/>
      <c r="E44" s="275"/>
      <c r="F44" s="215" t="s">
        <v>80</v>
      </c>
      <c r="G44" s="279"/>
      <c r="H44"/>
      <c r="I44"/>
      <c r="J44"/>
      <c r="K44"/>
      <c r="L44" s="95"/>
      <c r="M44" s="92"/>
      <c r="N44" s="93"/>
      <c r="O44" s="97"/>
      <c r="P44" s="91"/>
      <c r="Q44" s="91"/>
      <c r="R44" s="91"/>
      <c r="S44" s="91"/>
      <c r="T44" s="91"/>
    </row>
    <row r="45" spans="1:20" s="13" customFormat="1" ht="15.75" customHeight="1" x14ac:dyDescent="0.4">
      <c r="A45" s="185"/>
      <c r="B45" s="277"/>
      <c r="C45"/>
      <c r="D45" s="275"/>
      <c r="E45" s="275"/>
      <c r="F45" s="215" t="s">
        <v>81</v>
      </c>
      <c r="G45" s="279"/>
      <c r="H45"/>
      <c r="I45"/>
      <c r="J45" s="96"/>
      <c r="K45" s="96"/>
      <c r="L45" s="95"/>
      <c r="M45" s="92"/>
      <c r="N45" s="93"/>
      <c r="O45" s="97"/>
      <c r="P45" s="91"/>
      <c r="Q45" s="91"/>
      <c r="R45" s="91"/>
      <c r="S45" s="91"/>
      <c r="T45" s="91"/>
    </row>
    <row r="46" spans="1:20" s="13" customFormat="1" ht="15.75" customHeight="1" x14ac:dyDescent="0.4">
      <c r="A46" s="221" t="s">
        <v>82</v>
      </c>
      <c r="B46" s="210"/>
      <c r="C46" s="209"/>
      <c r="D46" s="96"/>
      <c r="E46" s="77"/>
      <c r="F46" s="77"/>
      <c r="G46" s="278"/>
      <c r="H46"/>
      <c r="I46"/>
      <c r="J46" s="77"/>
      <c r="K46"/>
      <c r="L46" s="270" t="str">
        <f>IF($O$41=$O$55," ","Totals are not equal")</f>
        <v xml:space="preserve"> </v>
      </c>
      <c r="M46" s="77"/>
      <c r="N46" s="77"/>
      <c r="O46" s="77"/>
      <c r="P46" s="91"/>
      <c r="Q46" s="91"/>
      <c r="R46" s="91"/>
      <c r="S46" s="91"/>
      <c r="T46" s="91"/>
    </row>
    <row r="47" spans="1:20" s="13" customFormat="1" ht="14.25" customHeight="1" x14ac:dyDescent="0.35">
      <c r="A47" s="211" t="s">
        <v>83</v>
      </c>
      <c r="B47" s="210"/>
      <c r="C47" s="209"/>
      <c r="D47" s="96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91"/>
      <c r="Q47" s="91"/>
      <c r="R47" s="91"/>
      <c r="S47" s="91"/>
      <c r="T47" s="91"/>
    </row>
    <row r="48" spans="1:20" s="13" customFormat="1" ht="24" customHeight="1" x14ac:dyDescent="0.4">
      <c r="A48" s="306" t="s">
        <v>68</v>
      </c>
      <c r="B48" s="306" t="s">
        <v>106</v>
      </c>
      <c r="C48" s="306" t="s">
        <v>112</v>
      </c>
      <c r="D48" s="330"/>
      <c r="E48" s="402" t="s">
        <v>110</v>
      </c>
      <c r="F48" s="403"/>
      <c r="G48" s="331"/>
      <c r="H48" s="397" t="s">
        <v>101</v>
      </c>
      <c r="I48" s="398"/>
      <c r="J48" s="344" t="s">
        <v>120</v>
      </c>
      <c r="K48" s="344" t="s">
        <v>119</v>
      </c>
      <c r="L48" s="350" t="s">
        <v>84</v>
      </c>
      <c r="M48" s="270"/>
      <c r="N48" s="93"/>
      <c r="O48" s="296" t="s">
        <v>85</v>
      </c>
      <c r="P48" s="91"/>
      <c r="Q48" s="91"/>
      <c r="R48" s="91"/>
      <c r="S48" s="91"/>
      <c r="T48" s="91"/>
    </row>
    <row r="49" spans="1:20" ht="24" customHeight="1" x14ac:dyDescent="0.45">
      <c r="A49" s="335" t="s">
        <v>122</v>
      </c>
      <c r="B49" s="336"/>
      <c r="C49" s="337"/>
      <c r="D49" s="404"/>
      <c r="E49" s="406"/>
      <c r="F49" s="406"/>
      <c r="G49" s="407"/>
      <c r="H49" s="404"/>
      <c r="I49" s="405"/>
      <c r="J49" s="187"/>
      <c r="K49" s="187"/>
      <c r="L49" s="283"/>
      <c r="M49" s="73"/>
      <c r="N49" s="93"/>
      <c r="O49" s="169">
        <f>IF($L$49=" ",SUMIF($A$10:$A$40,A49,$O$10:$O$40),$K$41*$L$49)</f>
        <v>11.88</v>
      </c>
      <c r="P49" s="78"/>
      <c r="Q49" s="78"/>
      <c r="R49" s="78"/>
      <c r="S49" s="78"/>
      <c r="T49" s="78"/>
    </row>
    <row r="50" spans="1:20" ht="24" customHeight="1" x14ac:dyDescent="0.45">
      <c r="A50" s="339"/>
      <c r="B50" s="336"/>
      <c r="C50" s="337"/>
      <c r="D50" s="404"/>
      <c r="E50" s="406"/>
      <c r="F50" s="406"/>
      <c r="G50" s="407"/>
      <c r="H50" s="404"/>
      <c r="I50" s="406"/>
      <c r="J50" s="187"/>
      <c r="K50" s="187"/>
      <c r="L50" s="369"/>
      <c r="M50" s="94"/>
      <c r="N50" s="93"/>
      <c r="O50" s="347">
        <f>IF($L$50=" ",SUMIF($A$10:$A$40,A50,$O$10:$O$40),$K$41*$L$50)</f>
        <v>0</v>
      </c>
      <c r="P50" s="78"/>
      <c r="Q50" s="78"/>
      <c r="R50" s="78"/>
      <c r="S50" s="78"/>
      <c r="T50" s="78"/>
    </row>
    <row r="51" spans="1:20" ht="24" customHeight="1" x14ac:dyDescent="0.45">
      <c r="A51" s="338"/>
      <c r="B51" s="336"/>
      <c r="C51" s="337"/>
      <c r="D51" s="404"/>
      <c r="E51" s="406"/>
      <c r="F51" s="406"/>
      <c r="G51" s="407"/>
      <c r="H51" s="404"/>
      <c r="I51" s="405"/>
      <c r="J51" s="187"/>
      <c r="K51" s="187"/>
      <c r="L51" s="283"/>
      <c r="M51" s="73"/>
      <c r="N51" s="73"/>
      <c r="O51" s="169">
        <f>IF($L$51=" ",SUMIF($A$10:$A$40,A51,$O$10:$O$40),$K$41*$L$51)</f>
        <v>0</v>
      </c>
      <c r="P51" s="78"/>
      <c r="Q51" s="78"/>
      <c r="R51" s="78"/>
      <c r="S51" s="78"/>
      <c r="T51" s="78"/>
    </row>
    <row r="52" spans="1:20" ht="24" customHeight="1" x14ac:dyDescent="0.45">
      <c r="A52" s="339"/>
      <c r="B52" s="336"/>
      <c r="C52" s="337"/>
      <c r="D52" s="404"/>
      <c r="E52" s="406"/>
      <c r="F52" s="406"/>
      <c r="G52" s="407"/>
      <c r="H52" s="404"/>
      <c r="I52" s="406"/>
      <c r="J52" s="187"/>
      <c r="K52" s="187"/>
      <c r="L52" s="369"/>
      <c r="M52" s="73"/>
      <c r="N52" s="73"/>
      <c r="O52" s="347">
        <f>IF($L$52=" ",SUMIF($A$10:$A$40,A52,$O$10:$O$40),$K$41*$L$52)</f>
        <v>0</v>
      </c>
      <c r="P52" s="78"/>
      <c r="Q52" s="78"/>
      <c r="R52" s="78"/>
      <c r="S52" s="78"/>
      <c r="T52" s="78"/>
    </row>
    <row r="53" spans="1:20" s="13" customFormat="1" ht="24" customHeight="1" x14ac:dyDescent="0.4">
      <c r="A53" s="186"/>
      <c r="B53" s="187"/>
      <c r="C53" s="337"/>
      <c r="D53" s="404"/>
      <c r="E53" s="406"/>
      <c r="F53" s="406"/>
      <c r="G53" s="407"/>
      <c r="H53" s="404"/>
      <c r="I53" s="405"/>
      <c r="J53" s="187"/>
      <c r="K53" s="187"/>
      <c r="L53" s="283"/>
      <c r="M53" s="73"/>
      <c r="N53" s="73"/>
      <c r="O53" s="169">
        <f>IF($L$53=" ",SUMIF($A$10:$A$40,A53,$O$10:$O$40),$K$41*$L$53)</f>
        <v>0</v>
      </c>
      <c r="P53" s="91"/>
      <c r="Q53" s="91"/>
      <c r="R53" s="91"/>
      <c r="S53" s="91"/>
      <c r="T53" s="91"/>
    </row>
    <row r="54" spans="1:20" s="13" customFormat="1" ht="24" customHeight="1" x14ac:dyDescent="0.4">
      <c r="A54" s="339"/>
      <c r="B54" s="187"/>
      <c r="C54" s="187"/>
      <c r="D54" s="404"/>
      <c r="E54" s="406"/>
      <c r="F54" s="406"/>
      <c r="G54" s="407"/>
      <c r="H54" s="404"/>
      <c r="I54" s="406"/>
      <c r="J54" s="187"/>
      <c r="K54" s="187"/>
      <c r="L54" s="369"/>
      <c r="M54" s="73"/>
      <c r="N54" s="73"/>
      <c r="O54" s="347">
        <f>IF($L$54=" ",SUMIF($A$12:$A$40,A54,$O$12:$O$40),$K$41*$L$54)</f>
        <v>0</v>
      </c>
      <c r="P54" s="91"/>
      <c r="Q54" s="91"/>
      <c r="R54" s="91"/>
      <c r="S54" s="91"/>
      <c r="T54" s="91"/>
    </row>
    <row r="55" spans="1:20" ht="24" customHeight="1" x14ac:dyDescent="0.45">
      <c r="A55" s="73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357">
        <f>SUM(L49:L54)</f>
        <v>0</v>
      </c>
      <c r="M55" s="303" t="s">
        <v>75</v>
      </c>
      <c r="N55" s="296"/>
      <c r="O55" s="125">
        <f>SUM(O49:O54)</f>
        <v>11.88</v>
      </c>
      <c r="P55" s="78"/>
      <c r="Q55" s="78"/>
      <c r="R55" s="78"/>
      <c r="S55" s="78"/>
      <c r="T55" s="78"/>
    </row>
    <row r="56" spans="1:20" s="14" customFormat="1" ht="17.100000000000001" customHeight="1" x14ac:dyDescent="0.45">
      <c r="A56" s="367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164"/>
      <c r="P56" s="164"/>
      <c r="Q56" s="164"/>
      <c r="R56" s="164"/>
      <c r="S56" s="164"/>
      <c r="T56" s="164"/>
    </row>
    <row r="57" spans="1:20" s="15" customFormat="1" ht="18" hidden="1" customHeight="1" ph="1" x14ac:dyDescent="0.3">
      <c r="A57" s="165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13"/>
      <c r="M57" s="13"/>
      <c r="N57" s="13"/>
      <c r="O57" s="15"/>
      <c r="P57" s="165"/>
      <c r="Q57" s="165"/>
      <c r="R57" s="165"/>
      <c r="S57" s="165"/>
      <c r="T57" s="165"/>
    </row>
    <row r="58" spans="1:20" s="13" customFormat="1" ht="18" hidden="1" customHeight="1" x14ac:dyDescent="0.3">
      <c r="P58" s="91"/>
      <c r="Q58" s="91"/>
      <c r="R58" s="91"/>
      <c r="S58" s="91"/>
      <c r="T58" s="91"/>
    </row>
    <row r="59" spans="1:20" s="13" customFormat="1" ht="18" hidden="1" customHeight="1" x14ac:dyDescent="0.45">
      <c r="L59" s="11"/>
      <c r="P59" s="91"/>
      <c r="Q59" s="91"/>
      <c r="R59" s="91"/>
      <c r="S59" s="91"/>
      <c r="T59" s="91"/>
    </row>
    <row r="60" spans="1:20" s="13" customFormat="1" ht="18" hidden="1" customHeight="1" x14ac:dyDescent="0.45">
      <c r="L60" s="11"/>
      <c r="P60" s="91"/>
      <c r="Q60" s="91"/>
      <c r="R60" s="91"/>
      <c r="S60" s="91"/>
      <c r="T60" s="91"/>
    </row>
    <row r="61" spans="1:20" s="13" customFormat="1" ht="18" hidden="1" customHeight="1" x14ac:dyDescent="0.45">
      <c r="L61" s="11"/>
      <c r="P61" s="91"/>
      <c r="Q61" s="91"/>
      <c r="R61" s="91"/>
      <c r="S61" s="91"/>
      <c r="T61" s="91"/>
    </row>
    <row r="62" spans="1:20" s="13" customFormat="1" ht="18" hidden="1" customHeight="1" x14ac:dyDescent="0.45">
      <c r="L62" s="11"/>
      <c r="M62" s="11"/>
      <c r="N62" s="11"/>
      <c r="P62" s="91"/>
      <c r="Q62" s="91"/>
      <c r="R62" s="91"/>
      <c r="S62" s="91"/>
      <c r="T62" s="91"/>
    </row>
    <row r="63" spans="1:20" s="13" customFormat="1" ht="18" hidden="1" customHeight="1" x14ac:dyDescent="0.45">
      <c r="L63" s="11"/>
      <c r="M63" s="11"/>
      <c r="N63" s="11"/>
      <c r="P63" s="91"/>
      <c r="Q63" s="91"/>
      <c r="R63" s="91"/>
      <c r="S63" s="91"/>
      <c r="T63" s="91"/>
    </row>
    <row r="64" spans="1:20" s="13" customFormat="1" ht="18" hidden="1" customHeight="1" x14ac:dyDescent="0.45">
      <c r="L64" s="11"/>
      <c r="M64" s="11"/>
      <c r="N64" s="11"/>
      <c r="P64" s="91"/>
      <c r="Q64" s="91"/>
      <c r="R64" s="91"/>
      <c r="S64" s="91"/>
      <c r="T64" s="91"/>
    </row>
    <row r="65" spans="2:14" s="13" customFormat="1" ht="18" hidden="1" customHeight="1" x14ac:dyDescent="0.45">
      <c r="L65" s="11"/>
      <c r="M65" s="11"/>
      <c r="N65" s="11"/>
    </row>
    <row r="66" spans="2:14" s="13" customFormat="1" ht="18" hidden="1" customHeight="1" x14ac:dyDescent="0.45">
      <c r="L66" s="11"/>
      <c r="M66" s="11"/>
      <c r="N66" s="11"/>
    </row>
    <row r="67" spans="2:14" s="13" customFormat="1" ht="18" hidden="1" customHeight="1" x14ac:dyDescent="0.4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2:14" s="13" customFormat="1" ht="18" hidden="1" customHeight="1" x14ac:dyDescent="0.4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2:14" s="13" customFormat="1" ht="17.100000000000001" hidden="1" customHeight="1" x14ac:dyDescent="0.3"/>
    <row r="70" spans="2:14" s="13" customFormat="1" ht="17.100000000000001" hidden="1" customHeight="1" x14ac:dyDescent="0.3"/>
    <row r="71" spans="2:14" s="13" customFormat="1" ht="17.100000000000001" hidden="1" customHeight="1" x14ac:dyDescent="0.3"/>
    <row r="72" spans="2:14" s="13" customFormat="1" ht="17.100000000000001" hidden="1" customHeight="1" x14ac:dyDescent="0.3"/>
    <row r="73" spans="2:14" s="13" customFormat="1" ht="17.100000000000001" hidden="1" customHeight="1" x14ac:dyDescent="0.3"/>
    <row r="74" spans="2:14" s="13" customFormat="1" ht="17.100000000000001" hidden="1" customHeight="1" x14ac:dyDescent="0.3"/>
    <row r="75" spans="2:14" s="13" customFormat="1" ht="17.100000000000001" hidden="1" customHeight="1" x14ac:dyDescent="0.3"/>
    <row r="76" spans="2:14" s="13" customFormat="1" ht="17.100000000000001" hidden="1" customHeight="1" x14ac:dyDescent="0.3"/>
    <row r="77" spans="2:14" s="13" customFormat="1" ht="17.100000000000001" hidden="1" customHeight="1" x14ac:dyDescent="0.3"/>
    <row r="78" spans="2:14" s="13" customFormat="1" ht="17.100000000000001" hidden="1" customHeight="1" x14ac:dyDescent="0.3"/>
    <row r="79" spans="2:14" s="13" customFormat="1" ht="17.100000000000001" hidden="1" customHeight="1" x14ac:dyDescent="0.3"/>
    <row r="80" spans="2:14" s="13" customFormat="1" ht="17.100000000000001" hidden="1" customHeight="1" x14ac:dyDescent="0.3"/>
    <row r="81" spans="2:15" s="13" customFormat="1" ht="17.100000000000001" hidden="1" customHeight="1" x14ac:dyDescent="0.3"/>
    <row r="82" spans="2:15" s="13" customFormat="1" ht="17.100000000000001" hidden="1" customHeight="1" x14ac:dyDescent="0.3"/>
    <row r="83" spans="2:15" s="13" customFormat="1" ht="17.100000000000001" hidden="1" customHeight="1" x14ac:dyDescent="0.3"/>
    <row r="84" spans="2:15" s="13" customFormat="1" ht="17.100000000000001" hidden="1" customHeight="1" ph="1" x14ac:dyDescent="0.3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2:15" s="13" customFormat="1" ht="17.100000000000001" hidden="1" customHeight="1" x14ac:dyDescent="0.3"/>
    <row r="86" spans="2:15" s="13" customFormat="1" ht="17.100000000000001" hidden="1" customHeight="1" x14ac:dyDescent="0.3"/>
    <row r="87" spans="2:15" s="13" customFormat="1" ht="17.100000000000001" hidden="1" customHeight="1" x14ac:dyDescent="0.3"/>
    <row r="88" spans="2:15" s="13" customFormat="1" ht="17.100000000000001" hidden="1" customHeight="1" x14ac:dyDescent="0.3"/>
    <row r="89" spans="2:15" s="13" customFormat="1" ht="17.100000000000001" hidden="1" customHeight="1" ph="1" x14ac:dyDescent="0.3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spans="2:15" s="13" customFormat="1" ht="17.100000000000001" hidden="1" customHeight="1" x14ac:dyDescent="0.3"/>
    <row r="91" spans="2:15" s="13" customFormat="1" ht="17.100000000000001" hidden="1" customHeight="1" x14ac:dyDescent="0.3"/>
    <row r="92" spans="2:15" s="13" customFormat="1" ht="17.100000000000001" hidden="1" customHeight="1" x14ac:dyDescent="0.3"/>
    <row r="93" spans="2:15" s="13" customFormat="1" ht="17.100000000000001" hidden="1" customHeight="1" x14ac:dyDescent="0.3"/>
    <row r="94" spans="2:15" s="13" customFormat="1" ht="17.100000000000001" hidden="1" customHeight="1" x14ac:dyDescent="0.3"/>
    <row r="95" spans="2:15" s="13" customFormat="1" ht="17.100000000000001" hidden="1" customHeight="1" x14ac:dyDescent="0.3"/>
    <row r="96" spans="2:15" s="13" customFormat="1" ht="17.100000000000001" hidden="1" customHeight="1" x14ac:dyDescent="0.3"/>
    <row r="97" spans="2:15" s="13" customFormat="1" ht="17.100000000000001" hidden="1" customHeight="1" x14ac:dyDescent="0.3"/>
    <row r="98" spans="2:15" s="13" customFormat="1" ht="17.100000000000001" hidden="1" customHeight="1" x14ac:dyDescent="0.3"/>
    <row r="99" spans="2:15" s="13" customFormat="1" ht="17.100000000000001" hidden="1" customHeight="1" x14ac:dyDescent="0.3"/>
    <row r="100" spans="2:15" s="13" customFormat="1" ht="17.100000000000001" hidden="1" customHeight="1" x14ac:dyDescent="0.45">
      <c r="L100" s="11"/>
    </row>
    <row r="101" spans="2:15" s="13" customFormat="1" ht="17.100000000000001" hidden="1" customHeight="1" x14ac:dyDescent="0.45">
      <c r="L101" s="11"/>
    </row>
    <row r="102" spans="2:15" s="13" customFormat="1" ht="17.100000000000001" hidden="1" customHeight="1" x14ac:dyDescent="0.45">
      <c r="L102" s="11"/>
    </row>
    <row r="103" spans="2:15" s="13" customFormat="1" ht="17.100000000000001" hidden="1" customHeight="1" x14ac:dyDescent="0.45">
      <c r="L103" s="11"/>
      <c r="M103" s="11"/>
      <c r="N103" s="11"/>
    </row>
    <row r="104" spans="2:15" s="13" customFormat="1" ht="17.100000000000001" hidden="1" customHeight="1" x14ac:dyDescent="0.45">
      <c r="L104" s="11"/>
      <c r="M104" s="11"/>
      <c r="N104" s="11"/>
    </row>
    <row r="105" spans="2:15" s="13" customFormat="1" ht="17.100000000000001" hidden="1" customHeight="1" x14ac:dyDescent="0.45">
      <c r="L105" s="11"/>
      <c r="M105" s="11"/>
      <c r="N105" s="11"/>
    </row>
    <row r="106" spans="2:15" s="13" customFormat="1" ht="17.100000000000001" hidden="1" customHeight="1" x14ac:dyDescent="0.45">
      <c r="L106" s="11"/>
      <c r="M106" s="11"/>
      <c r="N106" s="11"/>
    </row>
    <row r="107" spans="2:15" s="13" customFormat="1" ht="17.100000000000001" hidden="1" customHeight="1" x14ac:dyDescent="0.45">
      <c r="L107" s="11"/>
      <c r="M107" s="11"/>
      <c r="N107" s="11"/>
    </row>
    <row r="108" spans="2:15" s="13" customFormat="1" ht="17.100000000000001" hidden="1" customHeight="1" x14ac:dyDescent="0.45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2:15" s="13" customFormat="1" ht="17.100000000000001" hidden="1" customHeight="1" x14ac:dyDescent="0.45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2:15" s="13" customFormat="1" ht="18.75" hidden="1" customHeight="1" x14ac:dyDescent="0.45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2:15" hidden="1" x14ac:dyDescent="0.45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2:15" hidden="1" x14ac:dyDescent="0.45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="11" customFormat="1" hidden="1" x14ac:dyDescent="0.45"/>
    <row r="114" s="11" customFormat="1" hidden="1" x14ac:dyDescent="0.45"/>
    <row r="115" s="11" customFormat="1" hidden="1" x14ac:dyDescent="0.45"/>
    <row r="116" s="11" customFormat="1" hidden="1" x14ac:dyDescent="0.45"/>
    <row r="117" s="11" customFormat="1" hidden="1" x14ac:dyDescent="0.45"/>
    <row r="118" s="11" customFormat="1" hidden="1" x14ac:dyDescent="0.45"/>
    <row r="119" s="11" customFormat="1" hidden="1" x14ac:dyDescent="0.45"/>
    <row r="120" s="11" customFormat="1" hidden="1" x14ac:dyDescent="0.45"/>
    <row r="121" s="11" customFormat="1" hidden="1" x14ac:dyDescent="0.45"/>
    <row r="122" s="11" customFormat="1" hidden="1" x14ac:dyDescent="0.45"/>
    <row r="123" s="11" customFormat="1" hidden="1" x14ac:dyDescent="0.45"/>
    <row r="124" s="11" customFormat="1" hidden="1" x14ac:dyDescent="0.45"/>
    <row r="125" s="11" customFormat="1" hidden="1" x14ac:dyDescent="0.45"/>
    <row r="126" s="11" customFormat="1" hidden="1" x14ac:dyDescent="0.45"/>
    <row r="127" s="11" customFormat="1" hidden="1" x14ac:dyDescent="0.45"/>
    <row r="128" s="11" customFormat="1" hidden="1" x14ac:dyDescent="0.45"/>
    <row r="129" spans="12:12" s="11" customFormat="1" hidden="1" x14ac:dyDescent="0.45"/>
    <row r="130" spans="12:12" s="11" customFormat="1" hidden="1" x14ac:dyDescent="0.45"/>
    <row r="131" spans="12:12" s="11" customFormat="1" hidden="1" x14ac:dyDescent="0.45"/>
    <row r="132" spans="12:12" s="11" customFormat="1" hidden="1" x14ac:dyDescent="0.45"/>
    <row r="133" spans="12:12" s="11" customFormat="1" hidden="1" x14ac:dyDescent="0.45"/>
    <row r="134" spans="12:12" s="11" customFormat="1" hidden="1" x14ac:dyDescent="0.45"/>
    <row r="135" spans="12:12" s="11" customFormat="1" hidden="1" x14ac:dyDescent="0.45"/>
    <row r="136" spans="12:12" s="11" customFormat="1" hidden="1" x14ac:dyDescent="0.45"/>
    <row r="137" spans="12:12" s="11" customFormat="1" hidden="1" x14ac:dyDescent="0.45"/>
    <row r="138" spans="12:12" s="11" customFormat="1" hidden="1" x14ac:dyDescent="0.45"/>
    <row r="139" spans="12:12" s="11" customFormat="1" hidden="1" x14ac:dyDescent="0.45"/>
    <row r="140" spans="12:12" s="11" customFormat="1" hidden="1" x14ac:dyDescent="0.45"/>
    <row r="141" spans="12:12" s="11" customFormat="1" hidden="1" x14ac:dyDescent="0.45"/>
    <row r="142" spans="12:12" s="11" customFormat="1" hidden="1" x14ac:dyDescent="0.45"/>
    <row r="143" spans="12:12" s="11" customFormat="1" hidden="1" x14ac:dyDescent="0.45"/>
    <row r="144" spans="12:12" s="11" customFormat="1" hidden="1" x14ac:dyDescent="0.45">
      <c r="L144" s="10"/>
    </row>
    <row r="145" spans="2:15" hidden="1" x14ac:dyDescent="0.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M145" s="11"/>
      <c r="N145" s="11"/>
      <c r="O145" s="11"/>
    </row>
    <row r="146" spans="2:15" hidden="1" x14ac:dyDescent="0.45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M146" s="11"/>
      <c r="N146" s="11"/>
      <c r="O146" s="11"/>
    </row>
    <row r="147" spans="2:15" hidden="1" x14ac:dyDescent="0.45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O147" s="11"/>
    </row>
    <row r="148" spans="2:15" hidden="1" x14ac:dyDescent="0.45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O148" s="11"/>
    </row>
    <row r="149" spans="2:15" hidden="1" x14ac:dyDescent="0.45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O149" s="11"/>
    </row>
    <row r="150" spans="2:15" hidden="1" x14ac:dyDescent="0.45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O150" s="11"/>
    </row>
    <row r="151" spans="2:15" hidden="1" x14ac:dyDescent="0.45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O151" s="11"/>
    </row>
    <row r="152" spans="2:15" hidden="1" x14ac:dyDescent="0.45">
      <c r="O152" s="11"/>
    </row>
    <row r="153" spans="2:15" hidden="1" x14ac:dyDescent="0.45">
      <c r="O153" s="11"/>
    </row>
    <row r="154" spans="2:15" hidden="1" x14ac:dyDescent="0.45">
      <c r="O154" s="11"/>
    </row>
  </sheetData>
  <sheetProtection password="BA39" sheet="1" objects="1" scenarios="1"/>
  <mergeCells count="14">
    <mergeCell ref="E48:F48"/>
    <mergeCell ref="H48:I48"/>
    <mergeCell ref="D49:G49"/>
    <mergeCell ref="H49:I49"/>
    <mergeCell ref="D50:G50"/>
    <mergeCell ref="H50:I50"/>
    <mergeCell ref="D51:G51"/>
    <mergeCell ref="H51:I51"/>
    <mergeCell ref="D54:G54"/>
    <mergeCell ref="H54:I54"/>
    <mergeCell ref="D52:G52"/>
    <mergeCell ref="H52:I52"/>
    <mergeCell ref="D53:G53"/>
    <mergeCell ref="H53:I53"/>
  </mergeCells>
  <phoneticPr fontId="59" type="noConversion"/>
  <pageMargins left="0.36" right="0.2" top="0.25" bottom="0.16" header="0.5" footer="0.5"/>
  <pageSetup scale="62" orientation="portrait" blackAndWhite="1" horizontalDpi="4294967292" verticalDpi="300" r:id="rId1"/>
  <headerFooter alignWithMargins="0"/>
  <colBreaks count="1" manualBreakCount="1">
    <brk id="1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6524-96DF-458D-8F51-EABDF884AFAB}">
  <sheetPr transitionEvaluation="1">
    <pageSetUpPr fitToPage="1"/>
  </sheetPr>
  <dimension ref="A1:U166"/>
  <sheetViews>
    <sheetView showGridLines="0" showZeros="0" zoomScale="80" workbookViewId="0">
      <selection activeCell="A12" sqref="A12"/>
    </sheetView>
  </sheetViews>
  <sheetFormatPr defaultColWidth="0" defaultRowHeight="15.4" zeroHeight="1" x14ac:dyDescent="0.45"/>
  <cols>
    <col min="1" max="1" width="6.3984375" style="11" customWidth="1"/>
    <col min="2" max="2" width="11.59765625" style="10" customWidth="1"/>
    <col min="3" max="3" width="7.73046875" style="10" customWidth="1"/>
    <col min="4" max="4" width="6.1328125" style="10" customWidth="1"/>
    <col min="5" max="5" width="9.73046875" style="10" customWidth="1"/>
    <col min="6" max="6" width="11.265625" style="10" customWidth="1"/>
    <col min="7" max="7" width="9.59765625" style="10" customWidth="1"/>
    <col min="8" max="8" width="12.3984375" style="10" customWidth="1"/>
    <col min="9" max="9" width="13.59765625" style="10" customWidth="1"/>
    <col min="10" max="10" width="12.86328125" style="10" customWidth="1"/>
    <col min="11" max="11" width="13" style="10" customWidth="1"/>
    <col min="12" max="12" width="9.265625" style="10" customWidth="1"/>
    <col min="13" max="13" width="11.265625" style="10" customWidth="1"/>
    <col min="14" max="14" width="11" style="10" customWidth="1"/>
    <col min="15" max="15" width="20.73046875" style="10" customWidth="1"/>
    <col min="16" max="16" width="18.86328125" style="11" hidden="1" customWidth="1"/>
    <col min="17" max="16384" width="0" style="11" hidden="1"/>
  </cols>
  <sheetData>
    <row r="1" spans="1:21" ht="19.5" customHeight="1" x14ac:dyDescent="0.5">
      <c r="A1" s="197" t="s">
        <v>62</v>
      </c>
      <c r="B1" s="69"/>
      <c r="C1" s="69"/>
      <c r="D1" s="69"/>
      <c r="E1" s="69"/>
      <c r="F1" s="70"/>
      <c r="G1" s="71"/>
      <c r="H1" s="72"/>
      <c r="I1" s="72"/>
      <c r="J1" s="72"/>
      <c r="K1" s="73"/>
      <c r="L1" s="73"/>
      <c r="M1" s="73"/>
      <c r="N1" s="73"/>
      <c r="O1" s="73"/>
      <c r="P1" s="78"/>
      <c r="Q1" s="78"/>
      <c r="R1" s="78"/>
      <c r="S1" s="78"/>
      <c r="T1" s="78"/>
      <c r="U1" s="78"/>
    </row>
    <row r="2" spans="1:21" ht="19.5" customHeight="1" x14ac:dyDescent="0.6">
      <c r="A2" s="198" t="s">
        <v>93</v>
      </c>
      <c r="B2" s="69"/>
      <c r="C2" s="69"/>
      <c r="D2" s="69"/>
      <c r="E2" s="69"/>
      <c r="F2" s="74"/>
      <c r="G2" s="75"/>
      <c r="H2" s="329"/>
      <c r="I2" s="72"/>
      <c r="J2" s="72"/>
      <c r="K2"/>
      <c r="L2"/>
      <c r="M2" s="266" t="s">
        <v>64</v>
      </c>
      <c r="N2" s="267" t="str">
        <f>IF((VALUE('Short Form'!K62)&lt;&gt;0),1+VALUE('Short Form'!I62)+VALUE('Short Form'!J62)+VALUE('Short Form'!H62)+VALUE('Short Form'!K62),"")</f>
        <v/>
      </c>
      <c r="O2" s="268" t="str">
        <f>IF(N2=0,"",'Short Form'!N3)</f>
        <v/>
      </c>
      <c r="P2" s="78"/>
      <c r="Q2" s="78"/>
      <c r="R2" s="78"/>
      <c r="S2" s="78"/>
      <c r="T2" s="78"/>
      <c r="U2" s="78"/>
    </row>
    <row r="3" spans="1:21" ht="9.75" customHeight="1" x14ac:dyDescent="0.4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8"/>
      <c r="P3" s="78"/>
      <c r="Q3" s="78"/>
      <c r="R3" s="78"/>
      <c r="S3" s="78"/>
      <c r="T3" s="78"/>
      <c r="U3" s="78"/>
    </row>
    <row r="4" spans="1:21" ht="14.25" customHeight="1" x14ac:dyDescent="0.45">
      <c r="A4" s="33" t="s">
        <v>8</v>
      </c>
      <c r="B4" s="236"/>
      <c r="C4" s="27"/>
      <c r="D4" s="236"/>
      <c r="E4" s="237" t="s">
        <v>9</v>
      </c>
      <c r="F4" s="236"/>
      <c r="G4" s="236"/>
      <c r="H4" s="81" t="s">
        <v>10</v>
      </c>
      <c r="I4" s="80"/>
      <c r="J4" s="79"/>
      <c r="K4" s="35" t="s">
        <v>103</v>
      </c>
      <c r="L4" s="82"/>
      <c r="M4" s="82"/>
      <c r="N4" s="82"/>
      <c r="O4" s="83"/>
      <c r="P4" s="78"/>
      <c r="Q4" s="78"/>
      <c r="R4" s="78"/>
      <c r="S4" s="78"/>
      <c r="T4" s="78"/>
      <c r="U4" s="78"/>
    </row>
    <row r="5" spans="1:21" s="12" customFormat="1" ht="21" customHeight="1" x14ac:dyDescent="0.4">
      <c r="A5" s="245">
        <f>'Short Form'!A6</f>
        <v>0</v>
      </c>
      <c r="B5" s="121"/>
      <c r="C5" s="121"/>
      <c r="D5" s="121"/>
      <c r="E5" s="252">
        <f>'Short Form'!E6</f>
        <v>0</v>
      </c>
      <c r="F5" s="121"/>
      <c r="G5" s="121"/>
      <c r="H5" s="178">
        <f>'Short Form'!H6</f>
        <v>0</v>
      </c>
      <c r="I5" s="177"/>
      <c r="J5" s="179"/>
      <c r="K5" s="116">
        <f>'Short Form'!K6</f>
        <v>0</v>
      </c>
      <c r="L5" s="113"/>
      <c r="M5" s="113"/>
      <c r="N5" s="17"/>
      <c r="O5" s="18"/>
      <c r="P5" s="163"/>
      <c r="Q5" s="163"/>
      <c r="R5" s="163"/>
      <c r="S5" s="163"/>
      <c r="T5" s="163"/>
      <c r="U5" s="163"/>
    </row>
    <row r="6" spans="1:21" s="12" customFormat="1" ht="8.25" customHeight="1" x14ac:dyDescent="0.45">
      <c r="A6" s="84"/>
      <c r="B6" s="84"/>
      <c r="C6" s="76"/>
      <c r="D6" s="85"/>
      <c r="E6" s="76"/>
      <c r="F6" s="76"/>
      <c r="G6" s="86"/>
      <c r="H6" s="76"/>
      <c r="I6" s="76"/>
      <c r="J6" s="87"/>
      <c r="K6" s="88"/>
      <c r="L6" s="76"/>
      <c r="M6" s="76"/>
      <c r="N6" s="76"/>
      <c r="O6" s="85"/>
      <c r="P6" s="163"/>
      <c r="Q6" s="163"/>
      <c r="R6" s="163"/>
      <c r="S6" s="163"/>
      <c r="T6" s="163"/>
      <c r="U6" s="163"/>
    </row>
    <row r="7" spans="1:21" ht="15.75" customHeight="1" x14ac:dyDescent="0.45">
      <c r="A7" s="199" t="s">
        <v>65</v>
      </c>
      <c r="B7" s="200"/>
      <c r="C7" s="201"/>
      <c r="D7" s="200"/>
      <c r="E7" s="200"/>
      <c r="F7" s="200"/>
      <c r="G7" s="200"/>
      <c r="H7" s="200"/>
      <c r="I7" s="200"/>
      <c r="J7" s="200"/>
      <c r="K7" s="200"/>
      <c r="L7" s="200"/>
      <c r="M7" s="202"/>
      <c r="N7" s="202"/>
      <c r="O7" s="203"/>
      <c r="P7" s="78"/>
      <c r="Q7" s="78"/>
      <c r="R7" s="78"/>
      <c r="S7" s="78"/>
      <c r="T7" s="78"/>
      <c r="U7" s="78"/>
    </row>
    <row r="8" spans="1:21" ht="14.25" customHeight="1" x14ac:dyDescent="0.45">
      <c r="A8" s="204" t="s">
        <v>66</v>
      </c>
      <c r="B8" s="200"/>
      <c r="C8" s="205"/>
      <c r="D8" s="200"/>
      <c r="E8" s="205"/>
      <c r="F8" s="206"/>
      <c r="G8" s="207"/>
      <c r="H8" s="205"/>
      <c r="I8" s="200"/>
      <c r="J8" s="200"/>
      <c r="K8" s="200"/>
      <c r="L8" s="200"/>
      <c r="M8" s="206"/>
      <c r="N8" s="206"/>
      <c r="O8" s="203"/>
      <c r="P8" s="78"/>
      <c r="Q8" s="78"/>
      <c r="R8" s="78"/>
      <c r="S8" s="78"/>
      <c r="T8" s="78"/>
      <c r="U8" s="78"/>
    </row>
    <row r="9" spans="1:21" ht="12.75" customHeight="1" x14ac:dyDescent="0.45">
      <c r="A9" s="203" t="s">
        <v>67</v>
      </c>
      <c r="B9" s="206"/>
      <c r="C9" s="206"/>
      <c r="D9" s="206"/>
      <c r="E9" s="208"/>
      <c r="F9" s="206"/>
      <c r="G9" s="206"/>
      <c r="H9" s="206"/>
      <c r="I9" s="206"/>
      <c r="J9" s="206"/>
      <c r="K9" s="206"/>
      <c r="L9" s="206"/>
      <c r="M9" s="206"/>
      <c r="N9" s="206"/>
      <c r="O9" s="208"/>
      <c r="P9" s="78"/>
      <c r="Q9" s="78"/>
      <c r="R9" s="78"/>
      <c r="S9" s="78"/>
      <c r="T9" s="78"/>
      <c r="U9" s="78"/>
    </row>
    <row r="10" spans="1:21" ht="6.75" customHeight="1" x14ac:dyDescent="0.45">
      <c r="A10" s="73"/>
      <c r="B10" s="91"/>
      <c r="C10" s="91"/>
      <c r="D10" s="91"/>
      <c r="E10" s="78"/>
      <c r="F10" s="91"/>
      <c r="G10" s="91"/>
      <c r="H10" s="91"/>
      <c r="I10" s="91"/>
      <c r="J10" s="91"/>
      <c r="K10" s="91"/>
      <c r="L10" s="91"/>
      <c r="M10" s="91"/>
      <c r="N10" s="91"/>
      <c r="O10" s="78"/>
      <c r="P10" s="78"/>
      <c r="Q10" s="78"/>
      <c r="R10" s="78"/>
      <c r="S10" s="78"/>
      <c r="T10" s="78"/>
      <c r="U10" s="78"/>
    </row>
    <row r="11" spans="1:21" ht="15.75" customHeight="1" x14ac:dyDescent="0.45">
      <c r="A11" s="297" t="s">
        <v>68</v>
      </c>
      <c r="B11" s="297" t="s">
        <v>13</v>
      </c>
      <c r="C11" s="298"/>
      <c r="D11" s="298"/>
      <c r="E11" s="298" t="s">
        <v>69</v>
      </c>
      <c r="F11" s="298"/>
      <c r="G11" s="298"/>
      <c r="H11" s="298"/>
      <c r="I11" s="298"/>
      <c r="J11" s="298"/>
      <c r="K11" s="299"/>
      <c r="L11" s="297" t="s">
        <v>70</v>
      </c>
      <c r="M11" s="296" t="s">
        <v>71</v>
      </c>
      <c r="N11" s="296" t="s">
        <v>18</v>
      </c>
      <c r="O11" s="296" t="s">
        <v>72</v>
      </c>
      <c r="P11" s="78"/>
      <c r="Q11" s="78"/>
      <c r="R11" s="78"/>
      <c r="S11" s="78"/>
      <c r="T11" s="78"/>
      <c r="U11" s="78"/>
    </row>
    <row r="12" spans="1:21" s="13" customFormat="1" ht="24" customHeight="1" x14ac:dyDescent="0.4">
      <c r="A12" s="186"/>
      <c r="B12" s="148"/>
      <c r="C12" s="137"/>
      <c r="D12" s="166"/>
      <c r="E12" s="166"/>
      <c r="F12" s="166"/>
      <c r="G12" s="167"/>
      <c r="H12" s="166"/>
      <c r="I12" s="168"/>
      <c r="J12" s="166"/>
      <c r="K12" s="166"/>
      <c r="L12" s="254"/>
      <c r="M12" s="243"/>
      <c r="N12" s="257"/>
      <c r="O12" s="188">
        <f t="shared" ref="O12:O27" si="0">IF(N12=" ",M12*1,M12*N12)</f>
        <v>0</v>
      </c>
      <c r="P12" s="91"/>
      <c r="Q12" s="91"/>
      <c r="R12" s="91"/>
      <c r="S12" s="91"/>
      <c r="T12" s="91"/>
      <c r="U12" s="91"/>
    </row>
    <row r="13" spans="1:21" s="13" customFormat="1" ht="24" customHeight="1" x14ac:dyDescent="0.4">
      <c r="A13" s="186"/>
      <c r="B13" s="148"/>
      <c r="C13" s="124"/>
      <c r="D13" s="166"/>
      <c r="E13" s="166"/>
      <c r="F13" s="166"/>
      <c r="G13" s="167"/>
      <c r="H13" s="166"/>
      <c r="I13" s="166"/>
      <c r="J13" s="166"/>
      <c r="K13" s="166"/>
      <c r="L13" s="254"/>
      <c r="M13" s="243"/>
      <c r="N13" s="257"/>
      <c r="O13" s="188">
        <f t="shared" si="0"/>
        <v>0</v>
      </c>
      <c r="P13" s="91"/>
      <c r="Q13" s="91"/>
      <c r="R13" s="91"/>
      <c r="S13" s="91"/>
      <c r="T13" s="91"/>
      <c r="U13" s="91"/>
    </row>
    <row r="14" spans="1:21" s="13" customFormat="1" ht="24" customHeight="1" x14ac:dyDescent="0.4">
      <c r="A14" s="186"/>
      <c r="B14" s="148"/>
      <c r="C14" s="124"/>
      <c r="D14" s="166"/>
      <c r="E14" s="166"/>
      <c r="F14" s="166"/>
      <c r="G14" s="167"/>
      <c r="H14" s="166"/>
      <c r="I14" s="166"/>
      <c r="J14" s="166"/>
      <c r="K14" s="166"/>
      <c r="L14" s="254"/>
      <c r="M14" s="243"/>
      <c r="N14" s="257"/>
      <c r="O14" s="188">
        <f t="shared" si="0"/>
        <v>0</v>
      </c>
      <c r="P14" s="91"/>
      <c r="Q14" s="91"/>
      <c r="R14" s="91"/>
      <c r="S14" s="91"/>
      <c r="T14" s="91"/>
      <c r="U14" s="91"/>
    </row>
    <row r="15" spans="1:21" s="13" customFormat="1" ht="24" customHeight="1" x14ac:dyDescent="0.4">
      <c r="A15" s="186"/>
      <c r="B15" s="148"/>
      <c r="C15" s="124"/>
      <c r="D15" s="166"/>
      <c r="E15" s="166"/>
      <c r="F15" s="166"/>
      <c r="G15" s="167"/>
      <c r="H15" s="166"/>
      <c r="I15" s="166"/>
      <c r="J15" s="166"/>
      <c r="K15" s="166"/>
      <c r="L15" s="254"/>
      <c r="M15" s="243"/>
      <c r="N15" s="257"/>
      <c r="O15" s="188">
        <f t="shared" si="0"/>
        <v>0</v>
      </c>
      <c r="P15" s="91"/>
      <c r="Q15" s="91"/>
      <c r="R15" s="91"/>
      <c r="S15" s="91"/>
      <c r="T15" s="91"/>
      <c r="U15" s="91"/>
    </row>
    <row r="16" spans="1:21" s="13" customFormat="1" ht="24" customHeight="1" x14ac:dyDescent="0.4">
      <c r="A16" s="186"/>
      <c r="B16" s="148"/>
      <c r="C16" s="124"/>
      <c r="D16" s="166"/>
      <c r="E16" s="166"/>
      <c r="F16" s="166"/>
      <c r="G16" s="167"/>
      <c r="H16" s="166"/>
      <c r="I16" s="166"/>
      <c r="J16" s="166"/>
      <c r="K16" s="166"/>
      <c r="L16" s="254"/>
      <c r="M16" s="243"/>
      <c r="N16" s="257"/>
      <c r="O16" s="188">
        <f t="shared" si="0"/>
        <v>0</v>
      </c>
      <c r="P16" s="91"/>
      <c r="Q16" s="91"/>
      <c r="R16" s="91"/>
      <c r="S16" s="91"/>
      <c r="T16" s="91"/>
      <c r="U16" s="91"/>
    </row>
    <row r="17" spans="1:21" s="13" customFormat="1" ht="24" customHeight="1" x14ac:dyDescent="0.4">
      <c r="A17" s="186"/>
      <c r="B17" s="148"/>
      <c r="C17" s="124"/>
      <c r="D17" s="166"/>
      <c r="E17" s="166"/>
      <c r="F17" s="166"/>
      <c r="G17" s="167"/>
      <c r="H17" s="166"/>
      <c r="I17" s="166"/>
      <c r="J17" s="166"/>
      <c r="K17" s="166"/>
      <c r="L17" s="254"/>
      <c r="M17" s="243"/>
      <c r="N17" s="257"/>
      <c r="O17" s="188">
        <f t="shared" si="0"/>
        <v>0</v>
      </c>
      <c r="P17" s="91"/>
      <c r="Q17" s="91"/>
      <c r="R17" s="91"/>
      <c r="S17" s="91"/>
      <c r="T17" s="91"/>
      <c r="U17" s="91"/>
    </row>
    <row r="18" spans="1:21" s="13" customFormat="1" ht="24" customHeight="1" x14ac:dyDescent="0.4">
      <c r="A18" s="186"/>
      <c r="B18" s="148"/>
      <c r="C18" s="124"/>
      <c r="D18" s="166"/>
      <c r="E18" s="196"/>
      <c r="F18" s="166"/>
      <c r="G18" s="167"/>
      <c r="H18" s="166"/>
      <c r="I18" s="166"/>
      <c r="J18" s="166"/>
      <c r="K18" s="166"/>
      <c r="L18" s="254"/>
      <c r="M18" s="243"/>
      <c r="N18" s="257"/>
      <c r="O18" s="188">
        <f t="shared" si="0"/>
        <v>0</v>
      </c>
      <c r="P18" s="91"/>
      <c r="Q18" s="91"/>
      <c r="R18" s="91"/>
      <c r="S18" s="91"/>
      <c r="T18" s="91"/>
      <c r="U18" s="91"/>
    </row>
    <row r="19" spans="1:21" s="13" customFormat="1" ht="24" customHeight="1" x14ac:dyDescent="0.4">
      <c r="A19" s="186"/>
      <c r="B19" s="148"/>
      <c r="C19" s="124"/>
      <c r="D19" s="166"/>
      <c r="E19" s="166"/>
      <c r="F19" s="166"/>
      <c r="G19" s="167"/>
      <c r="H19" s="166"/>
      <c r="I19" s="166"/>
      <c r="J19" s="166"/>
      <c r="K19" s="166"/>
      <c r="L19" s="254"/>
      <c r="M19" s="243"/>
      <c r="N19" s="257"/>
      <c r="O19" s="188">
        <f t="shared" si="0"/>
        <v>0</v>
      </c>
      <c r="P19" s="91"/>
      <c r="Q19" s="91"/>
      <c r="R19" s="91"/>
      <c r="S19" s="91"/>
      <c r="T19" s="91"/>
      <c r="U19" s="91"/>
    </row>
    <row r="20" spans="1:21" s="13" customFormat="1" ht="24" customHeight="1" x14ac:dyDescent="0.4">
      <c r="A20" s="186"/>
      <c r="B20" s="148"/>
      <c r="C20" s="124"/>
      <c r="D20" s="166"/>
      <c r="E20" s="166"/>
      <c r="F20" s="166"/>
      <c r="G20" s="167"/>
      <c r="H20" s="166"/>
      <c r="I20" s="166"/>
      <c r="J20" s="166"/>
      <c r="K20" s="166"/>
      <c r="L20" s="254"/>
      <c r="M20" s="243"/>
      <c r="N20" s="257"/>
      <c r="O20" s="188">
        <f t="shared" si="0"/>
        <v>0</v>
      </c>
      <c r="P20" s="91"/>
      <c r="Q20" s="91"/>
      <c r="R20" s="91"/>
      <c r="S20" s="91"/>
      <c r="T20" s="91"/>
      <c r="U20" s="91"/>
    </row>
    <row r="21" spans="1:21" s="13" customFormat="1" ht="24" customHeight="1" x14ac:dyDescent="0.4">
      <c r="A21" s="186"/>
      <c r="B21" s="148"/>
      <c r="C21" s="124"/>
      <c r="D21" s="166"/>
      <c r="E21" s="166"/>
      <c r="F21" s="166"/>
      <c r="G21" s="167"/>
      <c r="H21" s="166"/>
      <c r="I21" s="166"/>
      <c r="J21" s="166"/>
      <c r="K21" s="166"/>
      <c r="L21" s="254"/>
      <c r="M21" s="243"/>
      <c r="N21" s="257"/>
      <c r="O21" s="188">
        <f t="shared" si="0"/>
        <v>0</v>
      </c>
      <c r="P21" s="91"/>
      <c r="Q21" s="91"/>
      <c r="R21" s="91"/>
      <c r="S21" s="91"/>
      <c r="T21" s="91"/>
      <c r="U21" s="91"/>
    </row>
    <row r="22" spans="1:21" s="13" customFormat="1" ht="24" customHeight="1" x14ac:dyDescent="0.4">
      <c r="A22" s="186"/>
      <c r="B22" s="148"/>
      <c r="C22" s="124"/>
      <c r="D22" s="166"/>
      <c r="E22" s="166"/>
      <c r="F22" s="166"/>
      <c r="G22" s="167"/>
      <c r="H22" s="166"/>
      <c r="I22" s="166"/>
      <c r="J22" s="166"/>
      <c r="K22" s="166"/>
      <c r="L22" s="254"/>
      <c r="M22" s="243"/>
      <c r="N22" s="257"/>
      <c r="O22" s="188">
        <f t="shared" si="0"/>
        <v>0</v>
      </c>
      <c r="P22" s="91"/>
      <c r="Q22" s="91"/>
      <c r="R22" s="91"/>
      <c r="S22" s="91"/>
      <c r="T22" s="91"/>
      <c r="U22" s="91"/>
    </row>
    <row r="23" spans="1:21" s="13" customFormat="1" ht="24" customHeight="1" x14ac:dyDescent="0.4">
      <c r="A23" s="186"/>
      <c r="B23" s="148"/>
      <c r="C23" s="124"/>
      <c r="D23" s="166"/>
      <c r="E23" s="166"/>
      <c r="F23" s="166"/>
      <c r="G23" s="167"/>
      <c r="H23" s="166"/>
      <c r="I23" s="166"/>
      <c r="J23" s="166"/>
      <c r="K23" s="166"/>
      <c r="L23" s="254"/>
      <c r="M23" s="243"/>
      <c r="N23" s="257"/>
      <c r="O23" s="188">
        <f t="shared" si="0"/>
        <v>0</v>
      </c>
      <c r="P23" s="91"/>
      <c r="Q23" s="91"/>
      <c r="R23" s="91"/>
      <c r="S23" s="91"/>
      <c r="T23" s="91"/>
      <c r="U23" s="91"/>
    </row>
    <row r="24" spans="1:21" s="13" customFormat="1" ht="24" customHeight="1" x14ac:dyDescent="0.4">
      <c r="A24" s="186"/>
      <c r="B24" s="148"/>
      <c r="C24" s="124"/>
      <c r="D24" s="166"/>
      <c r="E24" s="166"/>
      <c r="F24" s="166"/>
      <c r="G24" s="167"/>
      <c r="H24" s="166"/>
      <c r="I24" s="166"/>
      <c r="J24" s="166"/>
      <c r="K24" s="166"/>
      <c r="L24" s="254"/>
      <c r="M24" s="243"/>
      <c r="N24" s="257"/>
      <c r="O24" s="188">
        <f t="shared" si="0"/>
        <v>0</v>
      </c>
      <c r="P24" s="91"/>
      <c r="Q24" s="91"/>
      <c r="R24" s="91"/>
      <c r="S24" s="91"/>
      <c r="T24" s="91"/>
      <c r="U24" s="91"/>
    </row>
    <row r="25" spans="1:21" s="13" customFormat="1" ht="24" customHeight="1" x14ac:dyDescent="0.4">
      <c r="A25" s="186"/>
      <c r="B25" s="148"/>
      <c r="C25" s="124"/>
      <c r="D25" s="166"/>
      <c r="E25" s="166"/>
      <c r="F25" s="166"/>
      <c r="G25" s="167"/>
      <c r="H25" s="166"/>
      <c r="I25" s="166"/>
      <c r="J25" s="166"/>
      <c r="K25" s="166"/>
      <c r="L25" s="254"/>
      <c r="M25" s="243"/>
      <c r="N25" s="257"/>
      <c r="O25" s="188">
        <f t="shared" si="0"/>
        <v>0</v>
      </c>
      <c r="P25" s="91"/>
      <c r="Q25" s="91"/>
      <c r="R25" s="91"/>
      <c r="S25" s="91"/>
      <c r="T25" s="91"/>
      <c r="U25" s="91"/>
    </row>
    <row r="26" spans="1:21" s="13" customFormat="1" ht="24" customHeight="1" x14ac:dyDescent="0.4">
      <c r="A26" s="186"/>
      <c r="B26" s="148"/>
      <c r="C26" s="124"/>
      <c r="D26" s="166"/>
      <c r="E26" s="166"/>
      <c r="F26" s="166"/>
      <c r="G26" s="167"/>
      <c r="H26" s="166"/>
      <c r="I26" s="166"/>
      <c r="J26" s="166"/>
      <c r="K26" s="166"/>
      <c r="L26" s="254"/>
      <c r="M26" s="243"/>
      <c r="N26" s="257"/>
      <c r="O26" s="188">
        <f t="shared" si="0"/>
        <v>0</v>
      </c>
      <c r="P26" s="91"/>
      <c r="Q26" s="91"/>
      <c r="R26" s="91"/>
      <c r="S26" s="91"/>
      <c r="T26" s="91"/>
      <c r="U26" s="91"/>
    </row>
    <row r="27" spans="1:21" s="13" customFormat="1" ht="24" customHeight="1" x14ac:dyDescent="0.4">
      <c r="A27" s="186"/>
      <c r="B27" s="148"/>
      <c r="C27" s="124"/>
      <c r="D27" s="166"/>
      <c r="E27" s="166"/>
      <c r="F27" s="166"/>
      <c r="G27" s="167"/>
      <c r="H27" s="166"/>
      <c r="I27" s="166"/>
      <c r="J27" s="166"/>
      <c r="K27" s="166"/>
      <c r="L27" s="254"/>
      <c r="M27" s="243"/>
      <c r="N27" s="257"/>
      <c r="O27" s="188">
        <f t="shared" si="0"/>
        <v>0</v>
      </c>
      <c r="P27" s="91"/>
      <c r="Q27" s="91"/>
      <c r="R27" s="91"/>
      <c r="S27" s="91"/>
      <c r="T27" s="91"/>
      <c r="U27" s="91"/>
    </row>
    <row r="28" spans="1:21" s="13" customFormat="1" ht="24" customHeight="1" x14ac:dyDescent="0.4">
      <c r="A28" s="186"/>
      <c r="B28" s="148"/>
      <c r="C28" s="124"/>
      <c r="D28" s="166"/>
      <c r="E28" s="166"/>
      <c r="F28" s="166"/>
      <c r="G28" s="167"/>
      <c r="H28" s="166"/>
      <c r="I28" s="166"/>
      <c r="J28" s="166"/>
      <c r="K28" s="166"/>
      <c r="L28" s="254"/>
      <c r="M28" s="243"/>
      <c r="N28" s="257"/>
      <c r="O28" s="188">
        <f t="shared" ref="O28:O40" si="1">IF(N28=" ",M28*1,M28*N28)</f>
        <v>0</v>
      </c>
      <c r="P28" s="91"/>
      <c r="Q28" s="91"/>
      <c r="R28" s="91"/>
      <c r="S28" s="91"/>
      <c r="T28" s="91"/>
      <c r="U28" s="91"/>
    </row>
    <row r="29" spans="1:21" s="13" customFormat="1" ht="24" customHeight="1" x14ac:dyDescent="0.4">
      <c r="A29" s="186"/>
      <c r="B29" s="148"/>
      <c r="C29" s="137"/>
      <c r="D29" s="166"/>
      <c r="E29" s="166"/>
      <c r="F29" s="166"/>
      <c r="G29" s="167"/>
      <c r="H29" s="166"/>
      <c r="I29" s="166"/>
      <c r="J29" s="166"/>
      <c r="K29" s="166"/>
      <c r="L29" s="254"/>
      <c r="M29" s="243"/>
      <c r="N29" s="257"/>
      <c r="O29" s="188">
        <f t="shared" si="1"/>
        <v>0</v>
      </c>
      <c r="P29" s="91"/>
      <c r="Q29" s="91"/>
      <c r="R29" s="91"/>
      <c r="S29" s="91"/>
      <c r="T29" s="91"/>
      <c r="U29" s="91"/>
    </row>
    <row r="30" spans="1:21" s="13" customFormat="1" ht="24" customHeight="1" x14ac:dyDescent="0.4">
      <c r="A30" s="186"/>
      <c r="B30" s="148"/>
      <c r="C30" s="124"/>
      <c r="D30" s="166"/>
      <c r="E30" s="166"/>
      <c r="F30" s="166"/>
      <c r="G30" s="167"/>
      <c r="H30" s="166"/>
      <c r="I30" s="166"/>
      <c r="J30" s="166"/>
      <c r="K30" s="166"/>
      <c r="L30" s="254"/>
      <c r="M30" s="243"/>
      <c r="N30" s="257"/>
      <c r="O30" s="188">
        <f t="shared" si="1"/>
        <v>0</v>
      </c>
      <c r="P30" s="91"/>
      <c r="Q30" s="91"/>
      <c r="R30" s="91"/>
      <c r="S30" s="91"/>
      <c r="T30" s="91"/>
      <c r="U30" s="91"/>
    </row>
    <row r="31" spans="1:21" s="13" customFormat="1" ht="24" customHeight="1" x14ac:dyDescent="0.4">
      <c r="A31" s="186"/>
      <c r="B31" s="148"/>
      <c r="C31" s="124"/>
      <c r="D31" s="166"/>
      <c r="E31" s="166"/>
      <c r="F31" s="166"/>
      <c r="G31" s="167"/>
      <c r="H31" s="166"/>
      <c r="I31" s="166"/>
      <c r="J31" s="166"/>
      <c r="K31" s="166"/>
      <c r="L31" s="254"/>
      <c r="M31" s="243"/>
      <c r="N31" s="257"/>
      <c r="O31" s="188">
        <f t="shared" si="1"/>
        <v>0</v>
      </c>
      <c r="P31" s="91"/>
      <c r="Q31" s="91"/>
      <c r="R31" s="91"/>
      <c r="S31" s="91"/>
      <c r="T31" s="91"/>
      <c r="U31" s="91"/>
    </row>
    <row r="32" spans="1:21" s="13" customFormat="1" ht="24" customHeight="1" x14ac:dyDescent="0.4">
      <c r="A32" s="186"/>
      <c r="B32" s="148"/>
      <c r="C32" s="124"/>
      <c r="D32" s="166"/>
      <c r="E32" s="166"/>
      <c r="F32" s="166"/>
      <c r="G32" s="167"/>
      <c r="H32" s="166"/>
      <c r="I32" s="166"/>
      <c r="J32" s="166"/>
      <c r="K32" s="166"/>
      <c r="L32" s="254"/>
      <c r="M32" s="243"/>
      <c r="N32" s="257"/>
      <c r="O32" s="188">
        <f t="shared" si="1"/>
        <v>0</v>
      </c>
      <c r="P32" s="91"/>
      <c r="Q32" s="91"/>
      <c r="R32" s="91"/>
      <c r="S32" s="91"/>
      <c r="T32" s="91"/>
      <c r="U32" s="91"/>
    </row>
    <row r="33" spans="1:21" s="13" customFormat="1" ht="24" customHeight="1" x14ac:dyDescent="0.4">
      <c r="A33" s="186"/>
      <c r="B33" s="148"/>
      <c r="C33" s="124"/>
      <c r="D33" s="166"/>
      <c r="E33" s="166"/>
      <c r="F33" s="166"/>
      <c r="G33" s="167"/>
      <c r="H33" s="166"/>
      <c r="I33" s="166"/>
      <c r="J33" s="166"/>
      <c r="K33" s="166"/>
      <c r="L33" s="254"/>
      <c r="M33" s="243"/>
      <c r="N33" s="257"/>
      <c r="O33" s="188">
        <f t="shared" si="1"/>
        <v>0</v>
      </c>
      <c r="P33" s="91"/>
      <c r="Q33" s="91"/>
      <c r="R33" s="91"/>
      <c r="S33" s="91"/>
      <c r="T33" s="91"/>
      <c r="U33" s="91"/>
    </row>
    <row r="34" spans="1:21" s="13" customFormat="1" ht="24" customHeight="1" x14ac:dyDescent="0.4">
      <c r="A34" s="186"/>
      <c r="B34" s="148"/>
      <c r="C34" s="124"/>
      <c r="D34" s="166"/>
      <c r="E34" s="166"/>
      <c r="F34" s="166"/>
      <c r="G34" s="167"/>
      <c r="H34" s="166"/>
      <c r="I34" s="166"/>
      <c r="J34" s="166"/>
      <c r="K34" s="166"/>
      <c r="L34" s="254"/>
      <c r="M34" s="243"/>
      <c r="N34" s="257"/>
      <c r="O34" s="188">
        <f t="shared" si="1"/>
        <v>0</v>
      </c>
      <c r="P34" s="91"/>
      <c r="Q34" s="91"/>
      <c r="R34" s="91"/>
      <c r="S34" s="91"/>
      <c r="T34" s="91"/>
      <c r="U34" s="91"/>
    </row>
    <row r="35" spans="1:21" s="13" customFormat="1" ht="24" customHeight="1" x14ac:dyDescent="0.4">
      <c r="A35" s="186"/>
      <c r="B35" s="148"/>
      <c r="C35" s="124"/>
      <c r="D35" s="166"/>
      <c r="E35" s="166"/>
      <c r="F35" s="166"/>
      <c r="G35" s="167"/>
      <c r="H35" s="166"/>
      <c r="I35" s="166"/>
      <c r="J35" s="166"/>
      <c r="K35" s="166"/>
      <c r="L35" s="254"/>
      <c r="M35" s="243"/>
      <c r="N35" s="257"/>
      <c r="O35" s="188">
        <f t="shared" si="1"/>
        <v>0</v>
      </c>
      <c r="P35" s="91"/>
      <c r="Q35" s="91"/>
      <c r="R35" s="91"/>
      <c r="S35" s="91"/>
      <c r="T35" s="91"/>
      <c r="U35" s="91"/>
    </row>
    <row r="36" spans="1:21" s="13" customFormat="1" ht="24" customHeight="1" x14ac:dyDescent="0.4">
      <c r="A36" s="186"/>
      <c r="B36" s="148"/>
      <c r="C36" s="124"/>
      <c r="D36" s="166"/>
      <c r="E36" s="166"/>
      <c r="F36" s="166"/>
      <c r="G36" s="167"/>
      <c r="H36" s="166"/>
      <c r="I36" s="166"/>
      <c r="J36" s="166"/>
      <c r="K36" s="166"/>
      <c r="L36" s="254"/>
      <c r="M36" s="243"/>
      <c r="N36" s="257"/>
      <c r="O36" s="188">
        <f t="shared" si="1"/>
        <v>0</v>
      </c>
      <c r="P36" s="91"/>
      <c r="Q36" s="91"/>
      <c r="R36" s="91"/>
      <c r="S36" s="91"/>
      <c r="T36" s="91"/>
      <c r="U36" s="91"/>
    </row>
    <row r="37" spans="1:21" s="13" customFormat="1" ht="24" customHeight="1" x14ac:dyDescent="0.4">
      <c r="A37" s="186"/>
      <c r="B37" s="148"/>
      <c r="C37" s="124"/>
      <c r="D37" s="166"/>
      <c r="E37" s="166"/>
      <c r="F37" s="166"/>
      <c r="G37" s="167"/>
      <c r="H37" s="166"/>
      <c r="I37" s="166"/>
      <c r="J37" s="166"/>
      <c r="K37" s="166"/>
      <c r="L37" s="254"/>
      <c r="M37" s="243"/>
      <c r="N37" s="257"/>
      <c r="O37" s="188">
        <f t="shared" si="1"/>
        <v>0</v>
      </c>
      <c r="P37" s="91"/>
      <c r="Q37" s="91"/>
      <c r="R37" s="91"/>
      <c r="S37" s="91"/>
      <c r="T37" s="91"/>
      <c r="U37" s="91"/>
    </row>
    <row r="38" spans="1:21" s="13" customFormat="1" ht="24" customHeight="1" x14ac:dyDescent="0.4">
      <c r="A38" s="186"/>
      <c r="B38" s="148"/>
      <c r="C38" s="124"/>
      <c r="D38" s="166"/>
      <c r="E38" s="166"/>
      <c r="F38" s="166"/>
      <c r="G38" s="167"/>
      <c r="H38" s="166"/>
      <c r="I38" s="166"/>
      <c r="J38" s="166"/>
      <c r="K38" s="166"/>
      <c r="L38" s="254"/>
      <c r="M38" s="243"/>
      <c r="N38" s="257"/>
      <c r="O38" s="188">
        <f t="shared" si="1"/>
        <v>0</v>
      </c>
      <c r="P38" s="91"/>
      <c r="Q38" s="91"/>
      <c r="R38" s="91"/>
      <c r="S38" s="91"/>
      <c r="T38" s="91"/>
      <c r="U38" s="91"/>
    </row>
    <row r="39" spans="1:21" s="13" customFormat="1" ht="24" customHeight="1" x14ac:dyDescent="0.4">
      <c r="A39" s="186"/>
      <c r="B39" s="148"/>
      <c r="C39" s="124"/>
      <c r="D39" s="166"/>
      <c r="E39" s="166"/>
      <c r="F39" s="166"/>
      <c r="G39" s="167"/>
      <c r="H39" s="166"/>
      <c r="I39" s="166"/>
      <c r="J39" s="166"/>
      <c r="K39" s="166"/>
      <c r="L39" s="254"/>
      <c r="M39" s="243"/>
      <c r="N39" s="257"/>
      <c r="O39" s="188">
        <f t="shared" si="1"/>
        <v>0</v>
      </c>
      <c r="P39" s="91"/>
      <c r="Q39" s="91"/>
      <c r="R39" s="91"/>
      <c r="S39" s="91"/>
      <c r="T39" s="91"/>
      <c r="U39" s="91"/>
    </row>
    <row r="40" spans="1:21" s="13" customFormat="1" ht="24" customHeight="1" x14ac:dyDescent="0.4">
      <c r="A40" s="186"/>
      <c r="B40" s="148"/>
      <c r="C40" s="124"/>
      <c r="D40" s="166"/>
      <c r="E40" s="166"/>
      <c r="F40" s="166"/>
      <c r="G40" s="167"/>
      <c r="H40" s="166"/>
      <c r="I40" s="166"/>
      <c r="J40" s="166"/>
      <c r="K40" s="166"/>
      <c r="L40" s="254"/>
      <c r="M40" s="243"/>
      <c r="N40" s="257"/>
      <c r="O40" s="188">
        <f t="shared" si="1"/>
        <v>0</v>
      </c>
      <c r="P40" s="91"/>
      <c r="Q40" s="91"/>
      <c r="R40" s="91"/>
      <c r="S40" s="91"/>
      <c r="T40" s="91"/>
      <c r="U40" s="91"/>
    </row>
    <row r="41" spans="1:21" s="13" customFormat="1" ht="24" customHeight="1" x14ac:dyDescent="0.4">
      <c r="A41" s="184"/>
      <c r="B41" s="272"/>
      <c r="C41"/>
      <c r="D41" s="95"/>
      <c r="E41"/>
      <c r="F41" s="272" t="s">
        <v>73</v>
      </c>
      <c r="G41" s="279"/>
      <c r="H41" s="271"/>
      <c r="I41"/>
      <c r="J41" s="280" t="s">
        <v>74</v>
      </c>
      <c r="K41" s="281">
        <f>IF(SUM(L49:L54)=0,0,$O$41-(SUMIF($A$12:$A$40,IF($L$49=" ",$A$49," "),$O$12:$O$40))-(SUMIF($A$12:$A$40,IF($L$50=" ",$A$50," "),$O$12:$O$40))-(SUMIF($A$12:$A$40,IF( $L$51=" ",$A$51," "),$O$12:$O$40))-(SUMIF($A$12:$A$40,IF($L$52=" ",$A$52," "),$O$12:$O$40))-(SUMIF($A$12:$A$40,IF($L$53=" ",$A$53," "),$O$12:$O$40))-(SUMIF($A$12:$A$40,IF($L$54=" ",$A$54," "),$O$12:$O$40)))</f>
        <v>0</v>
      </c>
      <c r="L41" s="95"/>
      <c r="M41" s="296" t="s">
        <v>75</v>
      </c>
      <c r="N41" s="296"/>
      <c r="O41" s="125">
        <f>SUM(O12:O40)</f>
        <v>0</v>
      </c>
      <c r="P41" s="91"/>
      <c r="Q41" s="91"/>
      <c r="R41" s="91"/>
      <c r="S41" s="91"/>
      <c r="T41" s="91"/>
      <c r="U41" s="91"/>
    </row>
    <row r="42" spans="1:21" s="13" customFormat="1" ht="15.75" customHeight="1" x14ac:dyDescent="0.4">
      <c r="A42" s="185"/>
      <c r="B42" s="73"/>
      <c r="C42"/>
      <c r="D42" s="273"/>
      <c r="E42" s="274"/>
      <c r="F42" s="203" t="s">
        <v>76</v>
      </c>
      <c r="G42" s="279"/>
      <c r="H42"/>
      <c r="I42"/>
      <c r="J42" s="73"/>
      <c r="K42" s="204" t="s">
        <v>77</v>
      </c>
      <c r="L42" s="95"/>
      <c r="M42" s="92"/>
      <c r="N42" s="93"/>
      <c r="O42" s="97"/>
      <c r="P42" s="91"/>
      <c r="Q42" s="91"/>
      <c r="R42" s="91"/>
      <c r="S42" s="91"/>
      <c r="T42" s="91"/>
      <c r="U42" s="91"/>
    </row>
    <row r="43" spans="1:21" s="13" customFormat="1" ht="15.75" customHeight="1" x14ac:dyDescent="0.4">
      <c r="A43" s="185"/>
      <c r="B43" s="73"/>
      <c r="C43"/>
      <c r="D43" s="275"/>
      <c r="E43" s="275"/>
      <c r="F43" s="203" t="s">
        <v>78</v>
      </c>
      <c r="G43" s="279"/>
      <c r="H43"/>
      <c r="I43"/>
      <c r="J43"/>
      <c r="K43" s="209" t="s">
        <v>79</v>
      </c>
      <c r="L43" s="95"/>
      <c r="M43" s="92"/>
      <c r="N43" s="93"/>
      <c r="O43" s="97"/>
      <c r="P43" s="91"/>
      <c r="Q43" s="91"/>
      <c r="R43" s="91"/>
      <c r="S43" s="91"/>
      <c r="T43" s="91"/>
      <c r="U43" s="91"/>
    </row>
    <row r="44" spans="1:21" s="13" customFormat="1" ht="15.75" customHeight="1" x14ac:dyDescent="0.4">
      <c r="A44" s="185"/>
      <c r="B44"/>
      <c r="C44"/>
      <c r="D44" s="275"/>
      <c r="E44" s="275"/>
      <c r="F44" s="215" t="s">
        <v>80</v>
      </c>
      <c r="G44" s="279"/>
      <c r="H44"/>
      <c r="I44"/>
      <c r="J44"/>
      <c r="K44" s="276"/>
      <c r="L44" s="95"/>
      <c r="M44" s="92"/>
      <c r="N44" s="93"/>
      <c r="O44" s="97"/>
      <c r="P44" s="91"/>
      <c r="Q44" s="91"/>
      <c r="R44" s="91"/>
      <c r="S44" s="91"/>
      <c r="T44" s="91"/>
      <c r="U44" s="91"/>
    </row>
    <row r="45" spans="1:21" s="13" customFormat="1" ht="15.75" customHeight="1" x14ac:dyDescent="0.4">
      <c r="A45" s="185"/>
      <c r="B45" s="277"/>
      <c r="C45"/>
      <c r="D45" s="275"/>
      <c r="E45" s="275"/>
      <c r="F45" s="215" t="s">
        <v>81</v>
      </c>
      <c r="G45" s="279"/>
      <c r="H45"/>
      <c r="I45"/>
      <c r="J45" s="96"/>
      <c r="K45"/>
      <c r="L45"/>
      <c r="M45" s="92"/>
      <c r="N45" s="93"/>
      <c r="O45" s="97"/>
      <c r="P45" s="91"/>
      <c r="Q45" s="91"/>
      <c r="R45" s="91"/>
      <c r="S45" s="91"/>
      <c r="T45" s="91"/>
      <c r="U45" s="91"/>
    </row>
    <row r="46" spans="1:21" s="13" customFormat="1" ht="15.75" customHeight="1" x14ac:dyDescent="0.4">
      <c r="A46" s="221" t="s">
        <v>82</v>
      </c>
      <c r="B46" s="210"/>
      <c r="C46" s="209"/>
      <c r="D46" s="96"/>
      <c r="E46" s="77"/>
      <c r="F46" s="77"/>
      <c r="G46" s="278"/>
      <c r="H46"/>
      <c r="I46"/>
      <c r="J46" s="77"/>
      <c r="K46"/>
      <c r="L46" s="270" t="str">
        <f>IF($O$41=$O$55," ","Totals are not equal")</f>
        <v xml:space="preserve"> </v>
      </c>
      <c r="M46" s="77"/>
      <c r="N46" s="77"/>
      <c r="O46" s="77"/>
      <c r="P46" s="91"/>
      <c r="Q46" s="91"/>
      <c r="R46" s="91"/>
      <c r="S46" s="91"/>
      <c r="T46" s="91"/>
      <c r="U46" s="91"/>
    </row>
    <row r="47" spans="1:21" s="13" customFormat="1" ht="14.25" customHeight="1" x14ac:dyDescent="0.35">
      <c r="A47" s="211" t="s">
        <v>83</v>
      </c>
      <c r="B47" s="210"/>
      <c r="C47" s="209"/>
      <c r="D47" s="96"/>
      <c r="E47" s="77"/>
      <c r="F47" s="77"/>
      <c r="G47" s="77"/>
      <c r="H47" s="77"/>
      <c r="I47"/>
      <c r="J47" s="77"/>
      <c r="K47"/>
      <c r="L47" s="77"/>
      <c r="M47" s="77"/>
      <c r="N47" s="77"/>
      <c r="O47" s="77"/>
      <c r="P47" s="91"/>
      <c r="Q47" s="91"/>
      <c r="R47" s="91"/>
      <c r="S47" s="91"/>
      <c r="T47" s="91"/>
      <c r="U47" s="91"/>
    </row>
    <row r="48" spans="1:21" s="13" customFormat="1" ht="24" customHeight="1" x14ac:dyDescent="0.4">
      <c r="A48" s="306" t="s">
        <v>68</v>
      </c>
      <c r="B48" s="306" t="s">
        <v>106</v>
      </c>
      <c r="C48" s="306" t="s">
        <v>113</v>
      </c>
      <c r="D48" s="330"/>
      <c r="E48" s="402" t="s">
        <v>110</v>
      </c>
      <c r="F48" s="403"/>
      <c r="G48" s="331"/>
      <c r="H48" s="397" t="s">
        <v>101</v>
      </c>
      <c r="I48" s="398"/>
      <c r="J48" s="344" t="s">
        <v>120</v>
      </c>
      <c r="K48" s="344" t="s">
        <v>119</v>
      </c>
      <c r="L48" s="334" t="s">
        <v>84</v>
      </c>
      <c r="M48" s="270"/>
      <c r="N48" s="93"/>
      <c r="O48" s="296" t="s">
        <v>85</v>
      </c>
      <c r="P48" s="91"/>
      <c r="Q48" s="91"/>
      <c r="R48" s="91"/>
      <c r="S48" s="91"/>
      <c r="T48" s="91"/>
      <c r="U48" s="91"/>
    </row>
    <row r="49" spans="1:21" ht="24" customHeight="1" x14ac:dyDescent="0.45">
      <c r="A49" s="335"/>
      <c r="B49" s="336"/>
      <c r="C49" s="337"/>
      <c r="D49" s="404"/>
      <c r="E49" s="406"/>
      <c r="F49" s="406"/>
      <c r="G49" s="407"/>
      <c r="H49" s="404"/>
      <c r="I49" s="405"/>
      <c r="J49" s="187"/>
      <c r="K49" s="187"/>
      <c r="L49" s="341"/>
      <c r="M49" s="73"/>
      <c r="N49" s="93"/>
      <c r="O49" s="169">
        <f>IF($L$49=" ",SUMIF($A$12:$A$40,A49,$O$12:$O$40),$K$41*$L$49)</f>
        <v>0</v>
      </c>
      <c r="P49" s="78"/>
      <c r="Q49" s="78"/>
      <c r="R49" s="78"/>
      <c r="S49" s="78"/>
      <c r="T49" s="78"/>
      <c r="U49" s="78"/>
    </row>
    <row r="50" spans="1:21" ht="24" customHeight="1" x14ac:dyDescent="0.45">
      <c r="A50" s="339"/>
      <c r="B50" s="336"/>
      <c r="C50" s="337"/>
      <c r="D50" s="404"/>
      <c r="E50" s="406"/>
      <c r="F50" s="406"/>
      <c r="G50" s="407"/>
      <c r="H50" s="404"/>
      <c r="I50" s="406"/>
      <c r="J50" s="187"/>
      <c r="K50" s="187"/>
      <c r="L50" s="340"/>
      <c r="M50" s="94"/>
      <c r="N50" s="93"/>
      <c r="O50" s="347">
        <f>IF($L$50=" ",SUMIF($A$12:$A$40,A50,$O$12:$O$40),$K$41*$L$50)</f>
        <v>0</v>
      </c>
      <c r="P50" s="78"/>
      <c r="Q50" s="78"/>
      <c r="R50" s="78"/>
      <c r="S50" s="78"/>
      <c r="T50" s="78"/>
      <c r="U50" s="78"/>
    </row>
    <row r="51" spans="1:21" ht="24" customHeight="1" x14ac:dyDescent="0.45">
      <c r="A51" s="338"/>
      <c r="B51" s="336"/>
      <c r="C51" s="337"/>
      <c r="D51" s="404"/>
      <c r="E51" s="406"/>
      <c r="F51" s="406"/>
      <c r="G51" s="407"/>
      <c r="H51" s="404"/>
      <c r="I51" s="405"/>
      <c r="J51" s="187"/>
      <c r="K51" s="187"/>
      <c r="L51" s="341"/>
      <c r="M51" s="73"/>
      <c r="N51" s="73"/>
      <c r="O51" s="169">
        <f>IF($L$51=" ",SUMIF($A$12:$A$40,A51,$O$12:$O$40),$K$41*$L$51)</f>
        <v>0</v>
      </c>
      <c r="P51" s="78"/>
      <c r="Q51" s="78"/>
      <c r="R51" s="78"/>
      <c r="S51" s="78"/>
      <c r="T51" s="78"/>
      <c r="U51" s="78"/>
    </row>
    <row r="52" spans="1:21" s="13" customFormat="1" ht="24" customHeight="1" x14ac:dyDescent="0.4">
      <c r="A52" s="339"/>
      <c r="B52" s="336"/>
      <c r="C52" s="337"/>
      <c r="D52" s="404"/>
      <c r="E52" s="406"/>
      <c r="F52" s="406"/>
      <c r="G52" s="407"/>
      <c r="H52" s="404"/>
      <c r="I52" s="406"/>
      <c r="J52" s="187"/>
      <c r="K52" s="187"/>
      <c r="L52" s="340"/>
      <c r="M52" s="73"/>
      <c r="N52" s="73"/>
      <c r="O52" s="347">
        <f>IF($L$52=" ",SUMIF($A$12:$A$40,A52,$O$12:$O$40),$K$41*$L$52)</f>
        <v>0</v>
      </c>
      <c r="P52" s="91"/>
      <c r="Q52" s="91"/>
      <c r="R52" s="91"/>
      <c r="S52" s="91"/>
      <c r="T52" s="91"/>
      <c r="U52" s="91"/>
    </row>
    <row r="53" spans="1:21" s="13" customFormat="1" ht="24" customHeight="1" x14ac:dyDescent="0.4">
      <c r="A53" s="186"/>
      <c r="B53" s="187"/>
      <c r="C53" s="337"/>
      <c r="D53" s="404"/>
      <c r="E53" s="406"/>
      <c r="F53" s="406"/>
      <c r="G53" s="407"/>
      <c r="H53" s="404"/>
      <c r="I53" s="405"/>
      <c r="J53" s="187"/>
      <c r="K53" s="187"/>
      <c r="L53" s="341"/>
      <c r="M53" s="73"/>
      <c r="N53" s="73"/>
      <c r="O53" s="169">
        <f>IF($L$53=" ",SUMIF($A$12:$A$40,A53,$O$12:$O$40),$K$41*$L$53)</f>
        <v>0</v>
      </c>
      <c r="P53" s="91"/>
      <c r="Q53" s="91"/>
      <c r="R53" s="91"/>
      <c r="S53" s="91"/>
      <c r="T53" s="91"/>
      <c r="U53" s="91"/>
    </row>
    <row r="54" spans="1:21" s="13" customFormat="1" ht="24" customHeight="1" x14ac:dyDescent="0.4">
      <c r="A54" s="339"/>
      <c r="B54" s="187"/>
      <c r="C54" s="187"/>
      <c r="D54" s="404"/>
      <c r="E54" s="406"/>
      <c r="F54" s="406"/>
      <c r="G54" s="407"/>
      <c r="H54" s="404"/>
      <c r="I54" s="406"/>
      <c r="J54" s="187"/>
      <c r="K54" s="187"/>
      <c r="L54" s="340"/>
      <c r="M54" s="73"/>
      <c r="N54" s="73"/>
      <c r="O54" s="347">
        <f>IF($L$54=" ",SUMIF($A$12:$A$40,A54,$O$12:$O$40),$K$41*$L$54)</f>
        <v>0</v>
      </c>
      <c r="P54" s="91"/>
      <c r="Q54" s="91"/>
      <c r="R54" s="91"/>
      <c r="S54" s="91"/>
      <c r="T54" s="91"/>
      <c r="U54" s="91"/>
    </row>
    <row r="55" spans="1:21" ht="24" customHeight="1" x14ac:dyDescent="0.45">
      <c r="A55" s="73"/>
      <c r="B55" s="171"/>
      <c r="C55" s="171"/>
      <c r="D55" s="171"/>
      <c r="E55" s="171"/>
      <c r="F55" s="171"/>
      <c r="G55" s="171"/>
      <c r="H55" s="171"/>
      <c r="I55" s="171"/>
      <c r="J55" s="171"/>
      <c r="K55" s="342"/>
      <c r="L55" s="356">
        <f>L49+L50+L51+L52+L53+L54</f>
        <v>0</v>
      </c>
      <c r="M55" s="303" t="s">
        <v>75</v>
      </c>
      <c r="N55" s="296"/>
      <c r="O55" s="125">
        <f>SUM(O49:O54)</f>
        <v>0</v>
      </c>
      <c r="P55" s="78"/>
      <c r="Q55" s="78"/>
      <c r="R55" s="78"/>
      <c r="S55" s="78"/>
      <c r="T55" s="78"/>
      <c r="U55" s="78"/>
    </row>
    <row r="56" spans="1:21" s="14" customFormat="1" ht="13.5" customHeight="1" x14ac:dyDescent="0.45">
      <c r="A56" s="171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171"/>
      <c r="P56" s="164"/>
      <c r="Q56" s="164"/>
      <c r="R56" s="164"/>
      <c r="S56" s="164"/>
      <c r="T56" s="164"/>
      <c r="U56" s="164"/>
    </row>
    <row r="57" spans="1:21" s="15" customFormat="1" ht="18" hidden="1" customHeight="1" x14ac:dyDescent="0.3"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P57" s="165"/>
      <c r="Q57" s="165"/>
      <c r="R57" s="165"/>
      <c r="S57" s="165"/>
      <c r="T57" s="165"/>
      <c r="U57" s="165"/>
    </row>
    <row r="58" spans="1:21" s="13" customFormat="1" ht="18" hidden="1" customHeight="1" x14ac:dyDescent="0.3">
      <c r="P58" s="91"/>
      <c r="Q58" s="91"/>
      <c r="R58" s="91"/>
      <c r="S58" s="91"/>
      <c r="T58" s="91"/>
      <c r="U58" s="91"/>
    </row>
    <row r="59" spans="1:21" s="13" customFormat="1" ht="18" hidden="1" customHeight="1" x14ac:dyDescent="0.45">
      <c r="L59" s="11"/>
      <c r="P59" s="91"/>
      <c r="Q59" s="91"/>
      <c r="R59" s="91"/>
      <c r="S59" s="91"/>
      <c r="T59" s="91"/>
      <c r="U59" s="91"/>
    </row>
    <row r="60" spans="1:21" s="13" customFormat="1" ht="18" hidden="1" customHeight="1" x14ac:dyDescent="0.45">
      <c r="L60" s="11"/>
      <c r="P60" s="91"/>
      <c r="Q60" s="91"/>
      <c r="R60" s="91"/>
      <c r="S60" s="91"/>
      <c r="T60" s="91"/>
      <c r="U60" s="91"/>
    </row>
    <row r="61" spans="1:21" s="13" customFormat="1" ht="18" hidden="1" customHeight="1" x14ac:dyDescent="0.45">
      <c r="L61" s="11"/>
    </row>
    <row r="62" spans="1:21" s="13" customFormat="1" ht="18" hidden="1" customHeight="1" x14ac:dyDescent="0.45">
      <c r="L62" s="11"/>
      <c r="M62" s="11"/>
      <c r="N62" s="11"/>
    </row>
    <row r="63" spans="1:21" s="13" customFormat="1" ht="18" hidden="1" customHeight="1" x14ac:dyDescent="0.45">
      <c r="L63" s="11"/>
      <c r="M63" s="11"/>
      <c r="N63" s="11"/>
    </row>
    <row r="64" spans="1:21" s="13" customFormat="1" ht="18" hidden="1" customHeight="1" x14ac:dyDescent="0.45">
      <c r="L64" s="11"/>
      <c r="M64" s="11"/>
      <c r="N64" s="11"/>
    </row>
    <row r="65" spans="2:15" s="13" customFormat="1" ht="18" hidden="1" customHeight="1" x14ac:dyDescent="0.45">
      <c r="L65" s="11"/>
      <c r="M65" s="11"/>
      <c r="N65" s="11"/>
    </row>
    <row r="66" spans="2:15" s="13" customFormat="1" ht="18" hidden="1" customHeight="1" x14ac:dyDescent="0.45">
      <c r="L66" s="11"/>
      <c r="M66" s="11"/>
      <c r="N66" s="11"/>
    </row>
    <row r="67" spans="2:15" s="13" customFormat="1" ht="18" hidden="1" customHeight="1" x14ac:dyDescent="0.4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2:15" s="13" customFormat="1" ht="18" hidden="1" customHeight="1" x14ac:dyDescent="0.4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2:15" s="13" customFormat="1" ht="18" hidden="1" customHeight="1" x14ac:dyDescent="0.45"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6"/>
      <c r="M69" s="11"/>
      <c r="N69" s="11"/>
    </row>
    <row r="70" spans="2:15" ht="12.75" hidden="1" customHeight="1" x14ac:dyDescent="0.4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3"/>
      <c r="M70" s="11"/>
      <c r="N70" s="11"/>
      <c r="O70" s="11"/>
    </row>
    <row r="71" spans="2:15" ht="9" hidden="1" customHeight="1" x14ac:dyDescent="0.45"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3"/>
      <c r="M71" s="11"/>
      <c r="N71" s="11"/>
      <c r="O71" s="11"/>
    </row>
    <row r="72" spans="2:15" ht="15.75" hidden="1" customHeight="1" x14ac:dyDescent="0.45"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3"/>
      <c r="M72" s="16"/>
      <c r="N72" s="16"/>
      <c r="O72" s="11"/>
    </row>
    <row r="73" spans="2:15" ht="14.25" hidden="1" customHeight="1" x14ac:dyDescent="0.45"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3"/>
      <c r="M73" s="13"/>
      <c r="N73" s="13"/>
      <c r="O73" s="11"/>
    </row>
    <row r="74" spans="2:15" ht="12" hidden="1" customHeight="1" x14ac:dyDescent="0.45"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3"/>
      <c r="M74" s="13"/>
      <c r="N74" s="13"/>
      <c r="O74" s="11"/>
    </row>
    <row r="75" spans="2:15" ht="12" hidden="1" customHeight="1" x14ac:dyDescent="0.45"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3"/>
      <c r="M75" s="13"/>
      <c r="N75" s="13"/>
      <c r="O75" s="11"/>
    </row>
    <row r="76" spans="2:15" ht="12" hidden="1" customHeight="1" x14ac:dyDescent="0.45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3"/>
      <c r="M76" s="13"/>
      <c r="N76" s="13"/>
      <c r="O76" s="11"/>
    </row>
    <row r="77" spans="2:15" ht="12" hidden="1" customHeight="1" x14ac:dyDescent="0.45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3"/>
      <c r="M77" s="13"/>
      <c r="N77" s="13"/>
      <c r="O77" s="11"/>
    </row>
    <row r="78" spans="2:15" ht="12" hidden="1" customHeight="1" x14ac:dyDescent="0.45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1"/>
    </row>
    <row r="79" spans="2:15" ht="6.95" hidden="1" customHeight="1" x14ac:dyDescent="0.4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1"/>
    </row>
    <row r="80" spans="2:15" s="16" customFormat="1" ht="17.100000000000001" hidden="1" customHeight="1" x14ac:dyDescent="0.4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 s="13" customFormat="1" ht="17.100000000000001" hidden="1" customHeight="1" x14ac:dyDescent="0.3"/>
    <row r="82" s="13" customFormat="1" ht="17.100000000000001" hidden="1" customHeight="1" x14ac:dyDescent="0.3"/>
    <row r="83" s="13" customFormat="1" ht="17.100000000000001" hidden="1" customHeight="1" x14ac:dyDescent="0.3"/>
    <row r="84" s="13" customFormat="1" ht="17.100000000000001" hidden="1" customHeight="1" x14ac:dyDescent="0.3"/>
    <row r="85" s="13" customFormat="1" ht="17.100000000000001" hidden="1" customHeight="1" x14ac:dyDescent="0.3"/>
    <row r="86" s="13" customFormat="1" ht="17.100000000000001" hidden="1" customHeight="1" x14ac:dyDescent="0.3"/>
    <row r="87" s="13" customFormat="1" ht="17.100000000000001" hidden="1" customHeight="1" x14ac:dyDescent="0.3"/>
    <row r="88" s="13" customFormat="1" ht="17.100000000000001" hidden="1" customHeight="1" x14ac:dyDescent="0.3"/>
    <row r="89" s="13" customFormat="1" ht="17.100000000000001" hidden="1" customHeight="1" x14ac:dyDescent="0.3"/>
    <row r="90" s="13" customFormat="1" ht="17.100000000000001" hidden="1" customHeight="1" x14ac:dyDescent="0.3"/>
    <row r="91" s="13" customFormat="1" ht="17.100000000000001" hidden="1" customHeight="1" x14ac:dyDescent="0.3"/>
    <row r="92" s="13" customFormat="1" ht="17.100000000000001" hidden="1" customHeight="1" x14ac:dyDescent="0.3"/>
    <row r="93" s="13" customFormat="1" ht="17.100000000000001" hidden="1" customHeight="1" x14ac:dyDescent="0.3"/>
    <row r="94" s="13" customFormat="1" ht="17.100000000000001" hidden="1" customHeight="1" x14ac:dyDescent="0.3"/>
    <row r="95" s="13" customFormat="1" ht="17.100000000000001" hidden="1" customHeight="1" x14ac:dyDescent="0.3"/>
    <row r="96" s="13" customFormat="1" ht="17.100000000000001" hidden="1" customHeight="1" x14ac:dyDescent="0.3"/>
    <row r="97" spans="12:12" s="13" customFormat="1" ht="17.100000000000001" hidden="1" customHeight="1" x14ac:dyDescent="0.3"/>
    <row r="98" spans="12:12" s="13" customFormat="1" ht="17.100000000000001" hidden="1" customHeight="1" x14ac:dyDescent="0.3"/>
    <row r="99" spans="12:12" s="13" customFormat="1" ht="17.100000000000001" hidden="1" customHeight="1" x14ac:dyDescent="0.3"/>
    <row r="100" spans="12:12" s="13" customFormat="1" ht="17.100000000000001" hidden="1" customHeight="1" x14ac:dyDescent="0.3"/>
    <row r="101" spans="12:12" s="13" customFormat="1" ht="17.100000000000001" hidden="1" customHeight="1" x14ac:dyDescent="0.3"/>
    <row r="102" spans="12:12" s="13" customFormat="1" ht="17.100000000000001" hidden="1" customHeight="1" x14ac:dyDescent="0.3"/>
    <row r="103" spans="12:12" s="13" customFormat="1" ht="17.100000000000001" hidden="1" customHeight="1" x14ac:dyDescent="0.3"/>
    <row r="104" spans="12:12" s="13" customFormat="1" ht="17.100000000000001" hidden="1" customHeight="1" x14ac:dyDescent="0.3"/>
    <row r="105" spans="12:12" s="13" customFormat="1" ht="17.100000000000001" hidden="1" customHeight="1" x14ac:dyDescent="0.3"/>
    <row r="106" spans="12:12" s="13" customFormat="1" ht="17.100000000000001" hidden="1" customHeight="1" x14ac:dyDescent="0.3"/>
    <row r="107" spans="12:12" s="13" customFormat="1" ht="17.100000000000001" hidden="1" customHeight="1" x14ac:dyDescent="0.3"/>
    <row r="108" spans="12:12" s="13" customFormat="1" ht="17.100000000000001" hidden="1" customHeight="1" x14ac:dyDescent="0.3"/>
    <row r="109" spans="12:12" s="13" customFormat="1" ht="17.100000000000001" hidden="1" customHeight="1" x14ac:dyDescent="0.3"/>
    <row r="110" spans="12:12" s="13" customFormat="1" ht="17.100000000000001" hidden="1" customHeight="1" x14ac:dyDescent="0.3"/>
    <row r="111" spans="12:12" s="13" customFormat="1" ht="17.100000000000001" hidden="1" customHeight="1" x14ac:dyDescent="0.3"/>
    <row r="112" spans="12:12" s="13" customFormat="1" ht="17.100000000000001" hidden="1" customHeight="1" x14ac:dyDescent="0.45">
      <c r="L112" s="11"/>
    </row>
    <row r="113" spans="2:15" s="13" customFormat="1" ht="17.100000000000001" hidden="1" customHeight="1" x14ac:dyDescent="0.45">
      <c r="L113" s="11"/>
    </row>
    <row r="114" spans="2:15" s="13" customFormat="1" ht="17.100000000000001" hidden="1" customHeight="1" x14ac:dyDescent="0.45">
      <c r="L114" s="11"/>
    </row>
    <row r="115" spans="2:15" s="13" customFormat="1" ht="17.100000000000001" hidden="1" customHeight="1" x14ac:dyDescent="0.45">
      <c r="L115" s="11"/>
      <c r="M115" s="11"/>
      <c r="N115" s="11"/>
    </row>
    <row r="116" spans="2:15" s="13" customFormat="1" ht="17.100000000000001" hidden="1" customHeight="1" x14ac:dyDescent="0.45">
      <c r="L116" s="11"/>
      <c r="M116" s="11"/>
      <c r="N116" s="11"/>
    </row>
    <row r="117" spans="2:15" s="13" customFormat="1" ht="17.100000000000001" hidden="1" customHeight="1" x14ac:dyDescent="0.45">
      <c r="L117" s="11"/>
      <c r="M117" s="11"/>
      <c r="N117" s="11"/>
    </row>
    <row r="118" spans="2:15" s="13" customFormat="1" ht="17.100000000000001" hidden="1" customHeight="1" x14ac:dyDescent="0.45">
      <c r="L118" s="11"/>
      <c r="M118" s="11"/>
      <c r="N118" s="11"/>
    </row>
    <row r="119" spans="2:15" s="13" customFormat="1" ht="17.100000000000001" hidden="1" customHeight="1" x14ac:dyDescent="0.45">
      <c r="L119" s="11"/>
      <c r="M119" s="11"/>
      <c r="N119" s="11"/>
    </row>
    <row r="120" spans="2:15" s="13" customFormat="1" ht="17.100000000000001" hidden="1" customHeight="1" x14ac:dyDescent="0.4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2:15" s="13" customFormat="1" ht="17.100000000000001" hidden="1" customHeight="1" x14ac:dyDescent="0.45"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2:15" s="13" customFormat="1" ht="18.75" hidden="1" customHeight="1" x14ac:dyDescent="0.45"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2:15" hidden="1" x14ac:dyDescent="0.45"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2:15" hidden="1" x14ac:dyDescent="0.45"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2:15" hidden="1" x14ac:dyDescent="0.45"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2:15" hidden="1" x14ac:dyDescent="0.45"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2:15" hidden="1" x14ac:dyDescent="0.45"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2:15" hidden="1" x14ac:dyDescent="0.45"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="11" customFormat="1" hidden="1" x14ac:dyDescent="0.45"/>
    <row r="130" s="11" customFormat="1" hidden="1" x14ac:dyDescent="0.45"/>
    <row r="131" s="11" customFormat="1" hidden="1" x14ac:dyDescent="0.45"/>
    <row r="132" s="11" customFormat="1" hidden="1" x14ac:dyDescent="0.45"/>
    <row r="133" s="11" customFormat="1" hidden="1" x14ac:dyDescent="0.45"/>
    <row r="134" s="11" customFormat="1" hidden="1" x14ac:dyDescent="0.45"/>
    <row r="135" s="11" customFormat="1" hidden="1" x14ac:dyDescent="0.45"/>
    <row r="136" s="11" customFormat="1" hidden="1" x14ac:dyDescent="0.45"/>
    <row r="137" s="11" customFormat="1" hidden="1" x14ac:dyDescent="0.45"/>
    <row r="138" s="11" customFormat="1" hidden="1" x14ac:dyDescent="0.45"/>
    <row r="139" s="11" customFormat="1" hidden="1" x14ac:dyDescent="0.45"/>
    <row r="140" s="11" customFormat="1" hidden="1" x14ac:dyDescent="0.45"/>
    <row r="141" s="11" customFormat="1" hidden="1" x14ac:dyDescent="0.45"/>
    <row r="142" s="11" customFormat="1" hidden="1" x14ac:dyDescent="0.45"/>
    <row r="143" s="11" customFormat="1" hidden="1" x14ac:dyDescent="0.45"/>
    <row r="144" s="11" customFormat="1" hidden="1" x14ac:dyDescent="0.45"/>
    <row r="145" spans="12:14" s="11" customFormat="1" hidden="1" x14ac:dyDescent="0.45"/>
    <row r="146" spans="12:14" s="11" customFormat="1" hidden="1" x14ac:dyDescent="0.45"/>
    <row r="147" spans="12:14" s="11" customFormat="1" hidden="1" x14ac:dyDescent="0.45"/>
    <row r="148" spans="12:14" s="11" customFormat="1" hidden="1" x14ac:dyDescent="0.45"/>
    <row r="149" spans="12:14" s="11" customFormat="1" hidden="1" x14ac:dyDescent="0.45"/>
    <row r="150" spans="12:14" s="11" customFormat="1" hidden="1" x14ac:dyDescent="0.45"/>
    <row r="151" spans="12:14" s="11" customFormat="1" hidden="1" x14ac:dyDescent="0.45"/>
    <row r="152" spans="12:14" s="11" customFormat="1" hidden="1" x14ac:dyDescent="0.45"/>
    <row r="153" spans="12:14" s="11" customFormat="1" hidden="1" x14ac:dyDescent="0.45"/>
    <row r="154" spans="12:14" s="11" customFormat="1" hidden="1" x14ac:dyDescent="0.45"/>
    <row r="155" spans="12:14" s="11" customFormat="1" hidden="1" x14ac:dyDescent="0.45"/>
    <row r="156" spans="12:14" s="11" customFormat="1" hidden="1" x14ac:dyDescent="0.45">
      <c r="L156" s="10"/>
    </row>
    <row r="157" spans="12:14" s="11" customFormat="1" hidden="1" x14ac:dyDescent="0.45">
      <c r="L157" s="10"/>
    </row>
    <row r="158" spans="12:14" s="11" customFormat="1" hidden="1" x14ac:dyDescent="0.45">
      <c r="L158" s="10"/>
    </row>
    <row r="159" spans="12:14" s="11" customFormat="1" hidden="1" x14ac:dyDescent="0.45">
      <c r="L159" s="10"/>
      <c r="M159" s="10"/>
      <c r="N159" s="10"/>
    </row>
    <row r="160" spans="12:14" s="11" customFormat="1" hidden="1" x14ac:dyDescent="0.45">
      <c r="L160" s="10"/>
      <c r="M160" s="10"/>
      <c r="N160" s="10"/>
    </row>
    <row r="161" spans="2:15" hidden="1" x14ac:dyDescent="0.45"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O161" s="11"/>
    </row>
    <row r="162" spans="2:15" hidden="1" x14ac:dyDescent="0.45"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O162" s="11"/>
    </row>
    <row r="163" spans="2:15" hidden="1" x14ac:dyDescent="0.45"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O163" s="11"/>
    </row>
    <row r="164" spans="2:15" hidden="1" x14ac:dyDescent="0.45">
      <c r="O164" s="11"/>
    </row>
    <row r="165" spans="2:15" hidden="1" x14ac:dyDescent="0.45">
      <c r="O165" s="11"/>
    </row>
    <row r="166" spans="2:15" hidden="1" x14ac:dyDescent="0.45">
      <c r="O166" s="11"/>
    </row>
  </sheetData>
  <sheetProtection password="BA39" sheet="1" objects="1" scenarios="1"/>
  <mergeCells count="14">
    <mergeCell ref="D54:G54"/>
    <mergeCell ref="H54:I54"/>
    <mergeCell ref="D52:G52"/>
    <mergeCell ref="H52:I52"/>
    <mergeCell ref="D53:G53"/>
    <mergeCell ref="H53:I53"/>
    <mergeCell ref="D50:G50"/>
    <mergeCell ref="H50:I50"/>
    <mergeCell ref="D51:G51"/>
    <mergeCell ref="H51:I51"/>
    <mergeCell ref="E48:F48"/>
    <mergeCell ref="H48:I48"/>
    <mergeCell ref="D49:G49"/>
    <mergeCell ref="H49:I49"/>
  </mergeCells>
  <phoneticPr fontId="59" type="noConversion"/>
  <pageMargins left="0.36" right="0.2" top="0.25" bottom="0.16" header="0.5" footer="0.5"/>
  <pageSetup scale="61" orientation="portrait" blackAndWhite="1" horizontalDpi="4294967292" verticalDpi="300" r:id="rId1"/>
  <headerFooter alignWithMargins="0"/>
  <colBreaks count="1" manualBreakCount="1">
    <brk id="15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1854-4DE3-42DC-A9CC-CA0799CE749E}">
  <sheetPr transitionEvaluation="1">
    <pageSetUpPr fitToPage="1"/>
  </sheetPr>
  <dimension ref="A1:T181"/>
  <sheetViews>
    <sheetView showGridLines="0" showZeros="0" topLeftCell="A46" zoomScale="80" workbookViewId="0">
      <selection activeCell="A10" sqref="A10"/>
    </sheetView>
  </sheetViews>
  <sheetFormatPr defaultColWidth="0" defaultRowHeight="21" customHeight="1" zeroHeight="1" x14ac:dyDescent="0.4"/>
  <cols>
    <col min="1" max="1" width="6.1328125" style="2" customWidth="1"/>
    <col min="2" max="2" width="11.3984375" style="1" customWidth="1"/>
    <col min="3" max="3" width="7.59765625" style="1" customWidth="1"/>
    <col min="4" max="4" width="7.86328125" style="1" customWidth="1"/>
    <col min="5" max="5" width="10.73046875" style="1" customWidth="1"/>
    <col min="6" max="6" width="12.265625" style="1" customWidth="1"/>
    <col min="7" max="7" width="9.86328125" style="1" customWidth="1"/>
    <col min="8" max="8" width="11" style="1" customWidth="1"/>
    <col min="9" max="9" width="15.265625" style="1" customWidth="1"/>
    <col min="10" max="10" width="15.59765625" style="1" customWidth="1"/>
    <col min="11" max="11" width="15" style="1" customWidth="1"/>
    <col min="12" max="13" width="11.59765625" style="1" customWidth="1"/>
    <col min="14" max="14" width="20.59765625" style="1" customWidth="1"/>
    <col min="15" max="15" width="18.86328125" style="2" hidden="1" customWidth="1"/>
    <col min="16" max="16384" width="0" style="2" hidden="1"/>
  </cols>
  <sheetData>
    <row r="1" spans="1:20" ht="19.5" customHeight="1" x14ac:dyDescent="0.5">
      <c r="A1" s="213" t="s">
        <v>62</v>
      </c>
      <c r="B1" s="69"/>
      <c r="C1" s="98"/>
      <c r="D1" s="99"/>
      <c r="E1" s="100"/>
      <c r="F1" s="100"/>
      <c r="G1" s="101"/>
      <c r="H1" s="102"/>
      <c r="I1" s="103"/>
      <c r="J1" s="104"/>
      <c r="K1" s="38"/>
      <c r="L1" s="72"/>
      <c r="M1" s="55"/>
      <c r="N1" s="55"/>
      <c r="O1" s="149"/>
      <c r="P1" s="149"/>
      <c r="Q1" s="149"/>
      <c r="R1" s="149"/>
      <c r="S1" s="149"/>
      <c r="T1" s="9"/>
    </row>
    <row r="2" spans="1:20" ht="19.5" customHeight="1" x14ac:dyDescent="0.6">
      <c r="A2" s="214" t="s">
        <v>94</v>
      </c>
      <c r="B2" s="98"/>
      <c r="C2" s="98"/>
      <c r="D2" s="105"/>
      <c r="E2" s="105"/>
      <c r="F2" s="105"/>
      <c r="G2" s="102"/>
      <c r="H2" s="329"/>
      <c r="I2" s="38"/>
      <c r="J2" s="105"/>
      <c r="K2" s="38"/>
      <c r="L2" s="266" t="s">
        <v>64</v>
      </c>
      <c r="M2" s="267" t="str">
        <f>IF((VALUE('Short Form'!L62)&lt;&gt;0),1+VALUE('Short Form'!H62)+VALUE('Short Form'!I62)+VALUE('Short Form'!J62)+VALUE('Short Form'!K62)+VALUE('Short Form'!L62),"")</f>
        <v/>
      </c>
      <c r="N2" s="268" t="str">
        <f>IF((M2=0),"",'Short Form'!N3)</f>
        <v/>
      </c>
      <c r="O2" s="149"/>
      <c r="P2" s="149"/>
      <c r="Q2" s="149"/>
      <c r="R2" s="149"/>
      <c r="S2" s="149"/>
      <c r="T2" s="9"/>
    </row>
    <row r="3" spans="1:20" ht="9" customHeight="1" x14ac:dyDescent="0.4">
      <c r="A3" s="57"/>
      <c r="B3" s="38"/>
      <c r="C3" s="38"/>
      <c r="D3" s="38"/>
      <c r="E3" s="38"/>
      <c r="F3" s="38"/>
      <c r="G3" s="38"/>
      <c r="H3" s="38"/>
      <c r="I3" s="38"/>
      <c r="J3" s="38"/>
      <c r="K3" s="38"/>
      <c r="L3" s="72"/>
      <c r="M3" s="38"/>
      <c r="N3" s="38"/>
      <c r="O3" s="9"/>
      <c r="P3" s="9"/>
      <c r="Q3" s="9"/>
      <c r="R3" s="9"/>
      <c r="S3" s="9"/>
      <c r="T3" s="9"/>
    </row>
    <row r="4" spans="1:20" ht="14.25" customHeight="1" x14ac:dyDescent="0.4">
      <c r="A4" s="33" t="s">
        <v>8</v>
      </c>
      <c r="B4" s="236"/>
      <c r="C4" s="27"/>
      <c r="D4" s="236"/>
      <c r="E4" s="237" t="s">
        <v>9</v>
      </c>
      <c r="F4" s="236"/>
      <c r="G4" s="236"/>
      <c r="H4" s="106" t="s">
        <v>10</v>
      </c>
      <c r="I4" s="27"/>
      <c r="J4" s="27"/>
      <c r="K4" s="28"/>
      <c r="L4" s="35" t="s">
        <v>103</v>
      </c>
      <c r="M4" s="23"/>
      <c r="N4" s="24"/>
      <c r="O4" s="9"/>
      <c r="P4" s="9"/>
      <c r="Q4" s="9"/>
      <c r="R4" s="9"/>
      <c r="S4" s="9"/>
      <c r="T4" s="9"/>
    </row>
    <row r="5" spans="1:20" s="3" customFormat="1" ht="21" customHeight="1" x14ac:dyDescent="0.4">
      <c r="A5" s="245">
        <f>'Short Form'!A6</f>
        <v>0</v>
      </c>
      <c r="B5" s="121"/>
      <c r="C5" s="121"/>
      <c r="D5" s="121"/>
      <c r="E5" s="253">
        <f>'Short Form'!E6</f>
        <v>0</v>
      </c>
      <c r="F5" s="121"/>
      <c r="G5" s="121"/>
      <c r="H5" s="178">
        <f>'Short Form'!H6</f>
        <v>0</v>
      </c>
      <c r="I5" s="121"/>
      <c r="J5" s="121"/>
      <c r="K5" s="19"/>
      <c r="L5" s="144">
        <f>'Short Form'!K6</f>
        <v>0</v>
      </c>
      <c r="M5" s="115"/>
      <c r="N5" s="21"/>
      <c r="O5" s="110"/>
      <c r="P5" s="110"/>
      <c r="Q5" s="110"/>
      <c r="R5" s="110"/>
      <c r="S5" s="110"/>
      <c r="T5" s="110"/>
    </row>
    <row r="6" spans="1:20" ht="18" customHeight="1" x14ac:dyDescent="0.4">
      <c r="A6" s="215" t="s">
        <v>87</v>
      </c>
      <c r="B6" s="216"/>
      <c r="C6" s="217"/>
      <c r="D6" s="218"/>
      <c r="E6" s="217"/>
      <c r="F6" s="9"/>
      <c r="G6" s="9"/>
      <c r="H6" s="37"/>
      <c r="I6" s="37"/>
      <c r="J6" s="37"/>
      <c r="K6" s="37"/>
      <c r="L6" s="37"/>
      <c r="M6" s="37"/>
      <c r="N6" s="37"/>
      <c r="O6" s="9"/>
      <c r="P6" s="9"/>
      <c r="Q6" s="9"/>
      <c r="R6" s="9"/>
      <c r="S6" s="9"/>
      <c r="T6" s="9"/>
    </row>
    <row r="7" spans="1:20" ht="14.25" customHeight="1" x14ac:dyDescent="0.4">
      <c r="A7" s="203" t="s">
        <v>88</v>
      </c>
      <c r="B7" s="216"/>
      <c r="C7" s="219"/>
      <c r="D7" s="218"/>
      <c r="E7" s="219"/>
      <c r="F7" s="38"/>
      <c r="G7" s="38"/>
      <c r="H7"/>
      <c r="I7" s="38"/>
      <c r="J7" s="38"/>
      <c r="K7" s="39"/>
      <c r="L7" s="38"/>
      <c r="M7" s="38"/>
      <c r="N7" s="38"/>
      <c r="O7" s="9"/>
      <c r="P7" s="9"/>
      <c r="Q7" s="9"/>
      <c r="R7" s="9"/>
      <c r="S7" s="9"/>
      <c r="T7" s="9"/>
    </row>
    <row r="8" spans="1:20" ht="5.25" customHeight="1" x14ac:dyDescent="0.4">
      <c r="A8" s="203"/>
      <c r="B8" s="38"/>
      <c r="C8" s="38"/>
      <c r="D8" s="38"/>
      <c r="E8" s="38"/>
      <c r="F8" s="38"/>
      <c r="G8" s="38"/>
      <c r="H8" s="38"/>
      <c r="I8" s="38"/>
      <c r="J8" s="38"/>
      <c r="K8" s="107"/>
      <c r="L8" s="38"/>
      <c r="M8" s="38"/>
      <c r="N8" s="38"/>
      <c r="O8" s="9"/>
      <c r="P8" s="9"/>
      <c r="Q8" s="9"/>
      <c r="R8" s="9"/>
      <c r="S8" s="9"/>
      <c r="T8" s="9"/>
    </row>
    <row r="9" spans="1:20" ht="21" customHeight="1" x14ac:dyDescent="0.35">
      <c r="A9" s="296" t="s">
        <v>68</v>
      </c>
      <c r="B9" s="297" t="s">
        <v>13</v>
      </c>
      <c r="C9" s="354" t="s">
        <v>14</v>
      </c>
      <c r="D9" s="298"/>
      <c r="E9" s="299" t="s">
        <v>15</v>
      </c>
      <c r="F9" s="355"/>
      <c r="G9" s="298"/>
      <c r="H9" s="303"/>
      <c r="I9" s="300" t="s">
        <v>16</v>
      </c>
      <c r="J9" s="300"/>
      <c r="K9" s="300"/>
      <c r="L9" s="296" t="s">
        <v>89</v>
      </c>
      <c r="M9" s="297" t="s">
        <v>18</v>
      </c>
      <c r="N9" s="296" t="s">
        <v>72</v>
      </c>
      <c r="O9" s="9"/>
      <c r="P9" s="9"/>
      <c r="Q9" s="9"/>
      <c r="R9" s="9"/>
      <c r="S9" s="9"/>
      <c r="T9" s="9"/>
    </row>
    <row r="10" spans="1:20" s="5" customFormat="1" ht="24.75" customHeight="1" x14ac:dyDescent="0.4">
      <c r="A10" s="136"/>
      <c r="B10" s="146"/>
      <c r="C10" s="135"/>
      <c r="D10" s="126"/>
      <c r="E10" s="155"/>
      <c r="F10" s="155"/>
      <c r="G10" s="156"/>
      <c r="H10" s="157"/>
      <c r="I10" s="126"/>
      <c r="J10" s="155"/>
      <c r="K10" s="155"/>
      <c r="L10" s="259"/>
      <c r="M10" s="255"/>
      <c r="N10" s="188">
        <f t="shared" ref="N10:N25" si="0">IF(M10=" ",L10*1,L10*M10)</f>
        <v>0</v>
      </c>
      <c r="O10" s="41"/>
      <c r="P10" s="41"/>
      <c r="Q10" s="41"/>
      <c r="R10" s="41"/>
      <c r="S10" s="41"/>
      <c r="T10" s="41"/>
    </row>
    <row r="11" spans="1:20" s="5" customFormat="1" ht="24.75" customHeight="1" x14ac:dyDescent="0.4">
      <c r="A11" s="136"/>
      <c r="B11" s="146"/>
      <c r="C11" s="135"/>
      <c r="D11" s="126"/>
      <c r="E11" s="155"/>
      <c r="F11" s="155"/>
      <c r="G11" s="156"/>
      <c r="H11" s="157"/>
      <c r="I11" s="127"/>
      <c r="J11" s="155"/>
      <c r="K11" s="156"/>
      <c r="L11" s="259"/>
      <c r="M11" s="255"/>
      <c r="N11" s="188">
        <f t="shared" si="0"/>
        <v>0</v>
      </c>
      <c r="O11" s="41"/>
      <c r="P11" s="41"/>
      <c r="Q11" s="41"/>
      <c r="R11" s="41"/>
      <c r="S11" s="41"/>
      <c r="T11" s="41"/>
    </row>
    <row r="12" spans="1:20" s="5" customFormat="1" ht="24.75" customHeight="1" x14ac:dyDescent="0.4">
      <c r="A12" s="136"/>
      <c r="B12" s="146"/>
      <c r="C12" s="135"/>
      <c r="D12" s="126"/>
      <c r="E12" s="155"/>
      <c r="F12" s="155"/>
      <c r="G12" s="156"/>
      <c r="H12" s="157"/>
      <c r="I12" s="127"/>
      <c r="J12" s="155"/>
      <c r="K12" s="156"/>
      <c r="L12" s="259"/>
      <c r="M12" s="255"/>
      <c r="N12" s="188">
        <f t="shared" si="0"/>
        <v>0</v>
      </c>
      <c r="O12" s="41"/>
      <c r="P12" s="41"/>
      <c r="Q12" s="41"/>
      <c r="R12" s="41"/>
      <c r="S12" s="41"/>
      <c r="T12" s="41"/>
    </row>
    <row r="13" spans="1:20" s="5" customFormat="1" ht="24.75" customHeight="1" x14ac:dyDescent="0.4">
      <c r="A13" s="136"/>
      <c r="B13" s="146"/>
      <c r="C13" s="135"/>
      <c r="D13" s="126"/>
      <c r="E13" s="155"/>
      <c r="F13" s="155"/>
      <c r="G13" s="156"/>
      <c r="H13" s="157"/>
      <c r="I13" s="127"/>
      <c r="J13" s="155"/>
      <c r="K13" s="156"/>
      <c r="L13" s="259"/>
      <c r="M13" s="255"/>
      <c r="N13" s="188">
        <f t="shared" si="0"/>
        <v>0</v>
      </c>
      <c r="O13" s="41"/>
      <c r="P13" s="41"/>
      <c r="Q13" s="41"/>
      <c r="R13" s="41"/>
      <c r="S13" s="41"/>
      <c r="T13" s="41"/>
    </row>
    <row r="14" spans="1:20" s="5" customFormat="1" ht="24.75" customHeight="1" x14ac:dyDescent="0.4">
      <c r="A14" s="136"/>
      <c r="B14" s="146"/>
      <c r="C14" s="135"/>
      <c r="D14" s="126"/>
      <c r="E14" s="155"/>
      <c r="F14" s="155"/>
      <c r="G14" s="156"/>
      <c r="H14" s="157"/>
      <c r="I14" s="127"/>
      <c r="J14" s="155"/>
      <c r="K14" s="156"/>
      <c r="L14" s="259"/>
      <c r="M14" s="255"/>
      <c r="N14" s="188">
        <f t="shared" si="0"/>
        <v>0</v>
      </c>
      <c r="O14" s="41"/>
      <c r="P14" s="41"/>
      <c r="Q14" s="41"/>
      <c r="R14" s="41"/>
      <c r="S14" s="41"/>
      <c r="T14" s="41"/>
    </row>
    <row r="15" spans="1:20" s="5" customFormat="1" ht="24.75" customHeight="1" x14ac:dyDescent="0.4">
      <c r="A15" s="136"/>
      <c r="B15" s="146"/>
      <c r="C15" s="135"/>
      <c r="D15" s="126"/>
      <c r="E15" s="155"/>
      <c r="F15" s="155"/>
      <c r="G15" s="156"/>
      <c r="H15" s="157"/>
      <c r="I15" s="127"/>
      <c r="J15" s="155"/>
      <c r="K15" s="156"/>
      <c r="L15" s="259"/>
      <c r="M15" s="255"/>
      <c r="N15" s="188">
        <f t="shared" si="0"/>
        <v>0</v>
      </c>
      <c r="O15" s="41"/>
      <c r="P15" s="41"/>
      <c r="Q15" s="41"/>
      <c r="R15" s="41"/>
      <c r="S15" s="41"/>
      <c r="T15" s="41"/>
    </row>
    <row r="16" spans="1:20" s="5" customFormat="1" ht="24.75" customHeight="1" x14ac:dyDescent="0.4">
      <c r="A16" s="136"/>
      <c r="B16" s="146"/>
      <c r="C16" s="135"/>
      <c r="D16" s="126"/>
      <c r="E16" s="155"/>
      <c r="F16" s="155"/>
      <c r="G16" s="156"/>
      <c r="H16" s="157"/>
      <c r="I16" s="127"/>
      <c r="J16" s="155"/>
      <c r="K16" s="156"/>
      <c r="L16" s="259"/>
      <c r="M16" s="255"/>
      <c r="N16" s="188">
        <f t="shared" si="0"/>
        <v>0</v>
      </c>
      <c r="O16" s="41"/>
      <c r="P16" s="41"/>
      <c r="Q16" s="41"/>
      <c r="R16" s="41"/>
      <c r="S16" s="41"/>
      <c r="T16" s="41"/>
    </row>
    <row r="17" spans="1:20" s="5" customFormat="1" ht="24.75" customHeight="1" x14ac:dyDescent="0.4">
      <c r="A17" s="136"/>
      <c r="B17" s="146"/>
      <c r="C17" s="135"/>
      <c r="D17" s="126"/>
      <c r="E17" s="155"/>
      <c r="F17" s="155"/>
      <c r="G17" s="156"/>
      <c r="H17" s="157"/>
      <c r="I17" s="127"/>
      <c r="J17" s="155"/>
      <c r="K17" s="156"/>
      <c r="L17" s="259"/>
      <c r="M17" s="255"/>
      <c r="N17" s="188">
        <f t="shared" si="0"/>
        <v>0</v>
      </c>
      <c r="O17" s="41"/>
      <c r="P17" s="41"/>
      <c r="Q17" s="41"/>
      <c r="R17" s="41"/>
      <c r="S17" s="41"/>
      <c r="T17" s="41"/>
    </row>
    <row r="18" spans="1:20" s="5" customFormat="1" ht="24.75" customHeight="1" x14ac:dyDescent="0.4">
      <c r="A18" s="136"/>
      <c r="B18" s="146"/>
      <c r="C18" s="135"/>
      <c r="D18" s="126"/>
      <c r="E18" s="155"/>
      <c r="F18" s="155"/>
      <c r="G18" s="156"/>
      <c r="H18" s="157"/>
      <c r="I18" s="127"/>
      <c r="J18" s="155"/>
      <c r="K18" s="156"/>
      <c r="L18" s="259"/>
      <c r="M18" s="255"/>
      <c r="N18" s="188">
        <f t="shared" si="0"/>
        <v>0</v>
      </c>
      <c r="O18" s="41"/>
      <c r="P18" s="41"/>
      <c r="Q18" s="41"/>
      <c r="R18" s="41"/>
      <c r="S18" s="41"/>
      <c r="T18" s="41"/>
    </row>
    <row r="19" spans="1:20" s="5" customFormat="1" ht="24.75" customHeight="1" x14ac:dyDescent="0.4">
      <c r="A19" s="136"/>
      <c r="B19" s="146"/>
      <c r="C19" s="135"/>
      <c r="D19" s="126"/>
      <c r="E19" s="155"/>
      <c r="F19" s="155"/>
      <c r="G19" s="156"/>
      <c r="H19" s="157"/>
      <c r="I19" s="127"/>
      <c r="J19" s="155"/>
      <c r="K19" s="156"/>
      <c r="L19" s="259"/>
      <c r="M19" s="255"/>
      <c r="N19" s="188">
        <f t="shared" si="0"/>
        <v>0</v>
      </c>
      <c r="O19" s="41"/>
      <c r="P19" s="41"/>
      <c r="Q19" s="41"/>
      <c r="R19" s="41"/>
      <c r="S19" s="41"/>
      <c r="T19" s="41"/>
    </row>
    <row r="20" spans="1:20" s="5" customFormat="1" ht="24.75" customHeight="1" x14ac:dyDescent="0.4">
      <c r="A20" s="136"/>
      <c r="B20" s="146"/>
      <c r="C20" s="135"/>
      <c r="D20" s="126"/>
      <c r="E20" s="155"/>
      <c r="F20" s="155"/>
      <c r="G20" s="156"/>
      <c r="H20" s="157"/>
      <c r="I20" s="127"/>
      <c r="J20" s="155"/>
      <c r="K20" s="156"/>
      <c r="L20" s="259"/>
      <c r="M20" s="255"/>
      <c r="N20" s="188">
        <f t="shared" si="0"/>
        <v>0</v>
      </c>
      <c r="O20" s="41"/>
      <c r="P20" s="41"/>
      <c r="Q20" s="41"/>
      <c r="R20" s="41"/>
      <c r="S20" s="41"/>
      <c r="T20" s="41"/>
    </row>
    <row r="21" spans="1:20" s="5" customFormat="1" ht="24.75" customHeight="1" x14ac:dyDescent="0.4">
      <c r="A21" s="136"/>
      <c r="B21" s="146"/>
      <c r="C21" s="135"/>
      <c r="D21" s="126"/>
      <c r="E21" s="155"/>
      <c r="F21" s="155"/>
      <c r="G21" s="156"/>
      <c r="H21" s="157"/>
      <c r="I21" s="127"/>
      <c r="J21" s="155"/>
      <c r="K21" s="156"/>
      <c r="L21" s="259"/>
      <c r="M21" s="255"/>
      <c r="N21" s="188">
        <f t="shared" si="0"/>
        <v>0</v>
      </c>
      <c r="O21" s="41"/>
      <c r="P21" s="41"/>
      <c r="Q21" s="41"/>
      <c r="R21" s="41"/>
      <c r="S21" s="41"/>
      <c r="T21" s="41"/>
    </row>
    <row r="22" spans="1:20" s="5" customFormat="1" ht="24.75" customHeight="1" x14ac:dyDescent="0.4">
      <c r="A22" s="136"/>
      <c r="B22" s="146"/>
      <c r="C22" s="135"/>
      <c r="D22" s="126"/>
      <c r="E22" s="155"/>
      <c r="F22" s="155"/>
      <c r="G22" s="156"/>
      <c r="H22" s="157"/>
      <c r="I22" s="127"/>
      <c r="J22" s="155"/>
      <c r="K22" s="156"/>
      <c r="L22" s="259"/>
      <c r="M22" s="255"/>
      <c r="N22" s="188">
        <f t="shared" si="0"/>
        <v>0</v>
      </c>
      <c r="O22" s="41"/>
      <c r="P22" s="41"/>
      <c r="Q22" s="41"/>
      <c r="R22" s="41"/>
      <c r="S22" s="41"/>
      <c r="T22" s="41"/>
    </row>
    <row r="23" spans="1:20" s="5" customFormat="1" ht="24.75" customHeight="1" x14ac:dyDescent="0.4">
      <c r="A23" s="136"/>
      <c r="B23" s="146"/>
      <c r="C23" s="135"/>
      <c r="D23" s="126"/>
      <c r="E23" s="155"/>
      <c r="F23" s="155"/>
      <c r="G23" s="156"/>
      <c r="H23" s="157"/>
      <c r="I23" s="127"/>
      <c r="J23" s="155"/>
      <c r="K23" s="156"/>
      <c r="L23" s="259"/>
      <c r="M23" s="255"/>
      <c r="N23" s="188">
        <f t="shared" si="0"/>
        <v>0</v>
      </c>
      <c r="O23" s="41"/>
      <c r="P23" s="41"/>
      <c r="Q23" s="41"/>
      <c r="R23" s="41"/>
      <c r="S23" s="41"/>
      <c r="T23" s="41"/>
    </row>
    <row r="24" spans="1:20" s="5" customFormat="1" ht="24.75" customHeight="1" x14ac:dyDescent="0.4">
      <c r="A24" s="136"/>
      <c r="B24" s="146"/>
      <c r="C24" s="135"/>
      <c r="D24" s="126"/>
      <c r="E24" s="155"/>
      <c r="F24" s="155"/>
      <c r="G24" s="156"/>
      <c r="H24" s="157"/>
      <c r="I24" s="127"/>
      <c r="J24" s="155"/>
      <c r="K24" s="156"/>
      <c r="L24" s="259"/>
      <c r="M24" s="255"/>
      <c r="N24" s="188">
        <f t="shared" si="0"/>
        <v>0</v>
      </c>
      <c r="O24" s="41"/>
      <c r="P24" s="41"/>
      <c r="Q24" s="41"/>
      <c r="R24" s="41"/>
      <c r="S24" s="41"/>
      <c r="T24" s="41"/>
    </row>
    <row r="25" spans="1:20" s="5" customFormat="1" ht="24.75" customHeight="1" ph="1" x14ac:dyDescent="0.4">
      <c r="A25" s="136"/>
      <c r="B25" s="146"/>
      <c r="C25" s="135"/>
      <c r="D25" s="126"/>
      <c r="E25" s="155"/>
      <c r="F25" s="155"/>
      <c r="G25" s="156"/>
      <c r="H25" s="157"/>
      <c r="I25" s="127"/>
      <c r="J25" s="155"/>
      <c r="K25" s="156"/>
      <c r="L25" s="259"/>
      <c r="M25" s="255"/>
      <c r="N25" s="188">
        <f t="shared" si="0"/>
        <v>0</v>
      </c>
      <c r="O25" s="41"/>
      <c r="P25" s="41"/>
      <c r="Q25" s="41"/>
      <c r="R25" s="41"/>
      <c r="S25" s="41"/>
      <c r="T25" s="41"/>
    </row>
    <row r="26" spans="1:20" s="5" customFormat="1" ht="24.75" customHeight="1" x14ac:dyDescent="0.4">
      <c r="A26" s="136"/>
      <c r="B26" s="146"/>
      <c r="C26" s="135"/>
      <c r="D26" s="126"/>
      <c r="E26" s="155"/>
      <c r="F26" s="155"/>
      <c r="G26" s="156"/>
      <c r="H26" s="157"/>
      <c r="I26" s="127"/>
      <c r="J26" s="155"/>
      <c r="K26" s="156"/>
      <c r="L26" s="259"/>
      <c r="M26" s="255"/>
      <c r="N26" s="188">
        <f t="shared" ref="N26:N40" si="1">IF(M26=" ",L26*1,L26*M26)</f>
        <v>0</v>
      </c>
      <c r="O26" s="41"/>
      <c r="P26" s="41"/>
      <c r="Q26" s="41"/>
      <c r="R26" s="41"/>
      <c r="S26" s="41"/>
      <c r="T26" s="41"/>
    </row>
    <row r="27" spans="1:20" s="5" customFormat="1" ht="24.75" customHeight="1" ph="1" x14ac:dyDescent="0.4">
      <c r="A27" s="136"/>
      <c r="B27" s="146"/>
      <c r="C27" s="135"/>
      <c r="D27" s="126"/>
      <c r="E27" s="155"/>
      <c r="F27" s="155"/>
      <c r="G27" s="156"/>
      <c r="H27" s="157"/>
      <c r="I27" s="127"/>
      <c r="J27" s="155"/>
      <c r="K27" s="156"/>
      <c r="L27" s="259"/>
      <c r="M27" s="255"/>
      <c r="N27" s="188">
        <f t="shared" si="1"/>
        <v>0</v>
      </c>
      <c r="O27" s="41"/>
      <c r="P27" s="41"/>
      <c r="Q27" s="41"/>
      <c r="R27" s="41"/>
      <c r="S27" s="41"/>
      <c r="T27" s="41"/>
    </row>
    <row r="28" spans="1:20" s="5" customFormat="1" ht="24.75" customHeight="1" x14ac:dyDescent="0.4">
      <c r="A28" s="136"/>
      <c r="B28" s="146"/>
      <c r="C28" s="135"/>
      <c r="D28" s="126"/>
      <c r="E28" s="155"/>
      <c r="F28" s="155"/>
      <c r="G28" s="156"/>
      <c r="H28" s="157"/>
      <c r="I28" s="127"/>
      <c r="J28" s="155"/>
      <c r="K28" s="156"/>
      <c r="L28" s="259"/>
      <c r="M28" s="255"/>
      <c r="N28" s="188">
        <f t="shared" si="1"/>
        <v>0</v>
      </c>
      <c r="O28" s="41"/>
      <c r="P28" s="41"/>
      <c r="Q28" s="41"/>
      <c r="R28" s="41"/>
      <c r="S28" s="41"/>
      <c r="T28" s="41"/>
    </row>
    <row r="29" spans="1:20" s="5" customFormat="1" ht="24.75" customHeight="1" x14ac:dyDescent="0.4">
      <c r="A29" s="136"/>
      <c r="B29" s="146"/>
      <c r="C29" s="135"/>
      <c r="D29" s="126"/>
      <c r="E29" s="155"/>
      <c r="F29" s="155"/>
      <c r="G29" s="156"/>
      <c r="H29" s="157"/>
      <c r="I29" s="127"/>
      <c r="J29" s="155"/>
      <c r="K29" s="156"/>
      <c r="L29" s="259"/>
      <c r="M29" s="255"/>
      <c r="N29" s="188">
        <f t="shared" si="1"/>
        <v>0</v>
      </c>
      <c r="O29" s="41"/>
      <c r="P29" s="41"/>
      <c r="Q29" s="41"/>
      <c r="R29" s="41"/>
      <c r="S29" s="41"/>
      <c r="T29" s="41"/>
    </row>
    <row r="30" spans="1:20" s="5" customFormat="1" ht="24.75" customHeight="1" x14ac:dyDescent="0.4">
      <c r="A30" s="136"/>
      <c r="B30" s="146"/>
      <c r="C30" s="135"/>
      <c r="D30" s="126"/>
      <c r="E30" s="155"/>
      <c r="F30" s="155"/>
      <c r="G30" s="156"/>
      <c r="H30" s="157"/>
      <c r="I30" s="127"/>
      <c r="J30" s="155"/>
      <c r="K30" s="156"/>
      <c r="L30" s="259"/>
      <c r="M30" s="255"/>
      <c r="N30" s="188">
        <f t="shared" si="1"/>
        <v>0</v>
      </c>
      <c r="O30" s="41"/>
      <c r="P30" s="41"/>
      <c r="Q30" s="41"/>
      <c r="R30" s="41"/>
      <c r="S30" s="41"/>
      <c r="T30" s="41"/>
    </row>
    <row r="31" spans="1:20" s="5" customFormat="1" ht="24.75" customHeight="1" x14ac:dyDescent="0.4">
      <c r="A31" s="136"/>
      <c r="B31" s="146"/>
      <c r="C31" s="135"/>
      <c r="D31" s="126"/>
      <c r="E31" s="155"/>
      <c r="F31" s="155"/>
      <c r="G31" s="156"/>
      <c r="H31" s="157"/>
      <c r="I31" s="127"/>
      <c r="J31" s="155"/>
      <c r="K31" s="156"/>
      <c r="L31" s="259"/>
      <c r="M31" s="255"/>
      <c r="N31" s="188">
        <f t="shared" si="1"/>
        <v>0</v>
      </c>
      <c r="O31" s="41"/>
      <c r="P31" s="41"/>
      <c r="Q31" s="41"/>
      <c r="R31" s="41"/>
      <c r="S31" s="41"/>
      <c r="T31" s="41"/>
    </row>
    <row r="32" spans="1:20" s="5" customFormat="1" ht="24.75" customHeight="1" x14ac:dyDescent="0.4">
      <c r="A32" s="136"/>
      <c r="B32" s="146"/>
      <c r="C32" s="135"/>
      <c r="D32" s="126"/>
      <c r="E32" s="155"/>
      <c r="F32" s="155"/>
      <c r="G32" s="156"/>
      <c r="H32" s="157"/>
      <c r="I32" s="127"/>
      <c r="J32" s="155"/>
      <c r="K32" s="156"/>
      <c r="L32" s="259"/>
      <c r="M32" s="255"/>
      <c r="N32" s="188">
        <f t="shared" si="1"/>
        <v>0</v>
      </c>
      <c r="O32" s="41"/>
      <c r="P32" s="41"/>
      <c r="Q32" s="41"/>
      <c r="R32" s="41"/>
      <c r="S32" s="41"/>
      <c r="T32" s="41"/>
    </row>
    <row r="33" spans="1:20" s="5" customFormat="1" ht="24.75" customHeight="1" x14ac:dyDescent="0.4">
      <c r="A33" s="136"/>
      <c r="B33" s="146"/>
      <c r="C33" s="135"/>
      <c r="D33" s="126"/>
      <c r="E33" s="155"/>
      <c r="F33" s="155"/>
      <c r="G33" s="156"/>
      <c r="H33" s="157"/>
      <c r="I33" s="127"/>
      <c r="J33" s="155"/>
      <c r="K33" s="156"/>
      <c r="L33" s="259"/>
      <c r="M33" s="255"/>
      <c r="N33" s="188">
        <f t="shared" si="1"/>
        <v>0</v>
      </c>
      <c r="O33" s="41"/>
      <c r="P33" s="41"/>
      <c r="Q33" s="41"/>
      <c r="R33" s="41"/>
      <c r="S33" s="41"/>
      <c r="T33" s="41"/>
    </row>
    <row r="34" spans="1:20" s="5" customFormat="1" ht="24.75" customHeight="1" x14ac:dyDescent="0.4">
      <c r="A34" s="136"/>
      <c r="B34" s="146"/>
      <c r="C34" s="135"/>
      <c r="D34" s="126"/>
      <c r="E34" s="155"/>
      <c r="F34" s="155"/>
      <c r="G34" s="156"/>
      <c r="H34" s="157"/>
      <c r="I34" s="127"/>
      <c r="J34" s="155"/>
      <c r="K34" s="156"/>
      <c r="L34" s="259"/>
      <c r="M34" s="255"/>
      <c r="N34" s="188">
        <f t="shared" si="1"/>
        <v>0</v>
      </c>
      <c r="O34" s="41"/>
      <c r="P34" s="41"/>
      <c r="Q34" s="41"/>
      <c r="R34" s="41"/>
      <c r="S34" s="41"/>
      <c r="T34" s="41"/>
    </row>
    <row r="35" spans="1:20" s="5" customFormat="1" ht="24.75" customHeight="1" x14ac:dyDescent="0.4">
      <c r="A35" s="136"/>
      <c r="B35" s="146"/>
      <c r="C35" s="135"/>
      <c r="D35" s="126"/>
      <c r="E35" s="155"/>
      <c r="F35" s="155"/>
      <c r="G35" s="156"/>
      <c r="H35" s="157"/>
      <c r="I35" s="127"/>
      <c r="J35" s="155"/>
      <c r="K35" s="156"/>
      <c r="L35" s="259"/>
      <c r="M35" s="255"/>
      <c r="N35" s="188">
        <f t="shared" si="1"/>
        <v>0</v>
      </c>
      <c r="O35" s="41"/>
      <c r="P35" s="41"/>
      <c r="Q35" s="41"/>
      <c r="R35" s="41"/>
      <c r="S35" s="41"/>
      <c r="T35" s="41"/>
    </row>
    <row r="36" spans="1:20" s="5" customFormat="1" ht="24.75" customHeight="1" x14ac:dyDescent="0.4">
      <c r="A36" s="136"/>
      <c r="B36" s="146"/>
      <c r="C36" s="135"/>
      <c r="D36" s="126"/>
      <c r="E36" s="155"/>
      <c r="F36" s="155"/>
      <c r="G36" s="156"/>
      <c r="H36" s="157"/>
      <c r="I36" s="127"/>
      <c r="J36" s="155"/>
      <c r="K36" s="156"/>
      <c r="L36" s="259"/>
      <c r="M36" s="255"/>
      <c r="N36" s="188">
        <f t="shared" si="1"/>
        <v>0</v>
      </c>
      <c r="O36" s="41"/>
      <c r="P36" s="41"/>
      <c r="Q36" s="41"/>
      <c r="R36" s="41"/>
      <c r="S36" s="41"/>
      <c r="T36" s="41"/>
    </row>
    <row r="37" spans="1:20" s="5" customFormat="1" ht="24.75" customHeight="1" x14ac:dyDescent="0.4">
      <c r="A37" s="136"/>
      <c r="B37" s="146"/>
      <c r="C37" s="135"/>
      <c r="D37" s="126"/>
      <c r="E37" s="155"/>
      <c r="F37" s="155"/>
      <c r="G37" s="156"/>
      <c r="H37" s="157"/>
      <c r="I37" s="127"/>
      <c r="J37" s="155"/>
      <c r="K37" s="156"/>
      <c r="L37" s="259"/>
      <c r="M37" s="255"/>
      <c r="N37" s="188">
        <f t="shared" si="1"/>
        <v>0</v>
      </c>
      <c r="O37" s="41"/>
      <c r="P37" s="41"/>
      <c r="Q37" s="41"/>
      <c r="R37" s="41"/>
      <c r="S37" s="41"/>
      <c r="T37" s="41"/>
    </row>
    <row r="38" spans="1:20" s="5" customFormat="1" ht="24.75" customHeight="1" x14ac:dyDescent="0.4">
      <c r="A38" s="136"/>
      <c r="B38" s="146"/>
      <c r="C38" s="135"/>
      <c r="D38" s="126"/>
      <c r="E38" s="155"/>
      <c r="F38" s="155"/>
      <c r="G38" s="156"/>
      <c r="H38" s="157"/>
      <c r="I38" s="126"/>
      <c r="J38" s="155"/>
      <c r="K38" s="156"/>
      <c r="L38" s="259"/>
      <c r="M38" s="255"/>
      <c r="N38" s="188">
        <f t="shared" si="1"/>
        <v>0</v>
      </c>
      <c r="O38" s="41"/>
      <c r="P38" s="41"/>
      <c r="Q38" s="41"/>
      <c r="R38" s="41"/>
      <c r="S38" s="41"/>
      <c r="T38" s="41"/>
    </row>
    <row r="39" spans="1:20" s="5" customFormat="1" ht="24.75" customHeight="1" x14ac:dyDescent="0.4">
      <c r="A39" s="136"/>
      <c r="B39" s="146"/>
      <c r="C39" s="135"/>
      <c r="D39" s="126"/>
      <c r="E39" s="155"/>
      <c r="F39" s="155"/>
      <c r="G39" s="156"/>
      <c r="H39" s="157"/>
      <c r="I39" s="126"/>
      <c r="J39" s="155"/>
      <c r="K39" s="158"/>
      <c r="L39" s="259"/>
      <c r="M39" s="255"/>
      <c r="N39" s="188">
        <f t="shared" si="1"/>
        <v>0</v>
      </c>
      <c r="O39" s="41"/>
      <c r="P39" s="41"/>
      <c r="Q39" s="41"/>
      <c r="R39" s="41"/>
      <c r="S39" s="41"/>
      <c r="T39" s="41"/>
    </row>
    <row r="40" spans="1:20" s="5" customFormat="1" ht="24.75" customHeight="1" x14ac:dyDescent="0.4">
      <c r="A40" s="136"/>
      <c r="B40" s="146"/>
      <c r="C40" s="135"/>
      <c r="D40" s="126"/>
      <c r="E40" s="155"/>
      <c r="F40" s="155"/>
      <c r="G40" s="156"/>
      <c r="H40" s="157"/>
      <c r="I40" s="126"/>
      <c r="J40" s="155"/>
      <c r="K40" s="156"/>
      <c r="L40" s="259"/>
      <c r="M40" s="255"/>
      <c r="N40" s="188">
        <f t="shared" si="1"/>
        <v>0</v>
      </c>
      <c r="O40" s="41"/>
      <c r="P40" s="41"/>
      <c r="Q40" s="41"/>
      <c r="R40" s="41"/>
      <c r="S40" s="41"/>
      <c r="T40" s="41"/>
    </row>
    <row r="41" spans="1:20" s="5" customFormat="1" ht="24" customHeight="1" x14ac:dyDescent="0.4">
      <c r="A41" s="184"/>
      <c r="B41" s="272"/>
      <c r="C41"/>
      <c r="D41" s="95"/>
      <c r="E41"/>
      <c r="F41" s="272" t="s">
        <v>73</v>
      </c>
      <c r="G41" s="279"/>
      <c r="H41" s="271"/>
      <c r="I41"/>
      <c r="J41" s="280" t="s">
        <v>74</v>
      </c>
      <c r="K41" s="281">
        <f>IF(SUM(L49:L54)=0,0,$N$41-(SUMIF($A$10:$A$40,IF($L$49=" ",$A$49," "),$N$10:$N$40))-(SUMIF($A$10:$A$40,IF($L$50=" ",$A$50," "),$N$10:$N$40))-(SUMIF($A$10:$A$40,IF( $L$51=" ",$A$51," "),$N$10:$N$40))-(SUMIF($A$10:$A$40,IF($L$52=" ",$A$52," "),$N$10:$N$40))-(SUMIF($A$10:$A$40,IF($L$53=" ",$A$53," "),$N$10:$N$40))-(SUMIF($A$10:$A$40,IF($L$54=" ",$A$54," "),$N$10:$N$40)))</f>
        <v>0</v>
      </c>
      <c r="L41" s="296" t="s">
        <v>75</v>
      </c>
      <c r="M41" s="352"/>
      <c r="N41" s="131">
        <f>SUM(N10:N40)</f>
        <v>0</v>
      </c>
      <c r="O41" s="41"/>
      <c r="P41" s="41"/>
      <c r="Q41" s="41"/>
      <c r="R41" s="41"/>
      <c r="S41" s="41"/>
      <c r="T41" s="41"/>
    </row>
    <row r="42" spans="1:20" ht="15.75" customHeight="1" x14ac:dyDescent="0.4">
      <c r="A42" s="185"/>
      <c r="B42" s="73"/>
      <c r="C42"/>
      <c r="D42" s="273"/>
      <c r="E42" s="274"/>
      <c r="F42" s="203" t="s">
        <v>76</v>
      </c>
      <c r="G42" s="279"/>
      <c r="H42"/>
      <c r="I42"/>
      <c r="J42" s="73"/>
      <c r="K42" s="204" t="s">
        <v>77</v>
      </c>
      <c r="L42" s="95"/>
      <c r="M42" s="108"/>
      <c r="N42" s="109"/>
      <c r="O42" s="9"/>
      <c r="P42" s="9"/>
      <c r="Q42" s="9"/>
      <c r="R42" s="9"/>
      <c r="S42" s="9"/>
      <c r="T42" s="9"/>
    </row>
    <row r="43" spans="1:20" ht="15.75" customHeight="1" x14ac:dyDescent="0.4">
      <c r="A43" s="185"/>
      <c r="B43" s="73"/>
      <c r="C43"/>
      <c r="D43" s="275"/>
      <c r="E43" s="275"/>
      <c r="F43" s="203" t="s">
        <v>78</v>
      </c>
      <c r="G43" s="279"/>
      <c r="H43"/>
      <c r="I43"/>
      <c r="J43"/>
      <c r="K43" s="209" t="s">
        <v>79</v>
      </c>
      <c r="L43" s="95"/>
      <c r="M43" s="108"/>
      <c r="N43" s="109"/>
      <c r="O43" s="9"/>
      <c r="P43" s="9"/>
      <c r="Q43" s="9"/>
      <c r="R43" s="9"/>
      <c r="S43" s="9"/>
      <c r="T43" s="9"/>
    </row>
    <row r="44" spans="1:20" ht="15.75" customHeight="1" x14ac:dyDescent="0.4">
      <c r="A44" s="185"/>
      <c r="B44"/>
      <c r="C44"/>
      <c r="D44" s="275"/>
      <c r="E44" s="275"/>
      <c r="F44" s="215" t="s">
        <v>80</v>
      </c>
      <c r="G44" s="279"/>
      <c r="H44"/>
      <c r="I44"/>
      <c r="J44"/>
      <c r="K44"/>
      <c r="L44" s="95"/>
      <c r="M44" s="108"/>
      <c r="N44" s="109"/>
      <c r="O44" s="9"/>
      <c r="P44" s="9"/>
      <c r="Q44" s="9"/>
      <c r="R44" s="9"/>
      <c r="S44" s="9"/>
      <c r="T44" s="9"/>
    </row>
    <row r="45" spans="1:20" ht="15.75" customHeight="1" x14ac:dyDescent="0.35">
      <c r="A45" s="185"/>
      <c r="B45" s="277"/>
      <c r="C45"/>
      <c r="D45" s="275"/>
      <c r="E45" s="275"/>
      <c r="F45" s="215" t="s">
        <v>81</v>
      </c>
      <c r="G45" s="279"/>
      <c r="H45"/>
      <c r="I45"/>
      <c r="J45" s="96"/>
      <c r="K45"/>
      <c r="L45"/>
      <c r="M45" s="41"/>
      <c r="N45" s="41"/>
      <c r="O45" s="9"/>
      <c r="P45" s="151"/>
      <c r="Q45" s="9"/>
      <c r="R45" s="9"/>
      <c r="S45" s="9"/>
      <c r="T45" s="9"/>
    </row>
    <row r="46" spans="1:20" ht="15.75" customHeight="1" x14ac:dyDescent="0.4">
      <c r="A46" s="221" t="s">
        <v>82</v>
      </c>
      <c r="B46" s="210"/>
      <c r="C46" s="209"/>
      <c r="D46" s="96"/>
      <c r="E46" s="77"/>
      <c r="F46" s="77"/>
      <c r="G46" s="278"/>
      <c r="H46"/>
      <c r="I46"/>
      <c r="J46" s="77"/>
      <c r="K46"/>
      <c r="L46" s="270" t="str">
        <f>IF($N$41=$N$55," ","Totals are not equal")</f>
        <v xml:space="preserve"> </v>
      </c>
      <c r="M46" s="67"/>
      <c r="N46" s="67"/>
      <c r="O46" s="9"/>
      <c r="P46" s="9"/>
      <c r="Q46" s="9"/>
      <c r="R46" s="9"/>
      <c r="S46" s="9"/>
      <c r="T46" s="9"/>
    </row>
    <row r="47" spans="1:20" ht="14.25" customHeight="1" x14ac:dyDescent="0.35">
      <c r="A47" s="220" t="s">
        <v>90</v>
      </c>
      <c r="B47" s="210"/>
      <c r="C47" s="209"/>
      <c r="D47" s="96"/>
      <c r="E47" s="77"/>
      <c r="F47" s="77"/>
      <c r="G47" s="77"/>
      <c r="H47" s="77"/>
      <c r="I47" s="77"/>
      <c r="J47" s="77"/>
      <c r="K47" s="77"/>
      <c r="L47" s="77"/>
      <c r="M47" s="9"/>
      <c r="N47" s="9"/>
      <c r="O47" s="9"/>
      <c r="P47" s="9"/>
      <c r="Q47" s="9"/>
      <c r="R47" s="9"/>
      <c r="S47" s="9"/>
      <c r="T47" s="9"/>
    </row>
    <row r="48" spans="1:20" s="3" customFormat="1" ht="24" customHeight="1" x14ac:dyDescent="0.35">
      <c r="A48" s="306" t="s">
        <v>68</v>
      </c>
      <c r="B48" s="306" t="s">
        <v>106</v>
      </c>
      <c r="C48" s="306" t="s">
        <v>114</v>
      </c>
      <c r="D48" s="330"/>
      <c r="E48" s="402" t="s">
        <v>110</v>
      </c>
      <c r="F48" s="403"/>
      <c r="G48" s="331"/>
      <c r="H48" s="397" t="s">
        <v>101</v>
      </c>
      <c r="I48" s="398"/>
      <c r="J48" s="344" t="s">
        <v>120</v>
      </c>
      <c r="K48" s="344" t="s">
        <v>119</v>
      </c>
      <c r="L48" s="351" t="s">
        <v>84</v>
      </c>
      <c r="M48" s="110"/>
      <c r="N48" s="353" t="s">
        <v>85</v>
      </c>
      <c r="O48" s="110"/>
      <c r="P48" s="110"/>
      <c r="Q48" s="110"/>
      <c r="R48" s="110"/>
      <c r="S48" s="110"/>
      <c r="T48" s="110"/>
    </row>
    <row r="49" spans="1:20" s="6" customFormat="1" ht="24" customHeight="1" x14ac:dyDescent="0.4">
      <c r="A49" s="335"/>
      <c r="B49" s="336"/>
      <c r="C49" s="337"/>
      <c r="D49" s="404"/>
      <c r="E49" s="406"/>
      <c r="F49" s="406"/>
      <c r="G49" s="407"/>
      <c r="H49" s="404"/>
      <c r="I49" s="405"/>
      <c r="J49" s="187"/>
      <c r="K49" s="187"/>
      <c r="L49" s="282"/>
      <c r="M49" s="40"/>
      <c r="N49" s="169">
        <f>IF($L$49=" ",SUMIF($A$10:$A$40,A49,$N$10:$N$40),$K$41*$L$49)</f>
        <v>0</v>
      </c>
      <c r="O49" s="152"/>
      <c r="P49" s="152"/>
      <c r="Q49" s="152"/>
      <c r="R49" s="152"/>
      <c r="S49" s="152"/>
      <c r="T49" s="152"/>
    </row>
    <row r="50" spans="1:20" s="4" customFormat="1" ht="24" customHeight="1" x14ac:dyDescent="0.4">
      <c r="A50" s="339"/>
      <c r="B50" s="336"/>
      <c r="C50" s="337"/>
      <c r="D50" s="404"/>
      <c r="E50" s="406"/>
      <c r="F50" s="406"/>
      <c r="G50" s="407"/>
      <c r="H50" s="404"/>
      <c r="I50" s="406"/>
      <c r="J50" s="187"/>
      <c r="K50" s="187"/>
      <c r="L50" s="368"/>
      <c r="M50" s="41"/>
      <c r="N50" s="347">
        <f>IF($L$50=" ",SUMIF($A$10:$A$40,A50,$N$10:$N$40),$K$41*$L$50)</f>
        <v>0</v>
      </c>
      <c r="O50" s="150"/>
      <c r="P50" s="150"/>
      <c r="Q50" s="150"/>
      <c r="R50" s="150"/>
      <c r="S50" s="150"/>
      <c r="T50" s="150"/>
    </row>
    <row r="51" spans="1:20" s="4" customFormat="1" ht="24" customHeight="1" x14ac:dyDescent="0.4">
      <c r="A51" s="338"/>
      <c r="B51" s="336"/>
      <c r="C51" s="337"/>
      <c r="D51" s="404"/>
      <c r="E51" s="406"/>
      <c r="F51" s="406"/>
      <c r="G51" s="407"/>
      <c r="H51" s="404"/>
      <c r="I51" s="405"/>
      <c r="J51" s="187"/>
      <c r="K51" s="187"/>
      <c r="L51" s="282"/>
      <c r="M51" s="41"/>
      <c r="N51" s="169">
        <f>IF($L$51=" ",SUMIF($A$10:$A$40,A51,$N$10:$N$40),$K$41*$L$51)</f>
        <v>0</v>
      </c>
      <c r="O51" s="150"/>
      <c r="P51" s="150"/>
      <c r="Q51" s="150"/>
      <c r="R51" s="150"/>
      <c r="S51" s="150"/>
      <c r="T51" s="150"/>
    </row>
    <row r="52" spans="1:20" s="4" customFormat="1" ht="24" customHeight="1" x14ac:dyDescent="0.4">
      <c r="A52" s="339"/>
      <c r="B52" s="336"/>
      <c r="C52" s="337"/>
      <c r="D52" s="404"/>
      <c r="E52" s="406"/>
      <c r="F52" s="406"/>
      <c r="G52" s="407"/>
      <c r="H52" s="404"/>
      <c r="I52" s="406"/>
      <c r="J52" s="187"/>
      <c r="K52" s="187"/>
      <c r="L52" s="368"/>
      <c r="M52" s="41"/>
      <c r="N52" s="347">
        <f>IF($L$52=" ",SUMIF($A$10:$A$40,A52,$N$10:$N$40),$K$41*$L$52)</f>
        <v>0</v>
      </c>
      <c r="O52" s="150"/>
      <c r="P52" s="150"/>
      <c r="Q52" s="150"/>
      <c r="R52" s="150"/>
      <c r="S52" s="150"/>
      <c r="T52" s="150"/>
    </row>
    <row r="53" spans="1:20" s="4" customFormat="1" ht="24" customHeight="1" x14ac:dyDescent="0.4">
      <c r="A53" s="186"/>
      <c r="B53" s="187"/>
      <c r="C53" s="337"/>
      <c r="D53" s="404"/>
      <c r="E53" s="406"/>
      <c r="F53" s="406"/>
      <c r="G53" s="407"/>
      <c r="H53" s="404"/>
      <c r="I53" s="405"/>
      <c r="J53" s="187"/>
      <c r="K53" s="187"/>
      <c r="L53" s="282"/>
      <c r="M53" s="41"/>
      <c r="N53" s="169">
        <f>IF($L$53=" ",SUMIF($A$10:$A$40,A53,$N$10:$N$40),$K$41*$L$53)</f>
        <v>0</v>
      </c>
      <c r="O53" s="150"/>
      <c r="P53" s="150"/>
      <c r="Q53" s="150"/>
      <c r="R53" s="150"/>
      <c r="S53" s="150"/>
      <c r="T53" s="150"/>
    </row>
    <row r="54" spans="1:20" s="4" customFormat="1" ht="24" customHeight="1" x14ac:dyDescent="0.4">
      <c r="A54" s="339"/>
      <c r="B54" s="187"/>
      <c r="C54" s="187"/>
      <c r="D54" s="404"/>
      <c r="E54" s="406"/>
      <c r="F54" s="406"/>
      <c r="G54" s="407"/>
      <c r="H54" s="404"/>
      <c r="I54" s="406"/>
      <c r="J54" s="187"/>
      <c r="K54" s="187"/>
      <c r="L54" s="368"/>
      <c r="M54" s="41"/>
      <c r="N54" s="347">
        <f>IF($L$54=" ",SUMIF($A$10:$A$40,A54,$N$10:$N$40),$K$41*$L$54)</f>
        <v>0</v>
      </c>
      <c r="O54" s="150"/>
      <c r="P54" s="150"/>
      <c r="Q54" s="150"/>
      <c r="R54" s="150"/>
      <c r="S54" s="150"/>
      <c r="T54" s="150"/>
    </row>
    <row r="55" spans="1:20" s="4" customFormat="1" ht="24" customHeight="1" x14ac:dyDescent="0.4">
      <c r="A55" s="246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356">
        <f>SUM(L49:L54)</f>
        <v>0</v>
      </c>
      <c r="M55" s="352" t="s">
        <v>75</v>
      </c>
      <c r="N55" s="128">
        <f>SUM(N49:N54)</f>
        <v>0</v>
      </c>
      <c r="O55" s="150"/>
      <c r="P55" s="150"/>
      <c r="Q55" s="150"/>
      <c r="R55" s="150"/>
      <c r="S55" s="150"/>
      <c r="T55" s="150"/>
    </row>
    <row r="56" spans="1:20" ht="18.75" customHeight="1" x14ac:dyDescent="0.35">
      <c r="A56" s="247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spans="1:20" s="7" customFormat="1" ht="21" hidden="1" customHeight="1" ph="1" x14ac:dyDescent="0.4">
      <c r="A57" s="2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53"/>
      <c r="P57" s="153"/>
      <c r="Q57" s="153"/>
      <c r="R57" s="153"/>
      <c r="S57" s="153"/>
      <c r="T57" s="153"/>
    </row>
    <row r="58" spans="1:20" s="6" customFormat="1" ht="21" hidden="1" customHeight="1" x14ac:dyDescent="0.4">
      <c r="A58" s="7"/>
      <c r="O58" s="152"/>
      <c r="P58" s="152"/>
      <c r="Q58" s="152"/>
      <c r="R58" s="152"/>
      <c r="S58" s="152"/>
      <c r="T58" s="152"/>
    </row>
    <row r="59" spans="1:20" s="4" customFormat="1" ht="21" hidden="1" customHeight="1" ph="1" x14ac:dyDescent="0.3">
      <c r="A59" s="6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50"/>
      <c r="P59" s="150"/>
      <c r="Q59" s="150"/>
      <c r="R59" s="150"/>
      <c r="S59" s="150"/>
      <c r="T59" s="150"/>
    </row>
    <row r="60" spans="1:20" s="4" customFormat="1" ht="21" hidden="1" customHeight="1" x14ac:dyDescent="0.3">
      <c r="O60" s="150"/>
      <c r="P60" s="150"/>
      <c r="Q60" s="150"/>
      <c r="R60" s="150"/>
      <c r="S60" s="150"/>
      <c r="T60" s="150"/>
    </row>
    <row r="61" spans="1:20" s="4" customFormat="1" ht="21" hidden="1" customHeight="1" x14ac:dyDescent="0.3"/>
    <row r="62" spans="1:20" s="4" customFormat="1" ht="21" hidden="1" customHeight="1" x14ac:dyDescent="0.3"/>
    <row r="63" spans="1:20" s="4" customFormat="1" ht="21" hidden="1" customHeight="1" x14ac:dyDescent="0.3"/>
    <row r="64" spans="1:20" s="4" customFormat="1" ht="21" hidden="1" customHeight="1" x14ac:dyDescent="0.3"/>
    <row r="65" s="4" customFormat="1" ht="21" hidden="1" customHeight="1" x14ac:dyDescent="0.3"/>
    <row r="66" s="4" customFormat="1" ht="21" hidden="1" customHeight="1" x14ac:dyDescent="0.3"/>
    <row r="67" s="4" customFormat="1" ht="21" hidden="1" customHeight="1" x14ac:dyDescent="0.3"/>
    <row r="68" s="4" customFormat="1" ht="21" hidden="1" customHeight="1" x14ac:dyDescent="0.3"/>
    <row r="69" s="4" customFormat="1" ht="21" hidden="1" customHeight="1" x14ac:dyDescent="0.3"/>
    <row r="70" s="2" customFormat="1" ht="21" hidden="1" customHeight="1" x14ac:dyDescent="0.35"/>
    <row r="71" s="8" customFormat="1" ht="21" hidden="1" customHeight="1" x14ac:dyDescent="0.45"/>
    <row r="72" s="6" customFormat="1" ht="21" hidden="1" customHeight="1" x14ac:dyDescent="0.3"/>
    <row r="73" s="4" customFormat="1" ht="21" hidden="1" customHeight="1" x14ac:dyDescent="0.3"/>
    <row r="74" s="4" customFormat="1" ht="21" hidden="1" customHeight="1" x14ac:dyDescent="0.3"/>
    <row r="75" s="4" customFormat="1" ht="21" hidden="1" customHeight="1" x14ac:dyDescent="0.3"/>
    <row r="76" s="4" customFormat="1" ht="21" hidden="1" customHeight="1" x14ac:dyDescent="0.3"/>
    <row r="77" s="4" customFormat="1" ht="21" hidden="1" customHeight="1" x14ac:dyDescent="0.3"/>
    <row r="78" s="4" customFormat="1" ht="21" hidden="1" customHeight="1" x14ac:dyDescent="0.3"/>
    <row r="79" s="4" customFormat="1" ht="21" hidden="1" customHeight="1" x14ac:dyDescent="0.3"/>
    <row r="80" s="4" customFormat="1" ht="21" hidden="1" customHeight="1" x14ac:dyDescent="0.3"/>
    <row r="81" s="4" customFormat="1" ht="21" hidden="1" customHeight="1" x14ac:dyDescent="0.3"/>
    <row r="82" s="4" customFormat="1" ht="21" hidden="1" customHeight="1" x14ac:dyDescent="0.3"/>
    <row r="83" s="4" customFormat="1" ht="21" hidden="1" customHeight="1" x14ac:dyDescent="0.3"/>
    <row r="84" s="4" customFormat="1" ht="21" hidden="1" customHeight="1" x14ac:dyDescent="0.3"/>
    <row r="85" s="2" customFormat="1" ht="21" hidden="1" customHeight="1" x14ac:dyDescent="0.35"/>
    <row r="86" s="2" customFormat="1" ht="21" hidden="1" customHeight="1" x14ac:dyDescent="0.35"/>
    <row r="87" s="2" customFormat="1" ht="21" hidden="1" customHeight="1" x14ac:dyDescent="0.35"/>
    <row r="88" s="2" customFormat="1" ht="21" hidden="1" customHeight="1" x14ac:dyDescent="0.35"/>
    <row r="89" s="2" customFormat="1" ht="21" hidden="1" customHeight="1" x14ac:dyDescent="0.35"/>
    <row r="90" s="2" customFormat="1" ht="21" hidden="1" customHeight="1" x14ac:dyDescent="0.35"/>
    <row r="91" s="2" customFormat="1" ht="21" hidden="1" customHeight="1" x14ac:dyDescent="0.35"/>
    <row r="92" s="2" customFormat="1" ht="21" hidden="1" customHeight="1" x14ac:dyDescent="0.35"/>
    <row r="93" s="2" customFormat="1" ht="21" hidden="1" customHeight="1" x14ac:dyDescent="0.35"/>
    <row r="94" s="2" customFormat="1" ht="21" hidden="1" customHeight="1" x14ac:dyDescent="0.35"/>
    <row r="95" s="7" customFormat="1" ht="21" hidden="1" customHeight="1" x14ac:dyDescent="0.4"/>
    <row r="96" s="4" customFormat="1" ht="21" hidden="1" customHeight="1" x14ac:dyDescent="0.3"/>
    <row r="97" s="4" customFormat="1" ht="21" hidden="1" customHeight="1" x14ac:dyDescent="0.3"/>
    <row r="98" s="4" customFormat="1" ht="21" hidden="1" customHeight="1" x14ac:dyDescent="0.3"/>
    <row r="99" s="4" customFormat="1" ht="21" hidden="1" customHeight="1" x14ac:dyDescent="0.3"/>
    <row r="100" s="4" customFormat="1" ht="21" hidden="1" customHeight="1" x14ac:dyDescent="0.3"/>
    <row r="101" s="4" customFormat="1" ht="21" hidden="1" customHeight="1" x14ac:dyDescent="0.3"/>
    <row r="102" s="4" customFormat="1" ht="21" hidden="1" customHeight="1" x14ac:dyDescent="0.3"/>
    <row r="103" s="4" customFormat="1" ht="21" hidden="1" customHeight="1" x14ac:dyDescent="0.3"/>
    <row r="104" s="4" customFormat="1" ht="21" hidden="1" customHeight="1" x14ac:dyDescent="0.3"/>
    <row r="105" s="4" customFormat="1" ht="21" hidden="1" customHeight="1" x14ac:dyDescent="0.3"/>
    <row r="106" s="4" customFormat="1" ht="21" hidden="1" customHeight="1" x14ac:dyDescent="0.3"/>
    <row r="107" s="4" customFormat="1" ht="21" hidden="1" customHeight="1" x14ac:dyDescent="0.3"/>
    <row r="108" s="4" customFormat="1" ht="21" hidden="1" customHeight="1" x14ac:dyDescent="0.3"/>
    <row r="109" s="4" customFormat="1" ht="21" hidden="1" customHeight="1" x14ac:dyDescent="0.3"/>
    <row r="110" s="4" customFormat="1" ht="21" hidden="1" customHeight="1" x14ac:dyDescent="0.3"/>
    <row r="111" s="4" customFormat="1" ht="21" hidden="1" customHeight="1" x14ac:dyDescent="0.3"/>
    <row r="112" s="4" customFormat="1" ht="21" hidden="1" customHeight="1" x14ac:dyDescent="0.3"/>
    <row r="113" spans="2:14" s="4" customFormat="1" ht="21" hidden="1" customHeight="1" x14ac:dyDescent="0.3"/>
    <row r="114" spans="2:14" s="4" customFormat="1" ht="21" hidden="1" customHeight="1" x14ac:dyDescent="0.3"/>
    <row r="115" spans="2:14" s="4" customFormat="1" ht="21" hidden="1" customHeight="1" x14ac:dyDescent="0.3"/>
    <row r="116" spans="2:14" s="4" customFormat="1" ht="21" hidden="1" customHeight="1" x14ac:dyDescent="0.3"/>
    <row r="117" spans="2:14" s="4" customFormat="1" ht="21" hidden="1" customHeight="1" x14ac:dyDescent="0.3"/>
    <row r="118" spans="2:14" s="4" customFormat="1" ht="21" hidden="1" customHeight="1" x14ac:dyDescent="0.3"/>
    <row r="119" spans="2:14" s="4" customFormat="1" ht="21" hidden="1" customHeight="1" x14ac:dyDescent="0.3"/>
    <row r="120" spans="2:14" s="4" customFormat="1" ht="21" hidden="1" customHeight="1" x14ac:dyDescent="0.3"/>
    <row r="121" spans="2:14" s="4" customFormat="1" ht="21" hidden="1" customHeight="1" ph="1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2:14" s="4" customFormat="1" ht="21" hidden="1" customHeight="1" x14ac:dyDescent="0.3"/>
    <row r="123" spans="2:14" s="4" customFormat="1" ht="21" hidden="1" customHeight="1" ph="1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2:14" s="4" customFormat="1" ht="21" hidden="1" customHeight="1" x14ac:dyDescent="0.3"/>
    <row r="125" spans="2:14" s="4" customFormat="1" ht="21" hidden="1" customHeight="1" x14ac:dyDescent="0.3"/>
    <row r="126" spans="2:14" s="4" customFormat="1" ht="21" hidden="1" customHeight="1" x14ac:dyDescent="0.3"/>
    <row r="127" spans="2:14" s="4" customFormat="1" ht="21" hidden="1" customHeight="1" x14ac:dyDescent="0.3"/>
    <row r="128" spans="2:14" s="4" customFormat="1" ht="21" hidden="1" customHeight="1" x14ac:dyDescent="0.3"/>
    <row r="129" s="4" customFormat="1" ht="21" hidden="1" customHeight="1" x14ac:dyDescent="0.3"/>
    <row r="130" s="4" customFormat="1" ht="21" hidden="1" customHeight="1" x14ac:dyDescent="0.3"/>
    <row r="131" s="4" customFormat="1" ht="21" hidden="1" customHeight="1" x14ac:dyDescent="0.3"/>
    <row r="132" s="4" customFormat="1" ht="21" hidden="1" customHeight="1" x14ac:dyDescent="0.3"/>
    <row r="133" s="4" customFormat="1" ht="21" hidden="1" customHeight="1" x14ac:dyDescent="0.3"/>
    <row r="134" s="4" customFormat="1" ht="21" hidden="1" customHeight="1" x14ac:dyDescent="0.3"/>
    <row r="135" s="4" customFormat="1" ht="21" hidden="1" customHeight="1" x14ac:dyDescent="0.3"/>
    <row r="136" s="4" customFormat="1" ht="21" hidden="1" customHeight="1" x14ac:dyDescent="0.3"/>
    <row r="137" s="4" customFormat="1" ht="21" hidden="1" customHeight="1" x14ac:dyDescent="0.3"/>
    <row r="138" s="2" customFormat="1" ht="21" hidden="1" customHeight="1" x14ac:dyDescent="0.35"/>
    <row r="139" s="2" customFormat="1" ht="21" hidden="1" customHeight="1" x14ac:dyDescent="0.35"/>
    <row r="140" s="2" customFormat="1" ht="21" hidden="1" customHeight="1" x14ac:dyDescent="0.35"/>
    <row r="141" s="2" customFormat="1" ht="21" hidden="1" customHeight="1" x14ac:dyDescent="0.35"/>
    <row r="142" s="2" customFormat="1" ht="21" hidden="1" customHeight="1" x14ac:dyDescent="0.35"/>
    <row r="143" s="2" customFormat="1" ht="21" hidden="1" customHeight="1" x14ac:dyDescent="0.35"/>
    <row r="144" s="2" customFormat="1" ht="21" hidden="1" customHeight="1" x14ac:dyDescent="0.35"/>
    <row r="145" s="2" customFormat="1" ht="21" hidden="1" customHeight="1" x14ac:dyDescent="0.35"/>
    <row r="146" s="2" customFormat="1" ht="21" hidden="1" customHeight="1" x14ac:dyDescent="0.35"/>
    <row r="147" s="2" customFormat="1" ht="21" hidden="1" customHeight="1" x14ac:dyDescent="0.35"/>
    <row r="148" s="2" customFormat="1" ht="21" hidden="1" customHeight="1" x14ac:dyDescent="0.35"/>
    <row r="149" s="2" customFormat="1" ht="21" hidden="1" customHeight="1" x14ac:dyDescent="0.35"/>
    <row r="150" s="2" customFormat="1" ht="21" hidden="1" customHeight="1" x14ac:dyDescent="0.35"/>
    <row r="151" s="2" customFormat="1" ht="21" hidden="1" customHeight="1" x14ac:dyDescent="0.35"/>
    <row r="152" s="2" customFormat="1" ht="21" hidden="1" customHeight="1" x14ac:dyDescent="0.35"/>
    <row r="153" s="2" customFormat="1" ht="21" hidden="1" customHeight="1" x14ac:dyDescent="0.35"/>
    <row r="154" s="2" customFormat="1" ht="21" hidden="1" customHeight="1" x14ac:dyDescent="0.35"/>
    <row r="155" s="2" customFormat="1" ht="21" hidden="1" customHeight="1" x14ac:dyDescent="0.35"/>
    <row r="156" s="2" customFormat="1" ht="21" hidden="1" customHeight="1" x14ac:dyDescent="0.35"/>
    <row r="157" s="2" customFormat="1" ht="21" hidden="1" customHeight="1" x14ac:dyDescent="0.35"/>
    <row r="158" s="2" customFormat="1" ht="21" hidden="1" customHeight="1" x14ac:dyDescent="0.35"/>
    <row r="159" s="2" customFormat="1" ht="21" hidden="1" customHeight="1" x14ac:dyDescent="0.35"/>
    <row r="160" s="2" customFormat="1" ht="21" hidden="1" customHeight="1" x14ac:dyDescent="0.35"/>
    <row r="161" s="2" customFormat="1" ht="21" hidden="1" customHeight="1" x14ac:dyDescent="0.35"/>
    <row r="162" s="2" customFormat="1" ht="21" hidden="1" customHeight="1" x14ac:dyDescent="0.35"/>
    <row r="163" s="2" customFormat="1" ht="21" hidden="1" customHeight="1" x14ac:dyDescent="0.35"/>
    <row r="164" s="2" customFormat="1" ht="21" hidden="1" customHeight="1" x14ac:dyDescent="0.35"/>
    <row r="165" s="2" customFormat="1" ht="21" hidden="1" customHeight="1" x14ac:dyDescent="0.35"/>
    <row r="166" s="2" customFormat="1" ht="21" hidden="1" customHeight="1" x14ac:dyDescent="0.35"/>
    <row r="167" s="2" customFormat="1" ht="21" hidden="1" customHeight="1" x14ac:dyDescent="0.35"/>
    <row r="168" s="2" customFormat="1" ht="21" hidden="1" customHeight="1" x14ac:dyDescent="0.35"/>
    <row r="169" s="2" customFormat="1" ht="21" hidden="1" customHeight="1" x14ac:dyDescent="0.35"/>
    <row r="170" s="2" customFormat="1" ht="21" hidden="1" customHeight="1" x14ac:dyDescent="0.35"/>
    <row r="171" s="2" customFormat="1" ht="21" hidden="1" customHeight="1" x14ac:dyDescent="0.35"/>
    <row r="172" s="2" customFormat="1" ht="21" hidden="1" customHeight="1" x14ac:dyDescent="0.35"/>
    <row r="173" s="2" customFormat="1" ht="21" hidden="1" customHeight="1" x14ac:dyDescent="0.35"/>
    <row r="174" s="2" customFormat="1" ht="21" hidden="1" customHeight="1" x14ac:dyDescent="0.35"/>
    <row r="175" s="2" customFormat="1" ht="21" hidden="1" customHeight="1" x14ac:dyDescent="0.35"/>
    <row r="176" s="2" customFormat="1" ht="21" hidden="1" customHeight="1" x14ac:dyDescent="0.35"/>
    <row r="177" s="2" customFormat="1" ht="21" hidden="1" customHeight="1" x14ac:dyDescent="0.35"/>
    <row r="178" s="2" customFormat="1" ht="21" hidden="1" customHeight="1" x14ac:dyDescent="0.35"/>
    <row r="179" s="2" customFormat="1" ht="21" hidden="1" customHeight="1" x14ac:dyDescent="0.35"/>
    <row r="180" s="2" customFormat="1" ht="21" hidden="1" customHeight="1" x14ac:dyDescent="0.35"/>
    <row r="181" s="2" customFormat="1" ht="21" hidden="1" customHeight="1" x14ac:dyDescent="0.35"/>
  </sheetData>
  <sheetProtection password="BA39" sheet="1" objects="1" scenarios="1"/>
  <mergeCells count="14">
    <mergeCell ref="D54:G54"/>
    <mergeCell ref="H54:I54"/>
    <mergeCell ref="D52:G52"/>
    <mergeCell ref="H52:I52"/>
    <mergeCell ref="D53:G53"/>
    <mergeCell ref="H53:I53"/>
    <mergeCell ref="D50:G50"/>
    <mergeCell ref="H50:I50"/>
    <mergeCell ref="D51:G51"/>
    <mergeCell ref="H51:I51"/>
    <mergeCell ref="E48:F48"/>
    <mergeCell ref="H48:I48"/>
    <mergeCell ref="D49:G49"/>
    <mergeCell ref="H49:I49"/>
  </mergeCells>
  <phoneticPr fontId="59" type="noConversion"/>
  <pageMargins left="0.36" right="0.2" top="0.25" bottom="0.16" header="0.5" footer="0.5"/>
  <pageSetup scale="61" orientation="portrait" blackAndWhite="1" horizontalDpi="4294967292" verticalDpi="300" r:id="rId1"/>
  <headerFooter alignWithMargins="0"/>
  <colBreaks count="1" manualBreakCount="1">
    <brk id="14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79F9-3752-4674-91D6-27321BB5F9D9}">
  <sheetPr transitionEvaluation="1">
    <pageSetUpPr fitToPage="1"/>
  </sheetPr>
  <dimension ref="A1:T154"/>
  <sheetViews>
    <sheetView showGridLines="0" showZeros="0" topLeftCell="A52" zoomScale="80" workbookViewId="0">
      <selection activeCell="A10" sqref="A10"/>
    </sheetView>
  </sheetViews>
  <sheetFormatPr defaultColWidth="0" defaultRowHeight="15.4" zeroHeight="1" x14ac:dyDescent="0.45"/>
  <cols>
    <col min="1" max="1" width="5.73046875" style="11" customWidth="1"/>
    <col min="2" max="2" width="11" style="10" customWidth="1"/>
    <col min="3" max="3" width="8" style="10" customWidth="1"/>
    <col min="4" max="4" width="5" style="10" customWidth="1"/>
    <col min="5" max="5" width="9.265625" style="10" customWidth="1"/>
    <col min="6" max="6" width="11.1328125" style="10" customWidth="1"/>
    <col min="7" max="7" width="10.3984375" style="10" customWidth="1"/>
    <col min="8" max="8" width="12.3984375" style="10" customWidth="1"/>
    <col min="9" max="9" width="13.59765625" style="10" customWidth="1"/>
    <col min="10" max="10" width="12.59765625" style="10" customWidth="1"/>
    <col min="11" max="11" width="12.73046875" style="10" customWidth="1"/>
    <col min="12" max="12" width="10" style="10" customWidth="1"/>
    <col min="13" max="13" width="10.86328125" style="10" customWidth="1"/>
    <col min="14" max="14" width="9.3984375" style="10" customWidth="1"/>
    <col min="15" max="15" width="20.59765625" style="10" customWidth="1"/>
    <col min="16" max="16" width="18.86328125" style="11" hidden="1" customWidth="1"/>
    <col min="17" max="16384" width="0" style="11" hidden="1"/>
  </cols>
  <sheetData>
    <row r="1" spans="1:20" ht="20.25" customHeight="1" x14ac:dyDescent="0.5">
      <c r="A1" s="197" t="s">
        <v>62</v>
      </c>
      <c r="B1" s="222"/>
      <c r="C1" s="222"/>
      <c r="D1" s="222"/>
      <c r="E1" s="222"/>
      <c r="F1" s="223"/>
      <c r="G1" s="71"/>
      <c r="H1" s="72"/>
      <c r="I1" s="216"/>
      <c r="J1" s="72"/>
      <c r="K1" s="117"/>
      <c r="L1" s="117"/>
      <c r="M1" s="118"/>
      <c r="N1" s="117"/>
      <c r="O1" s="117"/>
      <c r="P1" s="78"/>
      <c r="Q1" s="78"/>
      <c r="R1" s="78"/>
      <c r="S1" s="78"/>
      <c r="T1" s="78"/>
    </row>
    <row r="2" spans="1:20" ht="20.25" customHeight="1" x14ac:dyDescent="0.6">
      <c r="A2" s="198" t="s">
        <v>95</v>
      </c>
      <c r="B2" s="222"/>
      <c r="C2" s="222"/>
      <c r="D2" s="222"/>
      <c r="E2" s="222"/>
      <c r="F2" s="224"/>
      <c r="G2" s="75"/>
      <c r="H2" s="329"/>
      <c r="I2" s="72"/>
      <c r="J2" s="72"/>
      <c r="K2" s="117"/>
      <c r="L2" s="119"/>
      <c r="M2" s="266" t="s">
        <v>64</v>
      </c>
      <c r="N2" s="267" t="str">
        <f>IF((VALUE('Short Form'!M62)&lt;&gt;0),1+VALUE('Short Form'!H62)+VALUE('Short Form'!I62)+VALUE('Short Form'!J62)+VALUE('Short Form'!K62)+VALUE('Short Form'!L62)+VALUE('Short Form'!M62),"")</f>
        <v/>
      </c>
      <c r="O2" s="268" t="str">
        <f>IF((N2=0),"",'Short Form'!$N3)</f>
        <v/>
      </c>
      <c r="P2" s="78"/>
      <c r="Q2" s="78"/>
      <c r="R2" s="78"/>
      <c r="S2" s="78"/>
      <c r="T2" s="78"/>
    </row>
    <row r="3" spans="1:20" ht="9" customHeight="1" x14ac:dyDescent="0.4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8"/>
      <c r="P3" s="78"/>
      <c r="Q3" s="78"/>
      <c r="R3" s="78"/>
      <c r="S3" s="78"/>
      <c r="T3" s="78"/>
    </row>
    <row r="4" spans="1:20" ht="14.25" customHeight="1" x14ac:dyDescent="0.45">
      <c r="A4" s="33" t="s">
        <v>8</v>
      </c>
      <c r="B4" s="236"/>
      <c r="C4" s="27"/>
      <c r="D4" s="236"/>
      <c r="E4" s="237" t="s">
        <v>9</v>
      </c>
      <c r="F4" s="236"/>
      <c r="G4" s="236"/>
      <c r="H4" s="81" t="s">
        <v>10</v>
      </c>
      <c r="I4" s="80"/>
      <c r="J4" s="79"/>
      <c r="K4" s="35" t="s">
        <v>103</v>
      </c>
      <c r="L4" s="82"/>
      <c r="M4" s="82"/>
      <c r="N4" s="82"/>
      <c r="O4" s="83"/>
      <c r="P4" s="78"/>
      <c r="Q4" s="78"/>
      <c r="R4" s="78"/>
      <c r="S4" s="78"/>
      <c r="T4" s="78"/>
    </row>
    <row r="5" spans="1:20" s="12" customFormat="1" ht="15.75" customHeight="1" x14ac:dyDescent="0.4">
      <c r="A5" s="245">
        <f>'Short Form'!A6</f>
        <v>0</v>
      </c>
      <c r="B5" s="121"/>
      <c r="C5" s="121"/>
      <c r="D5" s="121"/>
      <c r="E5" s="252">
        <f>'Short Form'!E6</f>
        <v>0</v>
      </c>
      <c r="F5" s="172"/>
      <c r="G5" s="121"/>
      <c r="H5" s="178">
        <f>'Short Form'!H6</f>
        <v>0</v>
      </c>
      <c r="I5" s="177"/>
      <c r="J5" s="179"/>
      <c r="K5" s="116">
        <f>'Short Form'!K6</f>
        <v>0</v>
      </c>
      <c r="L5" s="113"/>
      <c r="M5" s="113"/>
      <c r="N5" s="17"/>
      <c r="O5" s="18"/>
      <c r="P5" s="170"/>
      <c r="Q5" s="163"/>
      <c r="R5" s="163"/>
      <c r="S5" s="163"/>
      <c r="T5" s="163"/>
    </row>
    <row r="6" spans="1:20" s="12" customFormat="1" ht="4.5" customHeight="1" x14ac:dyDescent="0.45">
      <c r="A6" s="84"/>
      <c r="B6" s="84"/>
      <c r="C6" s="76"/>
      <c r="D6" s="85"/>
      <c r="E6" s="76"/>
      <c r="F6" s="76"/>
      <c r="G6" s="86"/>
      <c r="H6" s="76"/>
      <c r="I6" s="76"/>
      <c r="J6" s="87"/>
      <c r="K6" s="88"/>
      <c r="L6" s="76"/>
      <c r="M6" s="76"/>
      <c r="N6" s="76"/>
      <c r="O6" s="85"/>
      <c r="P6" s="163"/>
      <c r="Q6" s="163"/>
      <c r="R6" s="163"/>
      <c r="S6" s="163"/>
      <c r="T6" s="163"/>
    </row>
    <row r="7" spans="1:20" ht="15" customHeight="1" x14ac:dyDescent="0.45">
      <c r="A7" s="193" t="s">
        <v>92</v>
      </c>
      <c r="B7" s="225"/>
      <c r="C7" s="225"/>
      <c r="D7" s="218"/>
      <c r="E7" s="226"/>
      <c r="F7" s="226"/>
      <c r="G7" s="227"/>
      <c r="H7" s="120"/>
      <c r="I7" s="120"/>
      <c r="J7" s="120"/>
      <c r="K7" s="89"/>
      <c r="L7" s="89"/>
      <c r="M7" s="70"/>
      <c r="N7" s="70"/>
      <c r="O7" s="78"/>
      <c r="P7" s="78"/>
      <c r="Q7" s="78"/>
      <c r="R7" s="78"/>
      <c r="S7" s="78"/>
      <c r="T7" s="78"/>
    </row>
    <row r="8" spans="1:20" ht="15" customHeight="1" x14ac:dyDescent="0.45">
      <c r="A8" s="203" t="s">
        <v>67</v>
      </c>
      <c r="B8" s="200"/>
      <c r="C8" s="205"/>
      <c r="D8" s="200"/>
      <c r="E8" s="205"/>
      <c r="F8" s="206"/>
      <c r="G8" s="207"/>
      <c r="H8" s="90"/>
      <c r="I8" s="89"/>
      <c r="J8" s="89"/>
      <c r="K8" s="89"/>
      <c r="L8" s="89"/>
      <c r="M8" s="91"/>
      <c r="N8" s="91"/>
      <c r="O8" s="78"/>
      <c r="P8" s="78"/>
      <c r="Q8" s="78"/>
      <c r="R8" s="78"/>
      <c r="S8" s="78"/>
      <c r="T8" s="78"/>
    </row>
    <row r="9" spans="1:20" ht="15.75" customHeight="1" x14ac:dyDescent="0.45">
      <c r="A9" s="297" t="s">
        <v>68</v>
      </c>
      <c r="B9" s="297" t="s">
        <v>13</v>
      </c>
      <c r="C9" s="298"/>
      <c r="D9" s="298"/>
      <c r="E9" s="298" t="s">
        <v>15</v>
      </c>
      <c r="F9" s="298"/>
      <c r="G9" s="298"/>
      <c r="H9" s="298"/>
      <c r="I9" s="298"/>
      <c r="J9" s="298"/>
      <c r="K9" s="298"/>
      <c r="L9" s="298"/>
      <c r="M9" s="297" t="s">
        <v>71</v>
      </c>
      <c r="N9" s="297" t="s">
        <v>18</v>
      </c>
      <c r="O9" s="296" t="s">
        <v>72</v>
      </c>
      <c r="P9" s="78"/>
      <c r="Q9" s="78"/>
      <c r="R9" s="78"/>
      <c r="S9" s="78"/>
      <c r="T9" s="78"/>
    </row>
    <row r="10" spans="1:20" s="13" customFormat="1" ht="24" customHeight="1" x14ac:dyDescent="0.4">
      <c r="A10" s="186"/>
      <c r="B10" s="148"/>
      <c r="C10" s="124"/>
      <c r="D10" s="166"/>
      <c r="E10" s="166"/>
      <c r="F10" s="166"/>
      <c r="G10" s="167"/>
      <c r="H10" s="166"/>
      <c r="I10" s="168"/>
      <c r="J10" s="166"/>
      <c r="K10" s="166"/>
      <c r="L10" s="166"/>
      <c r="M10" s="244"/>
      <c r="N10" s="256"/>
      <c r="O10" s="188">
        <f t="shared" ref="O10:O25" si="0">IF(N10=" ",M10*1,M10*N10)</f>
        <v>0</v>
      </c>
      <c r="P10" s="91"/>
      <c r="Q10" s="91"/>
      <c r="R10" s="91"/>
      <c r="S10" s="91"/>
      <c r="T10" s="91"/>
    </row>
    <row r="11" spans="1:20" s="13" customFormat="1" ht="24" customHeight="1" x14ac:dyDescent="0.4">
      <c r="A11" s="186"/>
      <c r="B11" s="148"/>
      <c r="C11" s="124"/>
      <c r="D11" s="166"/>
      <c r="E11" s="166"/>
      <c r="F11" s="166"/>
      <c r="G11" s="167"/>
      <c r="H11" s="166"/>
      <c r="I11" s="166"/>
      <c r="J11" s="166"/>
      <c r="K11" s="166"/>
      <c r="L11" s="166"/>
      <c r="M11" s="244"/>
      <c r="N11" s="256"/>
      <c r="O11" s="188">
        <f t="shared" si="0"/>
        <v>0</v>
      </c>
      <c r="P11" s="91"/>
      <c r="Q11" s="91"/>
      <c r="R11" s="91"/>
      <c r="S11" s="91"/>
      <c r="T11" s="91"/>
    </row>
    <row r="12" spans="1:20" s="13" customFormat="1" ht="24" customHeight="1" x14ac:dyDescent="0.4">
      <c r="A12" s="186"/>
      <c r="B12" s="148"/>
      <c r="C12" s="124"/>
      <c r="D12" s="166"/>
      <c r="E12" s="166"/>
      <c r="F12" s="166"/>
      <c r="G12" s="167"/>
      <c r="H12" s="166"/>
      <c r="I12" s="166"/>
      <c r="J12" s="166"/>
      <c r="K12" s="166"/>
      <c r="L12" s="166"/>
      <c r="M12" s="244"/>
      <c r="N12" s="256"/>
      <c r="O12" s="188">
        <f t="shared" si="0"/>
        <v>0</v>
      </c>
      <c r="P12" s="91"/>
      <c r="Q12" s="91"/>
      <c r="R12" s="91"/>
      <c r="S12" s="91"/>
      <c r="T12" s="91"/>
    </row>
    <row r="13" spans="1:20" s="13" customFormat="1" ht="24" customHeight="1" x14ac:dyDescent="0.4">
      <c r="A13" s="186"/>
      <c r="B13" s="148"/>
      <c r="C13" s="124"/>
      <c r="D13" s="166"/>
      <c r="E13" s="166"/>
      <c r="F13" s="166"/>
      <c r="G13" s="167"/>
      <c r="H13" s="166"/>
      <c r="I13" s="166"/>
      <c r="J13" s="166"/>
      <c r="K13" s="166"/>
      <c r="L13" s="166"/>
      <c r="M13" s="244"/>
      <c r="N13" s="256"/>
      <c r="O13" s="188">
        <f t="shared" si="0"/>
        <v>0</v>
      </c>
      <c r="P13" s="91"/>
      <c r="Q13" s="91"/>
      <c r="R13" s="91"/>
      <c r="S13" s="91"/>
      <c r="T13" s="91"/>
    </row>
    <row r="14" spans="1:20" s="13" customFormat="1" ht="24" customHeight="1" x14ac:dyDescent="0.4">
      <c r="A14" s="186"/>
      <c r="B14" s="148"/>
      <c r="C14" s="124"/>
      <c r="D14" s="166"/>
      <c r="E14" s="166"/>
      <c r="F14" s="166"/>
      <c r="G14" s="167"/>
      <c r="H14" s="166"/>
      <c r="I14" s="166"/>
      <c r="J14" s="166"/>
      <c r="K14" s="166"/>
      <c r="L14" s="166"/>
      <c r="M14" s="244"/>
      <c r="N14" s="256"/>
      <c r="O14" s="188">
        <f t="shared" si="0"/>
        <v>0</v>
      </c>
      <c r="P14" s="91"/>
      <c r="Q14" s="91"/>
      <c r="R14" s="91"/>
      <c r="S14" s="91"/>
      <c r="T14" s="91"/>
    </row>
    <row r="15" spans="1:20" s="13" customFormat="1" ht="24" customHeight="1" x14ac:dyDescent="0.4">
      <c r="A15" s="186"/>
      <c r="B15" s="148"/>
      <c r="C15" s="124"/>
      <c r="D15" s="166"/>
      <c r="E15" s="166"/>
      <c r="F15" s="166"/>
      <c r="G15" s="167"/>
      <c r="H15" s="166"/>
      <c r="I15" s="166"/>
      <c r="J15" s="166"/>
      <c r="K15" s="166"/>
      <c r="L15" s="166"/>
      <c r="M15" s="244"/>
      <c r="N15" s="256"/>
      <c r="O15" s="188">
        <f t="shared" si="0"/>
        <v>0</v>
      </c>
      <c r="P15" s="91"/>
      <c r="Q15" s="91"/>
      <c r="R15" s="91"/>
      <c r="S15" s="91"/>
      <c r="T15" s="91"/>
    </row>
    <row r="16" spans="1:20" s="13" customFormat="1" ht="24" customHeight="1" x14ac:dyDescent="0.4">
      <c r="A16" s="186"/>
      <c r="B16" s="148"/>
      <c r="C16" s="124"/>
      <c r="D16" s="166"/>
      <c r="E16" s="166"/>
      <c r="F16" s="166"/>
      <c r="G16" s="167"/>
      <c r="H16" s="166"/>
      <c r="I16" s="166"/>
      <c r="J16" s="166"/>
      <c r="K16" s="166"/>
      <c r="L16" s="166"/>
      <c r="M16" s="244"/>
      <c r="N16" s="256"/>
      <c r="O16" s="188">
        <f t="shared" si="0"/>
        <v>0</v>
      </c>
      <c r="P16" s="91"/>
      <c r="Q16" s="91"/>
      <c r="R16" s="91"/>
      <c r="S16" s="91"/>
      <c r="T16" s="91"/>
    </row>
    <row r="17" spans="1:20" s="13" customFormat="1" ht="24" customHeight="1" x14ac:dyDescent="0.4">
      <c r="A17" s="186"/>
      <c r="B17" s="148"/>
      <c r="C17" s="124"/>
      <c r="D17" s="166"/>
      <c r="E17" s="166"/>
      <c r="F17" s="166"/>
      <c r="G17" s="167"/>
      <c r="H17" s="166"/>
      <c r="I17" s="166"/>
      <c r="J17" s="166"/>
      <c r="K17" s="166"/>
      <c r="L17" s="166"/>
      <c r="M17" s="244"/>
      <c r="N17" s="256"/>
      <c r="O17" s="188">
        <f t="shared" si="0"/>
        <v>0</v>
      </c>
      <c r="P17" s="91"/>
      <c r="Q17" s="91"/>
      <c r="R17" s="91"/>
      <c r="S17" s="91"/>
      <c r="T17" s="91"/>
    </row>
    <row r="18" spans="1:20" s="13" customFormat="1" ht="24" customHeight="1" x14ac:dyDescent="0.4">
      <c r="A18" s="186"/>
      <c r="B18" s="148"/>
      <c r="C18" s="124"/>
      <c r="D18" s="166"/>
      <c r="E18" s="166"/>
      <c r="F18" s="166"/>
      <c r="G18" s="167"/>
      <c r="H18" s="166"/>
      <c r="I18" s="166"/>
      <c r="J18" s="166"/>
      <c r="K18" s="166"/>
      <c r="L18" s="166"/>
      <c r="M18" s="244"/>
      <c r="N18" s="256"/>
      <c r="O18" s="188">
        <f t="shared" si="0"/>
        <v>0</v>
      </c>
      <c r="P18" s="91"/>
      <c r="Q18" s="91"/>
      <c r="R18" s="91"/>
      <c r="S18" s="91"/>
      <c r="T18" s="91"/>
    </row>
    <row r="19" spans="1:20" s="13" customFormat="1" ht="24" customHeight="1" x14ac:dyDescent="0.4">
      <c r="A19" s="186"/>
      <c r="B19" s="148"/>
      <c r="C19" s="124"/>
      <c r="D19" s="166"/>
      <c r="E19" s="166"/>
      <c r="F19" s="166"/>
      <c r="G19" s="167"/>
      <c r="H19" s="166"/>
      <c r="I19" s="166"/>
      <c r="J19" s="166"/>
      <c r="K19" s="166"/>
      <c r="L19" s="166"/>
      <c r="M19" s="244"/>
      <c r="N19" s="256"/>
      <c r="O19" s="188">
        <f t="shared" si="0"/>
        <v>0</v>
      </c>
      <c r="P19" s="91"/>
      <c r="Q19" s="91"/>
      <c r="R19" s="91"/>
      <c r="S19" s="91"/>
      <c r="T19" s="91"/>
    </row>
    <row r="20" spans="1:20" s="13" customFormat="1" ht="24" customHeight="1" x14ac:dyDescent="0.4">
      <c r="A20" s="186"/>
      <c r="B20" s="148"/>
      <c r="C20" s="124"/>
      <c r="D20" s="166"/>
      <c r="E20" s="166"/>
      <c r="F20" s="166"/>
      <c r="G20" s="167"/>
      <c r="H20" s="166"/>
      <c r="I20" s="166"/>
      <c r="J20" s="166"/>
      <c r="K20" s="166"/>
      <c r="L20" s="166"/>
      <c r="M20" s="244"/>
      <c r="N20" s="256"/>
      <c r="O20" s="188">
        <f t="shared" si="0"/>
        <v>0</v>
      </c>
      <c r="P20" s="91"/>
      <c r="Q20" s="91"/>
      <c r="R20" s="91"/>
      <c r="S20" s="91"/>
      <c r="T20" s="91"/>
    </row>
    <row r="21" spans="1:20" s="13" customFormat="1" ht="24" customHeight="1" x14ac:dyDescent="0.4">
      <c r="A21" s="186"/>
      <c r="B21" s="148"/>
      <c r="C21" s="124"/>
      <c r="D21" s="166"/>
      <c r="E21" s="166"/>
      <c r="F21" s="166"/>
      <c r="G21" s="167"/>
      <c r="H21" s="166"/>
      <c r="I21" s="166"/>
      <c r="J21" s="166"/>
      <c r="K21" s="166"/>
      <c r="L21" s="166"/>
      <c r="M21" s="244"/>
      <c r="N21" s="256"/>
      <c r="O21" s="188">
        <f t="shared" si="0"/>
        <v>0</v>
      </c>
      <c r="P21" s="91"/>
      <c r="Q21" s="91"/>
      <c r="R21" s="91"/>
      <c r="S21" s="91"/>
      <c r="T21" s="91"/>
    </row>
    <row r="22" spans="1:20" s="13" customFormat="1" ht="24" customHeight="1" x14ac:dyDescent="0.4">
      <c r="A22" s="186"/>
      <c r="B22" s="148"/>
      <c r="C22" s="124"/>
      <c r="D22" s="166"/>
      <c r="E22" s="166"/>
      <c r="F22" s="166"/>
      <c r="G22" s="167"/>
      <c r="H22" s="166"/>
      <c r="I22" s="166"/>
      <c r="J22" s="166"/>
      <c r="K22" s="166"/>
      <c r="L22" s="166"/>
      <c r="M22" s="244"/>
      <c r="N22" s="256"/>
      <c r="O22" s="188">
        <f t="shared" si="0"/>
        <v>0</v>
      </c>
      <c r="P22" s="91"/>
      <c r="Q22" s="91"/>
      <c r="R22" s="91"/>
      <c r="S22" s="91"/>
      <c r="T22" s="91"/>
    </row>
    <row r="23" spans="1:20" s="13" customFormat="1" ht="24" customHeight="1" x14ac:dyDescent="0.4">
      <c r="A23" s="186"/>
      <c r="B23" s="148"/>
      <c r="C23" s="124"/>
      <c r="D23" s="166"/>
      <c r="E23" s="166"/>
      <c r="F23" s="166"/>
      <c r="G23" s="167"/>
      <c r="H23" s="166"/>
      <c r="I23" s="166"/>
      <c r="J23" s="166"/>
      <c r="K23" s="166"/>
      <c r="L23" s="166"/>
      <c r="M23" s="244"/>
      <c r="N23" s="256"/>
      <c r="O23" s="188">
        <f t="shared" si="0"/>
        <v>0</v>
      </c>
      <c r="P23" s="91"/>
      <c r="Q23" s="91"/>
      <c r="R23" s="91"/>
      <c r="S23" s="91"/>
      <c r="T23" s="91"/>
    </row>
    <row r="24" spans="1:20" s="13" customFormat="1" ht="24" customHeight="1" x14ac:dyDescent="0.4">
      <c r="A24" s="186"/>
      <c r="B24" s="148"/>
      <c r="C24" s="124"/>
      <c r="D24" s="166"/>
      <c r="E24" s="166"/>
      <c r="F24" s="166"/>
      <c r="G24" s="167"/>
      <c r="H24" s="166"/>
      <c r="I24" s="166"/>
      <c r="J24" s="166"/>
      <c r="K24" s="166"/>
      <c r="L24" s="166"/>
      <c r="M24" s="244"/>
      <c r="N24" s="256"/>
      <c r="O24" s="188">
        <f t="shared" si="0"/>
        <v>0</v>
      </c>
      <c r="P24" s="91"/>
      <c r="Q24" s="91"/>
      <c r="R24" s="91"/>
      <c r="S24" s="91"/>
      <c r="T24" s="91"/>
    </row>
    <row r="25" spans="1:20" s="13" customFormat="1" ht="24" customHeight="1" x14ac:dyDescent="0.4">
      <c r="A25" s="186"/>
      <c r="B25" s="148"/>
      <c r="C25" s="124"/>
      <c r="D25" s="166"/>
      <c r="E25" s="166"/>
      <c r="F25" s="166"/>
      <c r="G25" s="167"/>
      <c r="H25" s="166"/>
      <c r="I25" s="166"/>
      <c r="J25" s="166"/>
      <c r="K25" s="166"/>
      <c r="L25" s="166"/>
      <c r="M25" s="244"/>
      <c r="N25" s="256"/>
      <c r="O25" s="188">
        <f t="shared" si="0"/>
        <v>0</v>
      </c>
      <c r="P25" s="91"/>
      <c r="Q25" s="91"/>
      <c r="R25" s="91"/>
      <c r="S25" s="91"/>
      <c r="T25" s="91"/>
    </row>
    <row r="26" spans="1:20" s="13" customFormat="1" ht="24" customHeight="1" x14ac:dyDescent="0.4">
      <c r="A26" s="186"/>
      <c r="B26" s="148"/>
      <c r="C26" s="124"/>
      <c r="D26" s="166"/>
      <c r="E26" s="166"/>
      <c r="F26" s="166"/>
      <c r="G26" s="167"/>
      <c r="H26" s="166"/>
      <c r="I26" s="166"/>
      <c r="J26" s="166"/>
      <c r="K26" s="166"/>
      <c r="L26" s="166"/>
      <c r="M26" s="244"/>
      <c r="N26" s="256"/>
      <c r="O26" s="188">
        <f t="shared" ref="O26:O39" si="1">IF(N26=" ",M26*1,M26*N26)</f>
        <v>0</v>
      </c>
      <c r="P26" s="91"/>
      <c r="Q26" s="91"/>
      <c r="R26" s="91"/>
      <c r="S26" s="91"/>
      <c r="T26" s="91"/>
    </row>
    <row r="27" spans="1:20" s="13" customFormat="1" ht="24" customHeight="1" x14ac:dyDescent="0.4">
      <c r="A27" s="186"/>
      <c r="B27" s="148"/>
      <c r="C27" s="124"/>
      <c r="D27" s="166"/>
      <c r="E27" s="166"/>
      <c r="F27" s="166"/>
      <c r="G27" s="167"/>
      <c r="H27" s="166"/>
      <c r="I27" s="166"/>
      <c r="J27" s="166"/>
      <c r="K27" s="166"/>
      <c r="L27" s="166"/>
      <c r="M27" s="244"/>
      <c r="N27" s="256"/>
      <c r="O27" s="188">
        <f t="shared" si="1"/>
        <v>0</v>
      </c>
      <c r="P27" s="91"/>
      <c r="Q27" s="91"/>
      <c r="R27" s="91"/>
      <c r="S27" s="91"/>
      <c r="T27" s="91"/>
    </row>
    <row r="28" spans="1:20" s="13" customFormat="1" ht="24" customHeight="1" x14ac:dyDescent="0.4">
      <c r="A28" s="186"/>
      <c r="B28" s="148"/>
      <c r="C28" s="124"/>
      <c r="D28" s="166"/>
      <c r="E28" s="166"/>
      <c r="F28" s="166"/>
      <c r="G28" s="167"/>
      <c r="H28" s="166"/>
      <c r="I28" s="166"/>
      <c r="J28" s="166"/>
      <c r="K28" s="166"/>
      <c r="L28" s="166"/>
      <c r="M28" s="244"/>
      <c r="N28" s="256"/>
      <c r="O28" s="188">
        <f t="shared" si="1"/>
        <v>0</v>
      </c>
      <c r="P28" s="91"/>
      <c r="Q28" s="91"/>
      <c r="R28" s="91"/>
      <c r="S28" s="91"/>
      <c r="T28" s="91"/>
    </row>
    <row r="29" spans="1:20" s="13" customFormat="1" ht="24" customHeight="1" x14ac:dyDescent="0.4">
      <c r="A29" s="186"/>
      <c r="B29" s="148"/>
      <c r="C29" s="124"/>
      <c r="D29" s="166"/>
      <c r="E29" s="166"/>
      <c r="F29" s="166"/>
      <c r="G29" s="167"/>
      <c r="H29" s="166"/>
      <c r="I29" s="166"/>
      <c r="J29" s="166"/>
      <c r="K29" s="166"/>
      <c r="L29" s="166"/>
      <c r="M29" s="244"/>
      <c r="N29" s="256"/>
      <c r="O29" s="188">
        <f t="shared" si="1"/>
        <v>0</v>
      </c>
      <c r="P29" s="91"/>
      <c r="Q29" s="91"/>
      <c r="R29" s="91"/>
      <c r="S29" s="91"/>
      <c r="T29" s="91"/>
    </row>
    <row r="30" spans="1:20" s="13" customFormat="1" ht="24" customHeight="1" x14ac:dyDescent="0.4">
      <c r="A30" s="186"/>
      <c r="B30" s="148"/>
      <c r="C30" s="124"/>
      <c r="D30" s="166"/>
      <c r="E30" s="166"/>
      <c r="F30" s="166"/>
      <c r="G30" s="167"/>
      <c r="H30" s="166"/>
      <c r="I30" s="166"/>
      <c r="J30" s="166"/>
      <c r="K30" s="166"/>
      <c r="L30" s="166"/>
      <c r="M30" s="244"/>
      <c r="N30" s="256"/>
      <c r="O30" s="188">
        <f t="shared" si="1"/>
        <v>0</v>
      </c>
      <c r="P30" s="91"/>
      <c r="Q30" s="91"/>
      <c r="R30" s="91"/>
      <c r="S30" s="91"/>
      <c r="T30" s="91"/>
    </row>
    <row r="31" spans="1:20" s="13" customFormat="1" ht="24" customHeight="1" x14ac:dyDescent="0.4">
      <c r="A31" s="186"/>
      <c r="B31" s="148"/>
      <c r="C31" s="124"/>
      <c r="D31" s="166"/>
      <c r="E31" s="166"/>
      <c r="F31" s="166"/>
      <c r="G31" s="167"/>
      <c r="H31" s="166"/>
      <c r="I31" s="166"/>
      <c r="J31" s="166"/>
      <c r="K31" s="166"/>
      <c r="L31" s="166"/>
      <c r="M31" s="244"/>
      <c r="N31" s="256"/>
      <c r="O31" s="188">
        <f t="shared" si="1"/>
        <v>0</v>
      </c>
      <c r="P31" s="91"/>
      <c r="Q31" s="91"/>
      <c r="R31" s="91"/>
      <c r="S31" s="91"/>
      <c r="T31" s="91"/>
    </row>
    <row r="32" spans="1:20" s="13" customFormat="1" ht="24" customHeight="1" x14ac:dyDescent="0.4">
      <c r="A32" s="186"/>
      <c r="B32" s="148"/>
      <c r="C32" s="124"/>
      <c r="D32" s="166"/>
      <c r="E32" s="166"/>
      <c r="F32" s="166"/>
      <c r="G32" s="167"/>
      <c r="H32" s="166"/>
      <c r="I32" s="166"/>
      <c r="J32" s="166"/>
      <c r="K32" s="166"/>
      <c r="L32" s="166"/>
      <c r="M32" s="244"/>
      <c r="N32" s="256"/>
      <c r="O32" s="188">
        <f t="shared" si="1"/>
        <v>0</v>
      </c>
      <c r="P32" s="91"/>
      <c r="Q32" s="91"/>
      <c r="R32" s="91"/>
      <c r="S32" s="91"/>
      <c r="T32" s="91"/>
    </row>
    <row r="33" spans="1:20" s="13" customFormat="1" ht="24" customHeight="1" x14ac:dyDescent="0.4">
      <c r="A33" s="186"/>
      <c r="B33" s="148"/>
      <c r="C33" s="124"/>
      <c r="D33" s="166"/>
      <c r="E33" s="166"/>
      <c r="F33" s="166"/>
      <c r="G33" s="167"/>
      <c r="H33" s="166"/>
      <c r="I33" s="166"/>
      <c r="J33" s="166"/>
      <c r="K33" s="166"/>
      <c r="L33" s="166"/>
      <c r="M33" s="244"/>
      <c r="N33" s="256"/>
      <c r="O33" s="188">
        <f t="shared" si="1"/>
        <v>0</v>
      </c>
      <c r="P33" s="91"/>
      <c r="Q33" s="91"/>
      <c r="R33" s="91"/>
      <c r="S33" s="91"/>
      <c r="T33" s="91"/>
    </row>
    <row r="34" spans="1:20" s="13" customFormat="1" ht="24" customHeight="1" x14ac:dyDescent="0.4">
      <c r="A34" s="186"/>
      <c r="B34" s="148"/>
      <c r="C34" s="124"/>
      <c r="D34" s="166"/>
      <c r="E34" s="166"/>
      <c r="F34" s="166"/>
      <c r="G34" s="167"/>
      <c r="H34" s="166"/>
      <c r="I34" s="166"/>
      <c r="J34" s="166"/>
      <c r="K34" s="166"/>
      <c r="L34" s="166"/>
      <c r="M34" s="244"/>
      <c r="N34" s="256"/>
      <c r="O34" s="188">
        <f t="shared" si="1"/>
        <v>0</v>
      </c>
      <c r="P34" s="91"/>
      <c r="Q34" s="91"/>
      <c r="R34" s="91"/>
      <c r="S34" s="91"/>
      <c r="T34" s="91"/>
    </row>
    <row r="35" spans="1:20" s="13" customFormat="1" ht="24" customHeight="1" x14ac:dyDescent="0.4">
      <c r="A35" s="186"/>
      <c r="B35" s="148"/>
      <c r="C35" s="124"/>
      <c r="D35" s="166"/>
      <c r="E35" s="166"/>
      <c r="F35" s="166"/>
      <c r="G35" s="167"/>
      <c r="H35" s="166"/>
      <c r="I35" s="166"/>
      <c r="J35" s="166"/>
      <c r="K35" s="166"/>
      <c r="L35" s="166"/>
      <c r="M35" s="244"/>
      <c r="N35" s="256"/>
      <c r="O35" s="188">
        <f t="shared" si="1"/>
        <v>0</v>
      </c>
      <c r="P35" s="91"/>
      <c r="Q35" s="91"/>
      <c r="R35" s="91"/>
      <c r="S35" s="91"/>
      <c r="T35" s="91"/>
    </row>
    <row r="36" spans="1:20" s="13" customFormat="1" ht="24" customHeight="1" x14ac:dyDescent="0.4">
      <c r="A36" s="186"/>
      <c r="B36" s="148"/>
      <c r="C36" s="124"/>
      <c r="D36" s="166"/>
      <c r="E36" s="166"/>
      <c r="F36" s="166"/>
      <c r="G36" s="167"/>
      <c r="H36" s="166"/>
      <c r="I36" s="166"/>
      <c r="J36" s="166"/>
      <c r="K36" s="166"/>
      <c r="L36" s="166"/>
      <c r="M36" s="244"/>
      <c r="N36" s="256"/>
      <c r="O36" s="188">
        <f t="shared" si="1"/>
        <v>0</v>
      </c>
      <c r="P36" s="91"/>
      <c r="Q36" s="91"/>
      <c r="R36" s="91"/>
      <c r="S36" s="91"/>
      <c r="T36" s="91"/>
    </row>
    <row r="37" spans="1:20" s="13" customFormat="1" ht="24" customHeight="1" x14ac:dyDescent="0.4">
      <c r="A37" s="186"/>
      <c r="B37" s="148"/>
      <c r="C37" s="124"/>
      <c r="D37" s="166"/>
      <c r="E37" s="166"/>
      <c r="F37" s="166"/>
      <c r="G37" s="167"/>
      <c r="H37" s="166"/>
      <c r="I37" s="166"/>
      <c r="J37" s="166"/>
      <c r="K37" s="166"/>
      <c r="L37" s="166"/>
      <c r="M37" s="244"/>
      <c r="N37" s="256"/>
      <c r="O37" s="188">
        <f t="shared" si="1"/>
        <v>0</v>
      </c>
      <c r="P37" s="91"/>
      <c r="Q37" s="91"/>
      <c r="R37" s="91"/>
      <c r="S37" s="91"/>
      <c r="T37" s="91"/>
    </row>
    <row r="38" spans="1:20" s="13" customFormat="1" ht="24" customHeight="1" x14ac:dyDescent="0.4">
      <c r="A38" s="186"/>
      <c r="B38" s="148"/>
      <c r="C38" s="124"/>
      <c r="D38" s="166"/>
      <c r="E38" s="166"/>
      <c r="F38" s="166"/>
      <c r="G38" s="167"/>
      <c r="H38" s="166"/>
      <c r="I38" s="166"/>
      <c r="J38" s="166"/>
      <c r="K38" s="166"/>
      <c r="L38" s="166"/>
      <c r="M38" s="244"/>
      <c r="N38" s="256"/>
      <c r="O38" s="188">
        <f t="shared" si="1"/>
        <v>0</v>
      </c>
      <c r="P38" s="91"/>
      <c r="Q38" s="91"/>
      <c r="R38" s="91"/>
      <c r="S38" s="91"/>
      <c r="T38" s="91"/>
    </row>
    <row r="39" spans="1:20" s="13" customFormat="1" ht="24" customHeight="1" x14ac:dyDescent="0.4">
      <c r="A39" s="186"/>
      <c r="B39" s="148"/>
      <c r="C39" s="124"/>
      <c r="D39" s="166"/>
      <c r="E39" s="166"/>
      <c r="F39" s="166"/>
      <c r="G39" s="167"/>
      <c r="H39" s="166"/>
      <c r="I39" s="166"/>
      <c r="J39" s="166"/>
      <c r="K39" s="166"/>
      <c r="L39" s="166"/>
      <c r="M39" s="244"/>
      <c r="N39" s="256"/>
      <c r="O39" s="188">
        <f t="shared" si="1"/>
        <v>0</v>
      </c>
      <c r="P39" s="91"/>
      <c r="Q39" s="91"/>
      <c r="R39" s="91"/>
      <c r="S39" s="91"/>
      <c r="T39" s="91"/>
    </row>
    <row r="40" spans="1:20" s="13" customFormat="1" ht="24" customHeight="1" x14ac:dyDescent="0.4">
      <c r="A40" s="186"/>
      <c r="B40" s="148"/>
      <c r="C40" s="124"/>
      <c r="D40" s="166"/>
      <c r="E40" s="166"/>
      <c r="F40" s="166"/>
      <c r="G40" s="167"/>
      <c r="H40" s="166"/>
      <c r="I40" s="166"/>
      <c r="J40" s="166"/>
      <c r="K40" s="166"/>
      <c r="L40" s="166"/>
      <c r="M40" s="244"/>
      <c r="N40" s="256"/>
      <c r="O40" s="188">
        <f>IF(N40=" ",M40*1,M40*N40)</f>
        <v>0</v>
      </c>
      <c r="P40" s="91"/>
      <c r="Q40" s="91"/>
      <c r="R40" s="91"/>
      <c r="S40" s="91"/>
      <c r="T40" s="91"/>
    </row>
    <row r="41" spans="1:20" s="13" customFormat="1" ht="24" customHeight="1" x14ac:dyDescent="0.4">
      <c r="A41" s="184"/>
      <c r="B41" s="272"/>
      <c r="C41"/>
      <c r="D41" s="95"/>
      <c r="E41"/>
      <c r="F41" s="272" t="s">
        <v>73</v>
      </c>
      <c r="G41" s="279"/>
      <c r="H41" s="271"/>
      <c r="I41"/>
      <c r="J41" s="280" t="s">
        <v>74</v>
      </c>
      <c r="K41" s="281">
        <f>IF(SUM(L49:L54)=0,0,$O$41-(SUMIF($A$10:$A$40,IF($L$49=" ",$A$49," "),$O$10:$O$40))-(SUMIF($A$10:$A$40,IF($L$50=" ",$A$50," "),$O$10:$O$40))-(SUMIF($A$10:$A$40,IF($L$51=" ",$A$51," "),$O$10:$O$40))-(SUMIF($A$10:$A$40,IF($L$52=" ",$A$52," "),$O$10:$O$40))-(SUMIF($A$10:$A$40,IF($L$53=" ",$A$53," "),$O$10:$O$40))-(SUMIF($A$10:$A$40,IF($L$54=" ",$A$54," "),$O$10:$O$40)))</f>
        <v>0</v>
      </c>
      <c r="L41"/>
      <c r="M41" s="296" t="s">
        <v>75</v>
      </c>
      <c r="N41" s="296"/>
      <c r="O41" s="125">
        <f>SUM(O10:O40)</f>
        <v>0</v>
      </c>
      <c r="P41" s="91"/>
      <c r="Q41" s="91"/>
      <c r="R41" s="91"/>
      <c r="S41" s="91"/>
      <c r="T41" s="91"/>
    </row>
    <row r="42" spans="1:20" s="13" customFormat="1" ht="15.75" customHeight="1" x14ac:dyDescent="0.4">
      <c r="A42" s="185"/>
      <c r="B42" s="73"/>
      <c r="C42"/>
      <c r="D42" s="273"/>
      <c r="E42" s="274"/>
      <c r="F42" s="203" t="s">
        <v>76</v>
      </c>
      <c r="G42" s="279"/>
      <c r="H42"/>
      <c r="I42"/>
      <c r="J42" s="73"/>
      <c r="K42"/>
      <c r="L42" s="204" t="s">
        <v>77</v>
      </c>
      <c r="M42" s="92"/>
      <c r="N42" s="93"/>
      <c r="O42" s="97"/>
      <c r="P42" s="91"/>
      <c r="Q42" s="91"/>
      <c r="R42" s="91"/>
      <c r="S42" s="91"/>
      <c r="T42" s="91"/>
    </row>
    <row r="43" spans="1:20" s="13" customFormat="1" ht="15.75" customHeight="1" x14ac:dyDescent="0.4">
      <c r="A43" s="185"/>
      <c r="B43" s="73"/>
      <c r="C43"/>
      <c r="D43" s="275"/>
      <c r="E43" s="275"/>
      <c r="F43" s="203" t="s">
        <v>78</v>
      </c>
      <c r="G43" s="279"/>
      <c r="H43"/>
      <c r="I43"/>
      <c r="J43"/>
      <c r="K43"/>
      <c r="L43" s="209" t="s">
        <v>79</v>
      </c>
      <c r="M43" s="92"/>
      <c r="N43" s="93"/>
      <c r="O43" s="97"/>
      <c r="P43" s="91"/>
      <c r="Q43" s="91"/>
      <c r="R43" s="91"/>
      <c r="S43" s="91"/>
      <c r="T43" s="91"/>
    </row>
    <row r="44" spans="1:20" s="13" customFormat="1" ht="15.75" customHeight="1" x14ac:dyDescent="0.4">
      <c r="A44" s="185"/>
      <c r="B44"/>
      <c r="C44"/>
      <c r="D44" s="275"/>
      <c r="E44" s="275"/>
      <c r="F44" s="215" t="s">
        <v>80</v>
      </c>
      <c r="G44" s="279"/>
      <c r="H44"/>
      <c r="I44"/>
      <c r="J44"/>
      <c r="K44"/>
      <c r="L44" s="95"/>
      <c r="M44" s="92"/>
      <c r="N44" s="93"/>
      <c r="O44" s="97"/>
      <c r="P44" s="91"/>
      <c r="Q44" s="91"/>
      <c r="R44" s="91"/>
      <c r="S44" s="91"/>
      <c r="T44" s="91"/>
    </row>
    <row r="45" spans="1:20" s="13" customFormat="1" ht="15.75" customHeight="1" x14ac:dyDescent="0.4">
      <c r="A45" s="185"/>
      <c r="B45" s="277"/>
      <c r="C45"/>
      <c r="D45" s="275"/>
      <c r="E45" s="275"/>
      <c r="F45" s="215" t="s">
        <v>81</v>
      </c>
      <c r="G45" s="279"/>
      <c r="H45"/>
      <c r="I45"/>
      <c r="J45" s="96"/>
      <c r="K45" s="96"/>
      <c r="L45" s="95"/>
      <c r="M45" s="92"/>
      <c r="N45" s="93"/>
      <c r="O45" s="97"/>
      <c r="P45" s="91"/>
      <c r="Q45" s="91"/>
      <c r="R45" s="91"/>
      <c r="S45" s="91"/>
      <c r="T45" s="91"/>
    </row>
    <row r="46" spans="1:20" s="13" customFormat="1" ht="15.75" customHeight="1" x14ac:dyDescent="0.4">
      <c r="A46" s="221" t="s">
        <v>82</v>
      </c>
      <c r="B46" s="210"/>
      <c r="C46" s="209"/>
      <c r="D46" s="96"/>
      <c r="E46" s="77"/>
      <c r="F46" s="77"/>
      <c r="G46" s="278"/>
      <c r="H46"/>
      <c r="I46"/>
      <c r="J46" s="77"/>
      <c r="K46"/>
      <c r="L46" s="270" t="str">
        <f>IF($O$41=$O$55," ","Totals are not equal")</f>
        <v xml:space="preserve"> </v>
      </c>
      <c r="M46" s="77"/>
      <c r="N46" s="77"/>
      <c r="O46" s="77"/>
      <c r="P46" s="91"/>
      <c r="Q46" s="91"/>
      <c r="R46" s="91"/>
      <c r="S46" s="91"/>
      <c r="T46" s="91"/>
    </row>
    <row r="47" spans="1:20" s="13" customFormat="1" ht="14.25" customHeight="1" x14ac:dyDescent="0.35">
      <c r="A47" s="211" t="s">
        <v>83</v>
      </c>
      <c r="B47" s="210"/>
      <c r="C47" s="209"/>
      <c r="D47" s="96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91"/>
      <c r="Q47" s="91"/>
      <c r="R47" s="91"/>
      <c r="S47" s="91"/>
      <c r="T47" s="91"/>
    </row>
    <row r="48" spans="1:20" s="13" customFormat="1" ht="24" customHeight="1" x14ac:dyDescent="0.4">
      <c r="A48" s="306" t="s">
        <v>68</v>
      </c>
      <c r="B48" s="306" t="s">
        <v>106</v>
      </c>
      <c r="C48" s="306" t="s">
        <v>113</v>
      </c>
      <c r="D48" s="330"/>
      <c r="E48" s="402" t="s">
        <v>110</v>
      </c>
      <c r="F48" s="403"/>
      <c r="G48" s="331"/>
      <c r="H48" s="397" t="s">
        <v>101</v>
      </c>
      <c r="I48" s="398"/>
      <c r="J48" s="344" t="s">
        <v>120</v>
      </c>
      <c r="K48" s="344" t="s">
        <v>119</v>
      </c>
      <c r="L48" s="350" t="s">
        <v>84</v>
      </c>
      <c r="M48" s="270"/>
      <c r="N48" s="93"/>
      <c r="O48" s="296" t="s">
        <v>85</v>
      </c>
      <c r="P48" s="91"/>
      <c r="Q48" s="91"/>
      <c r="R48" s="91"/>
      <c r="S48" s="91"/>
      <c r="T48" s="91"/>
    </row>
    <row r="49" spans="1:20" ht="24" customHeight="1" x14ac:dyDescent="0.45">
      <c r="A49" s="335"/>
      <c r="B49" s="336"/>
      <c r="C49" s="337"/>
      <c r="D49" s="404"/>
      <c r="E49" s="406"/>
      <c r="F49" s="406"/>
      <c r="G49" s="407"/>
      <c r="H49" s="404"/>
      <c r="I49" s="405"/>
      <c r="J49" s="187"/>
      <c r="K49" s="187"/>
      <c r="L49" s="283"/>
      <c r="M49" s="73"/>
      <c r="N49" s="93"/>
      <c r="O49" s="169">
        <f>IF($L$49=" ",SUMIF($A$10:$A$40,A49,$O$10:$O$40),$K$41*$L$49)</f>
        <v>0</v>
      </c>
      <c r="P49" s="78"/>
      <c r="Q49" s="78"/>
      <c r="R49" s="78"/>
      <c r="S49" s="78"/>
      <c r="T49" s="78"/>
    </row>
    <row r="50" spans="1:20" ht="24" customHeight="1" x14ac:dyDescent="0.45">
      <c r="A50" s="339"/>
      <c r="B50" s="336"/>
      <c r="C50" s="337"/>
      <c r="D50" s="404"/>
      <c r="E50" s="406"/>
      <c r="F50" s="406"/>
      <c r="G50" s="407"/>
      <c r="H50" s="404"/>
      <c r="I50" s="406"/>
      <c r="J50" s="187"/>
      <c r="K50" s="187"/>
      <c r="L50" s="369"/>
      <c r="M50" s="94"/>
      <c r="N50" s="93"/>
      <c r="O50" s="347">
        <f>IF($L$50=" ",SUMIF($A$10:$A$40,A50,$O$10:$O$40),$K$41*$L$50)</f>
        <v>0</v>
      </c>
      <c r="P50" s="78"/>
      <c r="Q50" s="78"/>
      <c r="R50" s="78"/>
      <c r="S50" s="78"/>
      <c r="T50" s="78"/>
    </row>
    <row r="51" spans="1:20" ht="24" customHeight="1" x14ac:dyDescent="0.45">
      <c r="A51" s="338"/>
      <c r="B51" s="336"/>
      <c r="C51" s="337"/>
      <c r="D51" s="404"/>
      <c r="E51" s="406"/>
      <c r="F51" s="406"/>
      <c r="G51" s="407"/>
      <c r="H51" s="404"/>
      <c r="I51" s="405"/>
      <c r="J51" s="187"/>
      <c r="K51" s="187"/>
      <c r="L51" s="283"/>
      <c r="M51" s="73"/>
      <c r="N51" s="73"/>
      <c r="O51" s="169">
        <f>IF($L$51=" ",SUMIF($A$10:$A$40,A51,$O$10:$O$40),$K$41*$L$51)</f>
        <v>0</v>
      </c>
      <c r="P51" s="78"/>
      <c r="Q51" s="78"/>
      <c r="R51" s="78"/>
      <c r="S51" s="78"/>
      <c r="T51" s="78"/>
    </row>
    <row r="52" spans="1:20" ht="24" customHeight="1" x14ac:dyDescent="0.45">
      <c r="A52" s="339"/>
      <c r="B52" s="336"/>
      <c r="C52" s="337"/>
      <c r="D52" s="404"/>
      <c r="E52" s="406"/>
      <c r="F52" s="406"/>
      <c r="G52" s="407"/>
      <c r="H52" s="404"/>
      <c r="I52" s="406"/>
      <c r="J52" s="187"/>
      <c r="K52" s="187"/>
      <c r="L52" s="369"/>
      <c r="M52" s="73"/>
      <c r="N52" s="73"/>
      <c r="O52" s="347">
        <f>IF($L$52=" ",SUMIF($A$10:$A$40,A52,$O$10:$O$40),$K$41*$L$52)</f>
        <v>0</v>
      </c>
      <c r="P52" s="78"/>
      <c r="Q52" s="78"/>
      <c r="R52" s="78"/>
      <c r="S52" s="78"/>
      <c r="T52" s="78"/>
    </row>
    <row r="53" spans="1:20" s="13" customFormat="1" ht="24" customHeight="1" x14ac:dyDescent="0.4">
      <c r="A53" s="186"/>
      <c r="B53" s="187"/>
      <c r="C53" s="337"/>
      <c r="D53" s="404"/>
      <c r="E53" s="406"/>
      <c r="F53" s="406"/>
      <c r="G53" s="407"/>
      <c r="H53" s="404"/>
      <c r="I53" s="405"/>
      <c r="J53" s="187"/>
      <c r="K53" s="187"/>
      <c r="L53" s="283"/>
      <c r="M53" s="73"/>
      <c r="N53" s="73"/>
      <c r="O53" s="169">
        <f>IF($L$53=" ",SUMIF($A$10:$A$40,A53,$O$10:$O$40),$K$41*$L$53)</f>
        <v>0</v>
      </c>
      <c r="P53" s="91"/>
      <c r="Q53" s="91"/>
      <c r="R53" s="91"/>
      <c r="S53" s="91"/>
      <c r="T53" s="91"/>
    </row>
    <row r="54" spans="1:20" s="13" customFormat="1" ht="24" customHeight="1" x14ac:dyDescent="0.4">
      <c r="A54" s="339"/>
      <c r="B54" s="187"/>
      <c r="C54" s="187"/>
      <c r="D54" s="404"/>
      <c r="E54" s="406"/>
      <c r="F54" s="406"/>
      <c r="G54" s="407"/>
      <c r="H54" s="404"/>
      <c r="I54" s="406"/>
      <c r="J54" s="187"/>
      <c r="K54" s="187"/>
      <c r="L54" s="369"/>
      <c r="M54" s="73"/>
      <c r="N54" s="73"/>
      <c r="O54" s="347">
        <f>IF($L$54=" ",SUMIF($A$12:$A$40,A54,$O$12:$O$40),$K$41*$L$54)</f>
        <v>0</v>
      </c>
      <c r="P54" s="91"/>
      <c r="Q54" s="91"/>
      <c r="R54" s="91"/>
      <c r="S54" s="91"/>
      <c r="T54" s="91"/>
    </row>
    <row r="55" spans="1:20" ht="24" customHeight="1" x14ac:dyDescent="0.45">
      <c r="A55" s="73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363">
        <f>SUM(L49:L54)</f>
        <v>0</v>
      </c>
      <c r="M55" s="296" t="s">
        <v>75</v>
      </c>
      <c r="N55" s="296"/>
      <c r="O55" s="125">
        <f>SUM(O49:O54)</f>
        <v>0</v>
      </c>
      <c r="P55" s="78"/>
      <c r="Q55" s="78"/>
      <c r="R55" s="78"/>
      <c r="S55" s="78"/>
      <c r="T55" s="78"/>
    </row>
    <row r="56" spans="1:20" s="14" customFormat="1" ht="17.100000000000001" customHeight="1" x14ac:dyDescent="0.45">
      <c r="A56" s="164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164"/>
      <c r="P56" s="164"/>
      <c r="Q56" s="164"/>
      <c r="R56" s="164"/>
      <c r="S56" s="164"/>
      <c r="T56" s="164"/>
    </row>
    <row r="57" spans="1:20" s="15" customFormat="1" ht="18" hidden="1" customHeight="1" x14ac:dyDescent="0.3">
      <c r="A57" s="165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13"/>
      <c r="M57" s="13"/>
      <c r="N57" s="13"/>
      <c r="P57" s="165"/>
      <c r="Q57" s="165"/>
      <c r="R57" s="165"/>
      <c r="S57" s="165"/>
      <c r="T57" s="165"/>
    </row>
    <row r="58" spans="1:20" s="13" customFormat="1" ht="18" hidden="1" customHeight="1" x14ac:dyDescent="0.3">
      <c r="P58" s="91"/>
      <c r="Q58" s="91"/>
      <c r="R58" s="91"/>
      <c r="S58" s="91"/>
      <c r="T58" s="91"/>
    </row>
    <row r="59" spans="1:20" s="13" customFormat="1" ht="18" hidden="1" customHeight="1" x14ac:dyDescent="0.45">
      <c r="L59" s="11"/>
      <c r="P59" s="91"/>
      <c r="Q59" s="91"/>
      <c r="R59" s="91"/>
      <c r="S59" s="91"/>
      <c r="T59" s="91"/>
    </row>
    <row r="60" spans="1:20" s="13" customFormat="1" ht="18" hidden="1" customHeight="1" x14ac:dyDescent="0.45">
      <c r="L60" s="11"/>
      <c r="P60" s="91"/>
      <c r="Q60" s="91"/>
      <c r="R60" s="91"/>
      <c r="S60" s="91"/>
      <c r="T60" s="91"/>
    </row>
    <row r="61" spans="1:20" s="13" customFormat="1" ht="18" hidden="1" customHeight="1" x14ac:dyDescent="0.45">
      <c r="L61" s="11"/>
      <c r="P61" s="91"/>
      <c r="Q61" s="91"/>
      <c r="R61" s="91"/>
      <c r="S61" s="91"/>
      <c r="T61" s="91"/>
    </row>
    <row r="62" spans="1:20" s="13" customFormat="1" ht="18" hidden="1" customHeight="1" x14ac:dyDescent="0.45">
      <c r="L62" s="11"/>
      <c r="M62" s="11"/>
      <c r="N62" s="11"/>
      <c r="P62" s="91"/>
      <c r="Q62" s="91"/>
      <c r="R62" s="91"/>
      <c r="S62" s="91"/>
      <c r="T62" s="91"/>
    </row>
    <row r="63" spans="1:20" s="13" customFormat="1" ht="18" hidden="1" customHeight="1" x14ac:dyDescent="0.45">
      <c r="L63" s="11"/>
      <c r="M63" s="11"/>
      <c r="N63" s="11"/>
      <c r="P63" s="91"/>
      <c r="Q63" s="91"/>
      <c r="R63" s="91"/>
      <c r="S63" s="91"/>
      <c r="T63" s="91"/>
    </row>
    <row r="64" spans="1:20" s="13" customFormat="1" ht="18" hidden="1" customHeight="1" x14ac:dyDescent="0.45">
      <c r="L64" s="11"/>
      <c r="M64" s="11"/>
      <c r="N64" s="11"/>
      <c r="P64" s="91"/>
      <c r="Q64" s="91"/>
      <c r="R64" s="91"/>
      <c r="S64" s="91"/>
      <c r="T64" s="91"/>
    </row>
    <row r="65" spans="2:14" s="13" customFormat="1" ht="18" hidden="1" customHeight="1" x14ac:dyDescent="0.45">
      <c r="L65" s="11"/>
      <c r="M65" s="11"/>
      <c r="N65" s="11"/>
    </row>
    <row r="66" spans="2:14" s="13" customFormat="1" ht="18" hidden="1" customHeight="1" x14ac:dyDescent="0.45">
      <c r="L66" s="11"/>
      <c r="M66" s="11"/>
      <c r="N66" s="11"/>
    </row>
    <row r="67" spans="2:14" s="13" customFormat="1" ht="18" hidden="1" customHeight="1" x14ac:dyDescent="0.45"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2:14" s="13" customFormat="1" ht="18" hidden="1" customHeight="1" x14ac:dyDescent="0.45"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2:14" s="13" customFormat="1" ht="17.100000000000001" hidden="1" customHeight="1" x14ac:dyDescent="0.3"/>
    <row r="70" spans="2:14" s="13" customFormat="1" ht="17.100000000000001" hidden="1" customHeight="1" x14ac:dyDescent="0.3"/>
    <row r="71" spans="2:14" s="13" customFormat="1" ht="17.100000000000001" hidden="1" customHeight="1" x14ac:dyDescent="0.3"/>
    <row r="72" spans="2:14" s="13" customFormat="1" ht="17.100000000000001" hidden="1" customHeight="1" x14ac:dyDescent="0.3"/>
    <row r="73" spans="2:14" s="13" customFormat="1" ht="17.100000000000001" hidden="1" customHeight="1" x14ac:dyDescent="0.3"/>
    <row r="74" spans="2:14" s="13" customFormat="1" ht="17.100000000000001" hidden="1" customHeight="1" x14ac:dyDescent="0.3"/>
    <row r="75" spans="2:14" s="13" customFormat="1" ht="17.100000000000001" hidden="1" customHeight="1" x14ac:dyDescent="0.3"/>
    <row r="76" spans="2:14" s="13" customFormat="1" ht="17.100000000000001" hidden="1" customHeight="1" x14ac:dyDescent="0.3"/>
    <row r="77" spans="2:14" s="13" customFormat="1" ht="17.100000000000001" hidden="1" customHeight="1" x14ac:dyDescent="0.3"/>
    <row r="78" spans="2:14" s="13" customFormat="1" ht="17.100000000000001" hidden="1" customHeight="1" x14ac:dyDescent="0.3"/>
    <row r="79" spans="2:14" s="13" customFormat="1" ht="17.100000000000001" hidden="1" customHeight="1" x14ac:dyDescent="0.3"/>
    <row r="80" spans="2:14" s="13" customFormat="1" ht="17.100000000000001" hidden="1" customHeight="1" x14ac:dyDescent="0.3"/>
    <row r="81" s="13" customFormat="1" ht="17.100000000000001" hidden="1" customHeight="1" x14ac:dyDescent="0.3"/>
    <row r="82" s="13" customFormat="1" ht="17.100000000000001" hidden="1" customHeight="1" x14ac:dyDescent="0.3"/>
    <row r="83" s="13" customFormat="1" ht="17.100000000000001" hidden="1" customHeight="1" x14ac:dyDescent="0.3"/>
    <row r="84" s="13" customFormat="1" ht="17.100000000000001" hidden="1" customHeight="1" x14ac:dyDescent="0.3"/>
    <row r="85" s="13" customFormat="1" ht="17.100000000000001" hidden="1" customHeight="1" x14ac:dyDescent="0.3"/>
    <row r="86" s="13" customFormat="1" ht="17.100000000000001" hidden="1" customHeight="1" x14ac:dyDescent="0.3"/>
    <row r="87" s="13" customFormat="1" ht="17.100000000000001" hidden="1" customHeight="1" x14ac:dyDescent="0.3"/>
    <row r="88" s="13" customFormat="1" ht="17.100000000000001" hidden="1" customHeight="1" x14ac:dyDescent="0.3"/>
    <row r="89" s="13" customFormat="1" ht="17.100000000000001" hidden="1" customHeight="1" x14ac:dyDescent="0.3"/>
    <row r="90" s="13" customFormat="1" ht="17.100000000000001" hidden="1" customHeight="1" x14ac:dyDescent="0.3"/>
    <row r="91" s="13" customFormat="1" ht="17.100000000000001" hidden="1" customHeight="1" x14ac:dyDescent="0.3"/>
    <row r="92" s="13" customFormat="1" ht="17.100000000000001" hidden="1" customHeight="1" x14ac:dyDescent="0.3"/>
    <row r="93" s="13" customFormat="1" ht="17.100000000000001" hidden="1" customHeight="1" x14ac:dyDescent="0.3"/>
    <row r="94" s="13" customFormat="1" ht="17.100000000000001" hidden="1" customHeight="1" x14ac:dyDescent="0.3"/>
    <row r="95" s="13" customFormat="1" ht="17.100000000000001" hidden="1" customHeight="1" x14ac:dyDescent="0.3"/>
    <row r="96" s="13" customFormat="1" ht="17.100000000000001" hidden="1" customHeight="1" x14ac:dyDescent="0.3"/>
    <row r="97" spans="2:15" s="13" customFormat="1" ht="17.100000000000001" hidden="1" customHeight="1" x14ac:dyDescent="0.3"/>
    <row r="98" spans="2:15" s="13" customFormat="1" ht="17.100000000000001" hidden="1" customHeight="1" x14ac:dyDescent="0.3"/>
    <row r="99" spans="2:15" s="13" customFormat="1" ht="17.100000000000001" hidden="1" customHeight="1" x14ac:dyDescent="0.3"/>
    <row r="100" spans="2:15" s="13" customFormat="1" ht="17.100000000000001" hidden="1" customHeight="1" x14ac:dyDescent="0.45">
      <c r="L100" s="11"/>
    </row>
    <row r="101" spans="2:15" s="13" customFormat="1" ht="17.100000000000001" hidden="1" customHeight="1" x14ac:dyDescent="0.45">
      <c r="L101" s="11"/>
    </row>
    <row r="102" spans="2:15" s="13" customFormat="1" ht="17.100000000000001" hidden="1" customHeight="1" x14ac:dyDescent="0.45">
      <c r="L102" s="11"/>
    </row>
    <row r="103" spans="2:15" s="13" customFormat="1" ht="17.100000000000001" hidden="1" customHeight="1" x14ac:dyDescent="0.45">
      <c r="L103" s="11"/>
      <c r="M103" s="11"/>
      <c r="N103" s="11"/>
    </row>
    <row r="104" spans="2:15" s="13" customFormat="1" ht="17.100000000000001" hidden="1" customHeight="1" x14ac:dyDescent="0.45">
      <c r="L104" s="11"/>
      <c r="M104" s="11"/>
      <c r="N104" s="11"/>
    </row>
    <row r="105" spans="2:15" s="13" customFormat="1" ht="17.100000000000001" hidden="1" customHeight="1" x14ac:dyDescent="0.45">
      <c r="L105" s="11"/>
      <c r="M105" s="11"/>
      <c r="N105" s="11"/>
    </row>
    <row r="106" spans="2:15" s="13" customFormat="1" ht="17.100000000000001" hidden="1" customHeight="1" x14ac:dyDescent="0.45">
      <c r="L106" s="11"/>
      <c r="M106" s="11"/>
      <c r="N106" s="11"/>
    </row>
    <row r="107" spans="2:15" s="13" customFormat="1" ht="17.100000000000001" hidden="1" customHeight="1" x14ac:dyDescent="0.45">
      <c r="L107" s="11"/>
      <c r="M107" s="11"/>
      <c r="N107" s="11"/>
    </row>
    <row r="108" spans="2:15" s="13" customFormat="1" ht="17.100000000000001" hidden="1" customHeight="1" x14ac:dyDescent="0.45"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2:15" s="13" customFormat="1" ht="17.100000000000001" hidden="1" customHeight="1" x14ac:dyDescent="0.45"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2:15" s="13" customFormat="1" ht="18.75" hidden="1" customHeight="1" x14ac:dyDescent="0.45"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2:15" hidden="1" x14ac:dyDescent="0.45"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2:15" hidden="1" x14ac:dyDescent="0.45"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="11" customFormat="1" hidden="1" x14ac:dyDescent="0.45"/>
    <row r="114" s="11" customFormat="1" hidden="1" x14ac:dyDescent="0.45"/>
    <row r="115" s="11" customFormat="1" hidden="1" x14ac:dyDescent="0.45"/>
    <row r="116" s="11" customFormat="1" hidden="1" x14ac:dyDescent="0.45"/>
    <row r="117" s="11" customFormat="1" hidden="1" x14ac:dyDescent="0.45"/>
    <row r="118" s="11" customFormat="1" hidden="1" x14ac:dyDescent="0.45"/>
    <row r="119" s="11" customFormat="1" hidden="1" x14ac:dyDescent="0.45"/>
    <row r="120" s="11" customFormat="1" hidden="1" x14ac:dyDescent="0.45"/>
    <row r="121" s="11" customFormat="1" hidden="1" x14ac:dyDescent="0.45"/>
    <row r="122" s="11" customFormat="1" hidden="1" x14ac:dyDescent="0.45"/>
    <row r="123" s="11" customFormat="1" hidden="1" x14ac:dyDescent="0.45"/>
    <row r="124" s="11" customFormat="1" hidden="1" x14ac:dyDescent="0.45"/>
    <row r="125" s="11" customFormat="1" hidden="1" x14ac:dyDescent="0.45"/>
    <row r="126" s="11" customFormat="1" hidden="1" x14ac:dyDescent="0.45"/>
    <row r="127" s="11" customFormat="1" hidden="1" x14ac:dyDescent="0.45"/>
    <row r="128" s="11" customFormat="1" hidden="1" x14ac:dyDescent="0.45"/>
    <row r="129" spans="12:12" s="11" customFormat="1" hidden="1" x14ac:dyDescent="0.45"/>
    <row r="130" spans="12:12" s="11" customFormat="1" hidden="1" x14ac:dyDescent="0.45"/>
    <row r="131" spans="12:12" s="11" customFormat="1" hidden="1" x14ac:dyDescent="0.45"/>
    <row r="132" spans="12:12" s="11" customFormat="1" hidden="1" x14ac:dyDescent="0.45"/>
    <row r="133" spans="12:12" s="11" customFormat="1" hidden="1" x14ac:dyDescent="0.45"/>
    <row r="134" spans="12:12" s="11" customFormat="1" hidden="1" x14ac:dyDescent="0.45"/>
    <row r="135" spans="12:12" s="11" customFormat="1" hidden="1" x14ac:dyDescent="0.45"/>
    <row r="136" spans="12:12" s="11" customFormat="1" hidden="1" x14ac:dyDescent="0.45"/>
    <row r="137" spans="12:12" s="11" customFormat="1" hidden="1" x14ac:dyDescent="0.45"/>
    <row r="138" spans="12:12" s="11" customFormat="1" hidden="1" x14ac:dyDescent="0.45"/>
    <row r="139" spans="12:12" s="11" customFormat="1" hidden="1" x14ac:dyDescent="0.45"/>
    <row r="140" spans="12:12" s="11" customFormat="1" hidden="1" x14ac:dyDescent="0.45"/>
    <row r="141" spans="12:12" s="11" customFormat="1" hidden="1" x14ac:dyDescent="0.45"/>
    <row r="142" spans="12:12" s="11" customFormat="1" hidden="1" x14ac:dyDescent="0.45"/>
    <row r="143" spans="12:12" s="11" customFormat="1" hidden="1" x14ac:dyDescent="0.45"/>
    <row r="144" spans="12:12" s="11" customFormat="1" hidden="1" x14ac:dyDescent="0.45">
      <c r="L144" s="10"/>
    </row>
    <row r="145" spans="2:15" hidden="1" x14ac:dyDescent="0.45"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M145" s="11"/>
      <c r="N145" s="11"/>
      <c r="O145" s="11"/>
    </row>
    <row r="146" spans="2:15" hidden="1" x14ac:dyDescent="0.45"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M146" s="11"/>
      <c r="N146" s="11"/>
      <c r="O146" s="11"/>
    </row>
    <row r="147" spans="2:15" hidden="1" x14ac:dyDescent="0.45"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O147" s="11"/>
    </row>
    <row r="148" spans="2:15" hidden="1" x14ac:dyDescent="0.45"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O148" s="11"/>
    </row>
    <row r="149" spans="2:15" hidden="1" x14ac:dyDescent="0.45"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O149" s="11"/>
    </row>
    <row r="150" spans="2:15" hidden="1" x14ac:dyDescent="0.45"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O150" s="11"/>
    </row>
    <row r="151" spans="2:15" hidden="1" x14ac:dyDescent="0.45"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O151" s="11"/>
    </row>
    <row r="152" spans="2:15" hidden="1" x14ac:dyDescent="0.45">
      <c r="O152" s="11"/>
    </row>
    <row r="153" spans="2:15" hidden="1" x14ac:dyDescent="0.45">
      <c r="O153" s="11"/>
    </row>
    <row r="154" spans="2:15" hidden="1" x14ac:dyDescent="0.45">
      <c r="O154" s="11"/>
    </row>
  </sheetData>
  <sheetProtection password="BA39" sheet="1" objects="1" scenarios="1"/>
  <mergeCells count="14">
    <mergeCell ref="D54:G54"/>
    <mergeCell ref="H54:I54"/>
    <mergeCell ref="D53:G53"/>
    <mergeCell ref="D52:G52"/>
    <mergeCell ref="H52:I52"/>
    <mergeCell ref="H53:I53"/>
    <mergeCell ref="D50:G50"/>
    <mergeCell ref="H50:I50"/>
    <mergeCell ref="D51:G51"/>
    <mergeCell ref="H51:I51"/>
    <mergeCell ref="E48:F48"/>
    <mergeCell ref="H48:I48"/>
    <mergeCell ref="D49:G49"/>
    <mergeCell ref="H49:I49"/>
  </mergeCells>
  <phoneticPr fontId="59" type="noConversion"/>
  <pageMargins left="0.36" right="0.2" top="0.25" bottom="0.16" header="0.5" footer="0.5"/>
  <pageSetup scale="63" orientation="portrait" blackAndWhite="1" horizontalDpi="4294967292" verticalDpi="300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9</vt:i4>
      </vt:variant>
    </vt:vector>
  </HeadingPairs>
  <TitlesOfParts>
    <vt:vector size="17" baseType="lpstr">
      <vt:lpstr>Coding Page</vt:lpstr>
      <vt:lpstr>Short Form</vt:lpstr>
      <vt:lpstr>Travel Form</vt:lpstr>
      <vt:lpstr>Meals and Ent Sup</vt:lpstr>
      <vt:lpstr>Misc. Exp. Sup</vt:lpstr>
      <vt:lpstr>Travel Sup (2)</vt:lpstr>
      <vt:lpstr>Meals and Ent Sup (2)</vt:lpstr>
      <vt:lpstr>Misc. Exp. Sup (2)</vt:lpstr>
      <vt:lpstr>date</vt:lpstr>
      <vt:lpstr>expns</vt:lpstr>
      <vt:lpstr>'Meals and Ent Sup'!Print_Area</vt:lpstr>
      <vt:lpstr>'Meals and Ent Sup (2)'!Print_Area</vt:lpstr>
      <vt:lpstr>'Misc. Exp. Sup'!Print_Area</vt:lpstr>
      <vt:lpstr>'Misc. Exp. Sup (2)'!Print_Area</vt:lpstr>
      <vt:lpstr>'Short Form'!Print_Area</vt:lpstr>
      <vt:lpstr>'Travel Form'!Print_Area</vt:lpstr>
      <vt:lpstr>'Travel Sup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Report Form "2.0"</dc:title>
  <dc:creator>EOC Finance &amp; Accounting</dc:creator>
  <dc:description>Upgrade to expense report. Incorporates suggestions for improvements.</dc:description>
  <cp:lastModifiedBy>ly Gu</cp:lastModifiedBy>
  <cp:lastPrinted>2000-06-28T13:01:45Z</cp:lastPrinted>
  <dcterms:created xsi:type="dcterms:W3CDTF">1997-11-03T17:34:07Z</dcterms:created>
  <dcterms:modified xsi:type="dcterms:W3CDTF">2026-03-25T16:31:49Z</dcterms:modified>
</cp:coreProperties>
</file>