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91853F6F-4D73-45F3-A00F-8B61849C02E4}" xr6:coauthVersionLast="47" xr6:coauthVersionMax="47" xr10:uidLastSave="{00000000-0000-0000-0000-000000000000}"/>
  <bookViews>
    <workbookView xWindow="2048" yWindow="2700" windowWidth="17280" windowHeight="9983" xr2:uid="{B63864DC-C140-4E95-AB4C-B113D14B1B9F}"/>
  </bookViews>
  <sheets>
    <sheet name="Calculator" sheetId="1" r:id="rId1"/>
    <sheet name="Fees" sheetId="2" r:id="rId2"/>
  </sheets>
  <definedNames>
    <definedName name="No_yes">Fees!$E$1:$E$3</definedName>
    <definedName name="_xlnm.Print_Area" localSheetId="0">Calculator!$A$1:$C$16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/>
  <c r="B11" i="2" s="1"/>
  <c r="B16" i="2"/>
  <c r="B10" i="2" s="1"/>
  <c r="B15" i="2"/>
</calcChain>
</file>

<file path=xl/sharedStrings.xml><?xml version="1.0" encoding="utf-8"?>
<sst xmlns="http://schemas.openxmlformats.org/spreadsheetml/2006/main" count="34" uniqueCount="30">
  <si>
    <t>Quantum National Bank</t>
  </si>
  <si>
    <t>Remote Deposit Account Analysis</t>
  </si>
  <si>
    <t>Maintenance Fee</t>
  </si>
  <si>
    <t>Deposits</t>
  </si>
  <si>
    <t>Items Deposited (per item)</t>
  </si>
  <si>
    <t>ACH Credits</t>
  </si>
  <si>
    <t>ACH Debits</t>
  </si>
  <si>
    <t>Checks Paid</t>
  </si>
  <si>
    <t>FDIC Assessment (per $1,000.00)</t>
  </si>
  <si>
    <t>Relationship Credit</t>
  </si>
  <si>
    <t>Yes</t>
  </si>
  <si>
    <t>No</t>
  </si>
  <si>
    <t>Total Fees</t>
  </si>
  <si>
    <t>Please answer question 8 if you answered Yes to question 7</t>
  </si>
  <si>
    <t>Earning Credit</t>
  </si>
  <si>
    <t>QNB Loan &amp; DDA &gt; $15K</t>
  </si>
  <si>
    <t>DDA &gt; $30K</t>
  </si>
  <si>
    <t xml:space="preserve"> </t>
  </si>
  <si>
    <t>Relationship Credit Table</t>
  </si>
  <si>
    <t>RDC Fee</t>
  </si>
  <si>
    <t>Table Values</t>
  </si>
  <si>
    <t>1. What is your average balance per month?</t>
  </si>
  <si>
    <t>3. How many ACH credits do you have per month?</t>
  </si>
  <si>
    <t>4. How many ACH debits do you have per month?</t>
  </si>
  <si>
    <t>5. How many deposits do you make per month?</t>
  </si>
  <si>
    <t>6. How many checks do you write per month?</t>
  </si>
  <si>
    <t>7. Do you have any existing loans @ QNB</t>
  </si>
  <si>
    <t>8. What is the total QNB loan balance?</t>
  </si>
  <si>
    <t>9. Would you like to make deposits from your office?</t>
  </si>
  <si>
    <r>
      <t xml:space="preserve">2. How many deposit items do you have per month?
     </t>
    </r>
    <r>
      <rPr>
        <b/>
        <i/>
        <sz val="9"/>
        <color indexed="57"/>
        <rFont val="Arial"/>
        <family val="2"/>
      </rPr>
      <t>(1 check = 1 deposit item)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</si>
</sst>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6" formatCode="&quot;$&quot;#,##0.00"/>
    <numFmt numFmtId="191" formatCode="&quot;$&quot;#,##0"/>
  </numFmts>
  <fonts count="12" x14ac:knownFonts="1">
    <font>
      <sz val="10"/>
      <color theme="1"/>
      <name val="Arial"/>
      <family val="2"/>
    </font>
    <font>
      <b/>
      <i/>
      <sz val="9"/>
      <color indexed="57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1"/>
      <color theme="1"/>
      <name val="Arial"/>
      <family val="2"/>
    </font>
    <font>
      <b/>
      <sz val="12"/>
      <color theme="6" tint="-0.499984740745262"/>
      <name val="Georgia"/>
      <family val="1"/>
    </font>
    <font>
      <b/>
      <i/>
      <sz val="12"/>
      <color theme="6" tint="-0.499984740745262"/>
      <name val="Georgia"/>
      <family val="1"/>
    </font>
    <font>
      <b/>
      <i/>
      <sz val="10"/>
      <color theme="1"/>
      <name val="Arial"/>
      <family val="2"/>
    </font>
    <font>
      <b/>
      <sz val="10"/>
      <color theme="6" tint="-0.499984740745262"/>
      <name val="Georgia"/>
      <family val="1"/>
    </font>
    <font>
      <b/>
      <sz val="12"/>
      <color theme="5" tint="-0.249977111117893"/>
      <name val="Georgia"/>
      <family val="1"/>
    </font>
    <font>
      <b/>
      <i/>
      <sz val="11"/>
      <color theme="5" tint="-0.249977111117893"/>
      <name val="Georgia"/>
      <family val="1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gradientFill degree="45">
        <stop position="0">
          <color theme="0"/>
        </stop>
        <stop position="1">
          <color theme="5" tint="-0.25098422193060094"/>
        </stop>
      </gradientFill>
    </fill>
    <fill>
      <patternFill patternType="solid">
        <fgColor rgb="FFD0BFA0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191" fontId="0" fillId="0" borderId="0" xfId="0" applyNumberFormat="1"/>
    <xf numFmtId="186" fontId="0" fillId="0" borderId="0" xfId="0" applyNumberFormat="1" applyProtection="1">
      <protection locked="0"/>
    </xf>
    <xf numFmtId="0" fontId="0" fillId="0" borderId="0" xfId="0" applyProtection="1">
      <protection hidden="1"/>
    </xf>
    <xf numFmtId="0" fontId="2" fillId="0" borderId="0" xfId="1" applyNumberFormat="1" applyFont="1" applyProtection="1">
      <protection locked="0"/>
    </xf>
    <xf numFmtId="191" fontId="0" fillId="0" borderId="0" xfId="0" applyNumberFormat="1" applyProtection="1">
      <protection hidden="1"/>
    </xf>
    <xf numFmtId="0" fontId="0" fillId="2" borderId="0" xfId="0" applyFill="1"/>
    <xf numFmtId="186" fontId="0" fillId="2" borderId="0" xfId="0" applyNumberFormat="1" applyFill="1"/>
    <xf numFmtId="0" fontId="4" fillId="3" borderId="1" xfId="0" applyFont="1" applyFill="1" applyBorder="1" applyAlignment="1" applyProtection="1">
      <alignment horizontal="center" vertical="center" wrapText="1"/>
    </xf>
    <xf numFmtId="191" fontId="0" fillId="4" borderId="2" xfId="0" applyNumberFormat="1" applyFill="1" applyBorder="1" applyAlignment="1" applyProtection="1">
      <alignment horizontal="right"/>
      <protection locked="0"/>
    </xf>
    <xf numFmtId="1" fontId="0" fillId="4" borderId="1" xfId="0" applyNumberFormat="1" applyFill="1" applyBorder="1" applyAlignment="1" applyProtection="1">
      <alignment horizontal="right"/>
      <protection locked="0"/>
    </xf>
    <xf numFmtId="1" fontId="0" fillId="4" borderId="1" xfId="0" applyNumberFormat="1" applyFill="1" applyBorder="1" applyProtection="1">
      <protection locked="0"/>
    </xf>
    <xf numFmtId="0" fontId="0" fillId="4" borderId="1" xfId="0" applyFill="1" applyBorder="1" applyAlignment="1" applyProtection="1">
      <alignment horizontal="center"/>
      <protection locked="0"/>
    </xf>
    <xf numFmtId="191" fontId="0" fillId="4" borderId="1" xfId="0" applyNumberFormat="1" applyFill="1" applyBorder="1" applyProtection="1">
      <protection locked="0"/>
    </xf>
    <xf numFmtId="191" fontId="0" fillId="4" borderId="3" xfId="0" applyNumberFormat="1" applyFill="1" applyBorder="1" applyAlignment="1" applyProtection="1">
      <alignment horizontal="center"/>
      <protection locked="0"/>
    </xf>
    <xf numFmtId="2" fontId="0" fillId="0" borderId="0" xfId="0" applyNumberFormat="1" applyFill="1" applyAlignment="1" applyProtection="1">
      <alignment horizontal="center"/>
      <protection locked="0" hidden="1"/>
    </xf>
    <xf numFmtId="0" fontId="5" fillId="5" borderId="2" xfId="0" applyFont="1" applyFill="1" applyBorder="1" applyAlignment="1">
      <alignment vertical="top"/>
    </xf>
    <xf numFmtId="0" fontId="5" fillId="5" borderId="2" xfId="0" applyFont="1" applyFill="1" applyBorder="1" applyAlignment="1">
      <alignment vertical="top" wrapText="1"/>
    </xf>
    <xf numFmtId="0" fontId="6" fillId="5" borderId="2" xfId="0" applyFont="1" applyFill="1" applyBorder="1" applyAlignment="1">
      <alignment vertical="top"/>
    </xf>
    <xf numFmtId="0" fontId="0" fillId="6" borderId="0" xfId="0" applyFill="1"/>
    <xf numFmtId="0" fontId="7" fillId="6" borderId="0" xfId="0" applyFont="1" applyFill="1" applyAlignment="1">
      <alignment vertical="center" wrapText="1"/>
    </xf>
    <xf numFmtId="0" fontId="0" fillId="6" borderId="0" xfId="0" applyFill="1" applyBorder="1" applyAlignment="1"/>
    <xf numFmtId="0" fontId="0" fillId="6" borderId="4" xfId="0" applyFill="1" applyBorder="1" applyAlignment="1"/>
    <xf numFmtId="0" fontId="3" fillId="6" borderId="0" xfId="0" applyFont="1" applyFill="1" applyBorder="1" applyAlignment="1">
      <alignment horizontal="right" vertical="center"/>
    </xf>
    <xf numFmtId="0" fontId="3" fillId="6" borderId="4" xfId="0" applyFont="1" applyFill="1" applyBorder="1" applyAlignment="1">
      <alignment vertical="center"/>
    </xf>
    <xf numFmtId="2" fontId="0" fillId="6" borderId="0" xfId="0" applyNumberFormat="1" applyFill="1" applyAlignment="1" applyProtection="1">
      <alignment horizontal="center"/>
      <protection hidden="1"/>
    </xf>
    <xf numFmtId="0" fontId="8" fillId="6" borderId="0" xfId="0" applyFont="1" applyFill="1" applyBorder="1" applyAlignment="1">
      <alignment horizontal="right" vertical="center"/>
    </xf>
    <xf numFmtId="0" fontId="9" fillId="6" borderId="0" xfId="0" applyFont="1" applyFill="1" applyAlignment="1">
      <alignment horizontal="center"/>
    </xf>
    <xf numFmtId="0" fontId="10" fillId="6" borderId="5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1471613</xdr:colOff>
      <xdr:row>1</xdr:row>
      <xdr:rowOff>466725</xdr:rowOff>
    </xdr:to>
    <xdr:pic>
      <xdr:nvPicPr>
        <xdr:cNvPr id="1039" name="Picture 1" descr="Quantum logo with slogan.JPG">
          <a:extLst>
            <a:ext uri="{FF2B5EF4-FFF2-40B4-BE49-F238E27FC236}">
              <a16:creationId xmlns:a16="http://schemas.microsoft.com/office/drawing/2014/main" id="{D20A4D1E-AC0C-797A-5BD7-F8714F26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1613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1181100</xdr:colOff>
          <xdr:row>14</xdr:row>
          <xdr:rowOff>47625</xdr:rowOff>
        </xdr:from>
        <xdr:to>
          <xdr:col>0</xdr:col>
          <xdr:colOff>2428875</xdr:colOff>
          <xdr:row>15</xdr:row>
          <xdr:rowOff>104775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125D782F-CEF5-4B1E-D64F-E181B35BA2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zh-CN" alt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1190625</xdr:colOff>
          <xdr:row>12</xdr:row>
          <xdr:rowOff>85725</xdr:rowOff>
        </xdr:from>
        <xdr:to>
          <xdr:col>0</xdr:col>
          <xdr:colOff>2428875</xdr:colOff>
          <xdr:row>13</xdr:row>
          <xdr:rowOff>133350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A3685892-DAA6-3C44-B066-C92E247A04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zh-CN" alt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7642-1625-410E-BC6E-723337054FA6}">
  <sheetPr codeName="Sheet1"/>
  <dimension ref="A1:C19"/>
  <sheetViews>
    <sheetView tabSelected="1" zoomScaleNormal="100" workbookViewId="0">
      <selection activeCell="B3" sqref="B3"/>
    </sheetView>
  </sheetViews>
  <sheetFormatPr defaultColWidth="9.1328125" defaultRowHeight="12.75" x14ac:dyDescent="0.35"/>
  <cols>
    <col min="1" max="1" width="72.3984375" style="6" bestFit="1" customWidth="1"/>
    <col min="2" max="2" width="13.265625" style="6" customWidth="1"/>
    <col min="3" max="4" width="9.1328125" style="6"/>
    <col min="5" max="5" width="9.1328125" style="6" customWidth="1"/>
    <col min="6" max="16384" width="9.1328125" style="6"/>
  </cols>
  <sheetData>
    <row r="1" spans="1:3" ht="15" x14ac:dyDescent="0.4">
      <c r="A1" s="27" t="s">
        <v>0</v>
      </c>
      <c r="B1" s="27"/>
      <c r="C1" s="27"/>
    </row>
    <row r="2" spans="1:3" ht="37.5" customHeight="1" thickBot="1" x14ac:dyDescent="0.4">
      <c r="A2" s="28" t="s">
        <v>1</v>
      </c>
      <c r="B2" s="28"/>
      <c r="C2" s="28"/>
    </row>
    <row r="3" spans="1:3" ht="20.25" customHeight="1" thickTop="1" x14ac:dyDescent="0.35">
      <c r="A3" s="16" t="s">
        <v>21</v>
      </c>
      <c r="B3" s="9"/>
      <c r="C3" s="19"/>
    </row>
    <row r="4" spans="1:3" ht="30" x14ac:dyDescent="0.35">
      <c r="A4" s="17" t="s">
        <v>29</v>
      </c>
      <c r="B4" s="10"/>
      <c r="C4" s="19"/>
    </row>
    <row r="5" spans="1:3" ht="20.25" customHeight="1" x14ac:dyDescent="0.35">
      <c r="A5" s="16" t="s">
        <v>22</v>
      </c>
      <c r="B5" s="10"/>
      <c r="C5" s="19"/>
    </row>
    <row r="6" spans="1:3" ht="20.25" customHeight="1" x14ac:dyDescent="0.35">
      <c r="A6" s="16" t="s">
        <v>23</v>
      </c>
      <c r="B6" s="10"/>
      <c r="C6" s="19"/>
    </row>
    <row r="7" spans="1:3" ht="20.25" customHeight="1" x14ac:dyDescent="0.35">
      <c r="A7" s="16" t="s">
        <v>24</v>
      </c>
      <c r="B7" s="10"/>
      <c r="C7" s="19"/>
    </row>
    <row r="8" spans="1:3" ht="20.25" customHeight="1" x14ac:dyDescent="0.35">
      <c r="A8" s="16" t="s">
        <v>25</v>
      </c>
      <c r="B8" s="11"/>
      <c r="C8" s="19"/>
    </row>
    <row r="9" spans="1:3" ht="20.25" customHeight="1" x14ac:dyDescent="0.35">
      <c r="A9" s="16" t="s">
        <v>26</v>
      </c>
      <c r="B9" s="12"/>
      <c r="C9" s="19"/>
    </row>
    <row r="10" spans="1:3" ht="23.25" customHeight="1" x14ac:dyDescent="0.35">
      <c r="A10" s="18" t="s">
        <v>13</v>
      </c>
      <c r="B10" s="8"/>
      <c r="C10" s="20"/>
    </row>
    <row r="11" spans="1:3" ht="20.25" customHeight="1" x14ac:dyDescent="0.35">
      <c r="A11" s="16" t="s">
        <v>27</v>
      </c>
      <c r="B11" s="13"/>
      <c r="C11" s="19"/>
    </row>
    <row r="12" spans="1:3" ht="20.25" customHeight="1" x14ac:dyDescent="0.35">
      <c r="A12" s="16" t="s">
        <v>28</v>
      </c>
      <c r="B12" s="14"/>
      <c r="C12" s="19"/>
    </row>
    <row r="13" spans="1:3" x14ac:dyDescent="0.35">
      <c r="A13" s="19"/>
      <c r="B13" s="19"/>
      <c r="C13" s="19"/>
    </row>
    <row r="14" spans="1:3" x14ac:dyDescent="0.35">
      <c r="A14" s="26" t="s">
        <v>12</v>
      </c>
      <c r="B14" s="15"/>
      <c r="C14" s="21"/>
    </row>
    <row r="15" spans="1:3" ht="13.15" x14ac:dyDescent="0.35">
      <c r="A15" s="23"/>
      <c r="B15" s="19"/>
      <c r="C15" s="21"/>
    </row>
    <row r="16" spans="1:3" ht="13.5" thickBot="1" x14ac:dyDescent="0.4">
      <c r="A16" s="24"/>
      <c r="B16" s="25"/>
      <c r="C16" s="22"/>
    </row>
    <row r="19" spans="2:2" x14ac:dyDescent="0.35">
      <c r="B19" s="7"/>
    </row>
  </sheetData>
  <sheetProtection selectLockedCells="1"/>
  <mergeCells count="2">
    <mergeCell ref="A1:C1"/>
    <mergeCell ref="A2:C2"/>
  </mergeCells>
  <phoneticPr fontId="11" type="noConversion"/>
  <dataValidations count="2">
    <dataValidation type="list" allowBlank="1" showInputMessage="1" showErrorMessage="1" sqref="B9 B12" xr:uid="{74757826-0410-44EB-91EC-9D4F93A63A12}">
      <formula1>No_yes</formula1>
    </dataValidation>
    <dataValidation showInputMessage="1" showErrorMessage="1" sqref="B10" xr:uid="{0A73D6CA-F678-4A0B-A1B9-6D4DEF3EBA50}"/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_xludf.Clear">
                <anchor moveWithCells="1" sizeWithCells="1">
                  <from>
                    <xdr:col>0</xdr:col>
                    <xdr:colOff>1181100</xdr:colOff>
                    <xdr:row>14</xdr:row>
                    <xdr:rowOff>47625</xdr:rowOff>
                  </from>
                  <to>
                    <xdr:col>0</xdr:col>
                    <xdr:colOff>2428875</xdr:colOff>
                    <xdr:row>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Calculate">
                <anchor moveWithCells="1">
                  <from>
                    <xdr:col>0</xdr:col>
                    <xdr:colOff>1190625</xdr:colOff>
                    <xdr:row>12</xdr:row>
                    <xdr:rowOff>85725</xdr:rowOff>
                  </from>
                  <to>
                    <xdr:col>0</xdr:col>
                    <xdr:colOff>2428875</xdr:colOff>
                    <xdr:row>13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01CB-04D1-4579-B504-F2523377D9EB}">
  <sheetPr codeName="Sheet2"/>
  <dimension ref="A1:E22"/>
  <sheetViews>
    <sheetView workbookViewId="0">
      <selection activeCell="E20" sqref="E20"/>
    </sheetView>
  </sheetViews>
  <sheetFormatPr defaultRowHeight="12.75" x14ac:dyDescent="0.35"/>
  <cols>
    <col min="1" max="1" width="29.86328125" bestFit="1" customWidth="1"/>
  </cols>
  <sheetData>
    <row r="1" spans="1:5" x14ac:dyDescent="0.35">
      <c r="E1" t="s">
        <v>17</v>
      </c>
    </row>
    <row r="2" spans="1:5" x14ac:dyDescent="0.35">
      <c r="A2" t="s">
        <v>2</v>
      </c>
      <c r="B2" s="2">
        <v>15</v>
      </c>
      <c r="E2" t="s">
        <v>11</v>
      </c>
    </row>
    <row r="3" spans="1:5" x14ac:dyDescent="0.35">
      <c r="A3" t="s">
        <v>3</v>
      </c>
      <c r="B3" s="2">
        <v>0.11</v>
      </c>
      <c r="E3" t="s">
        <v>10</v>
      </c>
    </row>
    <row r="4" spans="1:5" x14ac:dyDescent="0.35">
      <c r="A4" t="s">
        <v>4</v>
      </c>
      <c r="B4" s="2">
        <v>0.11</v>
      </c>
    </row>
    <row r="5" spans="1:5" x14ac:dyDescent="0.35">
      <c r="A5" t="s">
        <v>5</v>
      </c>
      <c r="B5" s="2">
        <v>0.09</v>
      </c>
    </row>
    <row r="6" spans="1:5" x14ac:dyDescent="0.35">
      <c r="A6" t="s">
        <v>6</v>
      </c>
      <c r="B6" s="2">
        <v>0.09</v>
      </c>
    </row>
    <row r="7" spans="1:5" x14ac:dyDescent="0.35">
      <c r="A7" t="s">
        <v>7</v>
      </c>
      <c r="B7" s="2">
        <v>0.15</v>
      </c>
    </row>
    <row r="8" spans="1:5" x14ac:dyDescent="0.35">
      <c r="A8" t="s">
        <v>8</v>
      </c>
      <c r="B8" s="2">
        <v>0.23</v>
      </c>
    </row>
    <row r="9" spans="1:5" x14ac:dyDescent="0.35">
      <c r="A9" t="s">
        <v>14</v>
      </c>
      <c r="B9" s="4">
        <v>6.0000000000000001E-3</v>
      </c>
    </row>
    <row r="10" spans="1:5" x14ac:dyDescent="0.35">
      <c r="A10" t="s">
        <v>9</v>
      </c>
      <c r="B10" s="3">
        <f>IF(B16&lt;B15,B16,B15)</f>
        <v>0</v>
      </c>
    </row>
    <row r="11" spans="1:5" x14ac:dyDescent="0.35">
      <c r="A11" t="s">
        <v>19</v>
      </c>
      <c r="B11" s="5">
        <f>B17</f>
        <v>0</v>
      </c>
    </row>
    <row r="12" spans="1:5" x14ac:dyDescent="0.35">
      <c r="B12" s="1"/>
    </row>
    <row r="14" spans="1:5" ht="13.15" x14ac:dyDescent="0.4">
      <c r="A14" s="29" t="s">
        <v>18</v>
      </c>
      <c r="B14" s="29"/>
    </row>
    <row r="15" spans="1:5" x14ac:dyDescent="0.35">
      <c r="A15" t="s">
        <v>16</v>
      </c>
      <c r="B15" s="3">
        <f>IF(Calculator!B3&gt;29999,B20,0)</f>
        <v>0</v>
      </c>
    </row>
    <row r="16" spans="1:5" x14ac:dyDescent="0.35">
      <c r="A16" t="s">
        <v>15</v>
      </c>
      <c r="B16" s="3">
        <f>IF(AND(Calculator!B9="yes",Calculator!B11&gt;249999,Calculator!B3&gt;14999),B21,0)</f>
        <v>0</v>
      </c>
    </row>
    <row r="17" spans="1:2" x14ac:dyDescent="0.35">
      <c r="A17" t="s">
        <v>19</v>
      </c>
      <c r="B17">
        <f>IF(Calculator!B12="yes",B22,0)</f>
        <v>0</v>
      </c>
    </row>
    <row r="19" spans="1:2" ht="13.15" x14ac:dyDescent="0.4">
      <c r="A19" s="29" t="s">
        <v>20</v>
      </c>
      <c r="B19" s="29"/>
    </row>
    <row r="20" spans="1:2" x14ac:dyDescent="0.35">
      <c r="A20" t="s">
        <v>16</v>
      </c>
      <c r="B20">
        <v>-100</v>
      </c>
    </row>
    <row r="21" spans="1:2" x14ac:dyDescent="0.35">
      <c r="A21" t="s">
        <v>15</v>
      </c>
      <c r="B21">
        <v>-125</v>
      </c>
    </row>
    <row r="22" spans="1:2" x14ac:dyDescent="0.35">
      <c r="A22" t="s">
        <v>19</v>
      </c>
      <c r="B22">
        <v>50</v>
      </c>
    </row>
  </sheetData>
  <mergeCells count="2">
    <mergeCell ref="A14:B14"/>
    <mergeCell ref="A19:B19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Calculator</vt:lpstr>
      <vt:lpstr>Fees</vt:lpstr>
      <vt:lpstr>No_yes</vt:lpstr>
      <vt:lpstr>Calculator!Print_Area</vt:lpstr>
    </vt:vector>
  </TitlesOfParts>
  <Company>Quantum National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jarnott</dc:creator>
  <cp:lastModifiedBy>ly Gu</cp:lastModifiedBy>
  <cp:lastPrinted>2011-01-26T19:44:13Z</cp:lastPrinted>
  <dcterms:created xsi:type="dcterms:W3CDTF">2011-01-24T18:36:38Z</dcterms:created>
  <dcterms:modified xsi:type="dcterms:W3CDTF">2026-02-11T09:30:59Z</dcterms:modified>
</cp:coreProperties>
</file>