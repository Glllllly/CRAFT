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drawings/drawing2.xml" ContentType="application/vnd.openxmlformats-officedocument.drawing+xml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drawings/drawing3.xml" ContentType="application/vnd.openxmlformats-officedocument.drawing+xml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drawings/drawing4.xml" ContentType="application/vnd.openxmlformats-officedocument.drawing+xml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drawings/drawing5.xml" ContentType="application/vnd.openxmlformats-officedocument.drawing+xml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drawings/drawing6.xml" ContentType="application/vnd.openxmlformats-officedocument.drawing+xml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drawings/drawing7.xml" ContentType="application/vnd.openxmlformats-officedocument.drawing+xml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drawings/drawing8.xml" ContentType="application/vnd.openxmlformats-officedocument.drawing+xml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drawings/drawing9.xml" ContentType="application/vnd.openxmlformats-officedocument.drawing+xml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glllllly\fillexcel\excel-filling\benchmark\excel_v1.5\"/>
    </mc:Choice>
  </mc:AlternateContent>
  <xr:revisionPtr revIDLastSave="0" documentId="8_{46EB4B09-2F23-45BE-8210-1FBB8BC66AC1}" xr6:coauthVersionLast="47" xr6:coauthVersionMax="47" xr10:uidLastSave="{00000000-0000-0000-0000-000000000000}"/>
  <bookViews>
    <workbookView xWindow="735" yWindow="735" windowWidth="17280" windowHeight="9983" tabRatio="810" activeTab="1" xr2:uid="{A46DF0B5-35D8-46B6-B670-3BEE00724B4E}"/>
  </bookViews>
  <sheets>
    <sheet name="Instruction Page" sheetId="42" r:id="rId1"/>
    <sheet name="Offers-Strip" sheetId="32" r:id="rId2"/>
    <sheet name="Nov OPP" sheetId="26" r:id="rId3"/>
    <sheet name="Dec OPP" sheetId="27" r:id="rId4"/>
    <sheet name="Jan OPP" sheetId="28" r:id="rId5"/>
    <sheet name="Feb OPP" sheetId="29" r:id="rId6"/>
    <sheet name="Mar OPP" sheetId="30" r:id="rId7"/>
    <sheet name="Apr OPP" sheetId="31" r:id="rId8"/>
    <sheet name="Strip Award" sheetId="40" r:id="rId9"/>
    <sheet name="Monthly OPP Awards" sheetId="41" r:id="rId10"/>
    <sheet name="Offers to Sell (2)" sheetId="22" state="hidden" r:id="rId11"/>
  </sheets>
  <definedNames>
    <definedName name="AprAward">'Monthly OPP Awards'!$A$60:$I$69</definedName>
    <definedName name="AprOffer" localSheetId="9">'Monthly OPP Awards'!$A$6:$D$13</definedName>
    <definedName name="AprOffer" localSheetId="8">'Strip Award'!#REF!</definedName>
    <definedName name="AprOffer">'Apr OPP'!$A$17:$R$24</definedName>
    <definedName name="AugAward">'Monthly OPP Awards'!$A$38:$I$69</definedName>
    <definedName name="AugOffer">'Feb OPP'!$A$17:$R$24</definedName>
    <definedName name="cell1">'Monthly OPP Awards'!#REF!</definedName>
    <definedName name="cell2">'Monthly OPP Awards'!#REF!</definedName>
    <definedName name="cell3">'Monthly OPP Awards'!#REF!</definedName>
    <definedName name="DecAward">'Monthly OPP Awards'!$A$16:$I$69</definedName>
    <definedName name="DecOffer">'Dec OPP'!$A$17:$R$24</definedName>
    <definedName name="FebAward">'Monthly OPP Awards'!$A$38:$I$69</definedName>
    <definedName name="FebOffer">'Feb OPP'!$A$17:$R$24</definedName>
    <definedName name="JanAward">'Monthly OPP Awards'!$A$27:$I$69</definedName>
    <definedName name="JanOffer">'Jan OPP'!$A$17:$R$24</definedName>
    <definedName name="JulAward">'Monthly OPP Awards'!$A$27:$I$69</definedName>
    <definedName name="JulOffer">'Jan OPP'!$A$17:$R$24</definedName>
    <definedName name="JunAward">'Monthly OPP Awards'!$A$16:$I$69</definedName>
    <definedName name="JunOffer">'Dec OPP'!$A$17:$R$24</definedName>
    <definedName name="MarAward">'Monthly OPP Awards'!$A$49:$I$69</definedName>
    <definedName name="MarOffer">'Mar OPP'!$A$17:$R$24</definedName>
    <definedName name="MayAward">'Monthly OPP Awards'!$A$5:$I$69</definedName>
    <definedName name="MayOffer">'Nov OPP'!$A$17:$R$24</definedName>
    <definedName name="NovAward">'Monthly OPP Awards'!$A$5:$I$69</definedName>
    <definedName name="NovOffer">'Nov OPP'!$A$17:$R$24</definedName>
    <definedName name="OctAward">'Monthly OPP Awards'!$A$60:$I$69</definedName>
    <definedName name="OctOffer" localSheetId="9">'Monthly OPP Awards'!$A$6:$D$13</definedName>
    <definedName name="OctOffer" localSheetId="8">'Strip Award'!#REF!</definedName>
    <definedName name="OctOffer">'Apr OPP'!$A$17:$R$24</definedName>
    <definedName name="opp1insrow">'Monthly OPP Awards'!#REF!</definedName>
    <definedName name="opp2insrow">'Monthly OPP Awards'!#REF!</definedName>
    <definedName name="opp3insrow">'Monthly OPP Awards'!#REF!</definedName>
    <definedName name="opp4insrow">'Monthly OPP Awards'!#REF!</definedName>
    <definedName name="opp5insrow">'Monthly OPP Awards'!#REF!</definedName>
    <definedName name="opp6insrow">'Monthly OPP Awards'!#REF!</definedName>
    <definedName name="oppdiff1">'Monthly OPP Awards'!$A$115</definedName>
    <definedName name="oppdiff2">'Monthly OPP Awards'!#REF!</definedName>
    <definedName name="oppdiff3">'Monthly OPP Awards'!$B$115</definedName>
    <definedName name="oppdiff4">'Monthly OPP Awards'!#REF!</definedName>
    <definedName name="oppdiff5">'Monthly OPP Awards'!$C$115</definedName>
    <definedName name="oppdiff6">'Monthly OPP Awards'!$D$115</definedName>
    <definedName name="_xlnm.Print_Area" localSheetId="7">'Apr OPP'!$A$3:$X$41</definedName>
    <definedName name="_xlnm.Print_Area" localSheetId="3">'Dec OPP'!$A$3:$X$41</definedName>
    <definedName name="_xlnm.Print_Area" localSheetId="5">'Feb OPP'!$A$3:$X$41</definedName>
    <definedName name="_xlnm.Print_Area" localSheetId="4">'Jan OPP'!$A$3:$X$41</definedName>
    <definedName name="_xlnm.Print_Area" localSheetId="6">'Mar OPP'!$A$3:$X$41</definedName>
    <definedName name="_xlnm.Print_Area" localSheetId="2">'Nov OPP'!$A$3:$Y$40</definedName>
    <definedName name="_xlnm.Print_Area" localSheetId="1">'Offers-Strip'!$A$3:$X$41</definedName>
    <definedName name="SepAward">'Monthly OPP Awards'!$A$49:$I$69</definedName>
    <definedName name="SepOffer">'Mar OPP'!$A$17:$R$24</definedName>
    <definedName name="StripAward">'Strip Award'!$A$16:$I$25</definedName>
    <definedName name="StripOffer">'Offers-Strip'!$A$17:$R$24</definedName>
    <definedName name="sumdiff">'Monthly OPP Awards'!$F$115</definedName>
    <definedName name="temp" localSheetId="9">'Monthly OPP Awards'!$A$5:$H$17</definedName>
    <definedName name="temp" localSheetId="8">'Strip Award'!$A$11:$H$15</definedName>
    <definedName name="temp">#REF!</definedName>
    <definedName name="Templete">'Nov OPP'!$A$3:$AB$40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31" l="1"/>
  <c r="E17" i="31"/>
  <c r="O17" i="31"/>
  <c r="P17" i="31"/>
  <c r="S17" i="31"/>
  <c r="S25" i="31"/>
  <c r="T17" i="31"/>
  <c r="T25" i="31"/>
  <c r="I25" i="31"/>
  <c r="U17" i="31"/>
  <c r="V17" i="31"/>
  <c r="W17" i="31"/>
  <c r="W25" i="31"/>
  <c r="A18" i="31"/>
  <c r="B18" i="31"/>
  <c r="E18" i="31"/>
  <c r="O18" i="31"/>
  <c r="P18" i="31"/>
  <c r="S18" i="31"/>
  <c r="T18" i="31"/>
  <c r="U18" i="31"/>
  <c r="U25" i="31"/>
  <c r="V18" i="31"/>
  <c r="V25" i="31"/>
  <c r="W18" i="31"/>
  <c r="A19" i="31"/>
  <c r="B19" i="31"/>
  <c r="E19" i="31"/>
  <c r="O19" i="31"/>
  <c r="P19" i="31"/>
  <c r="S19" i="31"/>
  <c r="T19" i="31"/>
  <c r="U19" i="31"/>
  <c r="V19" i="31"/>
  <c r="W19" i="31"/>
  <c r="B20" i="31"/>
  <c r="E20" i="31"/>
  <c r="O20" i="31"/>
  <c r="P20" i="31"/>
  <c r="S20" i="31"/>
  <c r="T20" i="31"/>
  <c r="U20" i="31"/>
  <c r="V20" i="31"/>
  <c r="W20" i="31"/>
  <c r="B21" i="31"/>
  <c r="E21" i="31"/>
  <c r="O21" i="31"/>
  <c r="P21" i="31"/>
  <c r="S21" i="31"/>
  <c r="T21" i="31"/>
  <c r="U21" i="31"/>
  <c r="V21" i="31"/>
  <c r="W21" i="31"/>
  <c r="B22" i="31"/>
  <c r="E22" i="31"/>
  <c r="O22" i="31"/>
  <c r="P22" i="31"/>
  <c r="S22" i="31"/>
  <c r="T22" i="31"/>
  <c r="U22" i="31"/>
  <c r="V22" i="31"/>
  <c r="W22" i="31"/>
  <c r="B23" i="31"/>
  <c r="E23" i="31"/>
  <c r="O23" i="31"/>
  <c r="P23" i="31"/>
  <c r="S23" i="31"/>
  <c r="T23" i="31"/>
  <c r="U23" i="31"/>
  <c r="V23" i="31"/>
  <c r="W23" i="31"/>
  <c r="B24" i="31"/>
  <c r="E24" i="31"/>
  <c r="O24" i="31"/>
  <c r="P24" i="31"/>
  <c r="S24" i="31"/>
  <c r="T24" i="31"/>
  <c r="U24" i="31"/>
  <c r="V24" i="31"/>
  <c r="W24" i="31"/>
  <c r="M8" i="27"/>
  <c r="M9" i="27"/>
  <c r="B17" i="27"/>
  <c r="E17" i="27"/>
  <c r="O17" i="27"/>
  <c r="P17" i="27"/>
  <c r="Q17" i="27"/>
  <c r="R17" i="27"/>
  <c r="S17" i="27"/>
  <c r="S25" i="27"/>
  <c r="T17" i="27"/>
  <c r="T25" i="27"/>
  <c r="I25" i="27"/>
  <c r="U17" i="27"/>
  <c r="V17" i="27"/>
  <c r="W17" i="27"/>
  <c r="A18" i="27"/>
  <c r="B18" i="27"/>
  <c r="E18" i="27"/>
  <c r="O18" i="27"/>
  <c r="P18" i="27"/>
  <c r="Q18" i="27"/>
  <c r="R18" i="27"/>
  <c r="S18" i="27"/>
  <c r="T18" i="27"/>
  <c r="U18" i="27"/>
  <c r="U25" i="27"/>
  <c r="V18" i="27"/>
  <c r="V25" i="27"/>
  <c r="W18" i="27"/>
  <c r="W25" i="27"/>
  <c r="A19" i="27"/>
  <c r="B19" i="27"/>
  <c r="E19" i="27"/>
  <c r="O19" i="27"/>
  <c r="P19" i="27"/>
  <c r="Q19" i="27"/>
  <c r="R19" i="27"/>
  <c r="S19" i="27"/>
  <c r="T19" i="27"/>
  <c r="U19" i="27"/>
  <c r="V19" i="27"/>
  <c r="W19" i="27"/>
  <c r="B20" i="27"/>
  <c r="E20" i="27"/>
  <c r="C20" i="41"/>
  <c r="O20" i="27"/>
  <c r="P20" i="27"/>
  <c r="Q20" i="27"/>
  <c r="R20" i="27"/>
  <c r="S20" i="27"/>
  <c r="T20" i="27"/>
  <c r="U20" i="27"/>
  <c r="V20" i="27"/>
  <c r="W20" i="27"/>
  <c r="B21" i="27"/>
  <c r="E21" i="27"/>
  <c r="O21" i="27"/>
  <c r="P21" i="27"/>
  <c r="Q21" i="27"/>
  <c r="R21" i="27"/>
  <c r="S21" i="27"/>
  <c r="T21" i="27"/>
  <c r="U21" i="27"/>
  <c r="V21" i="27"/>
  <c r="W21" i="27"/>
  <c r="B22" i="27"/>
  <c r="E22" i="27"/>
  <c r="O22" i="27"/>
  <c r="P22" i="27"/>
  <c r="Q22" i="27"/>
  <c r="R22" i="27"/>
  <c r="S22" i="27"/>
  <c r="T22" i="27"/>
  <c r="U22" i="27"/>
  <c r="V22" i="27"/>
  <c r="W22" i="27"/>
  <c r="B23" i="27"/>
  <c r="E23" i="27"/>
  <c r="O23" i="27"/>
  <c r="P23" i="27"/>
  <c r="Q23" i="27"/>
  <c r="R23" i="27"/>
  <c r="S23" i="27"/>
  <c r="T23" i="27"/>
  <c r="U23" i="27"/>
  <c r="V23" i="27"/>
  <c r="W23" i="27"/>
  <c r="B24" i="27"/>
  <c r="E24" i="27"/>
  <c r="C24" i="41"/>
  <c r="O24" i="27"/>
  <c r="P24" i="27"/>
  <c r="Q24" i="27"/>
  <c r="R24" i="27"/>
  <c r="S24" i="27"/>
  <c r="T24" i="27"/>
  <c r="U24" i="27"/>
  <c r="V24" i="27"/>
  <c r="W24" i="27"/>
  <c r="C32" i="27"/>
  <c r="L32" i="27"/>
  <c r="C34" i="27"/>
  <c r="C35" i="27"/>
  <c r="C36" i="27"/>
  <c r="C37" i="27"/>
  <c r="C38" i="27"/>
  <c r="C40" i="27"/>
  <c r="B17" i="29"/>
  <c r="E17" i="29"/>
  <c r="O17" i="29"/>
  <c r="P17" i="29"/>
  <c r="S17" i="29"/>
  <c r="S25" i="29"/>
  <c r="T17" i="29"/>
  <c r="T25" i="29"/>
  <c r="U17" i="29"/>
  <c r="V17" i="29"/>
  <c r="W17" i="29"/>
  <c r="A18" i="29"/>
  <c r="B18" i="29"/>
  <c r="E18" i="29"/>
  <c r="O18" i="29"/>
  <c r="P18" i="29"/>
  <c r="S18" i="29"/>
  <c r="T18" i="29"/>
  <c r="U18" i="29"/>
  <c r="U25" i="29"/>
  <c r="V18" i="29"/>
  <c r="V25" i="29"/>
  <c r="W18" i="29"/>
  <c r="W25" i="29"/>
  <c r="A19" i="29"/>
  <c r="B19" i="29"/>
  <c r="E19" i="29"/>
  <c r="O19" i="29"/>
  <c r="P19" i="29"/>
  <c r="S19" i="29"/>
  <c r="T19" i="29"/>
  <c r="U19" i="29"/>
  <c r="V19" i="29"/>
  <c r="W19" i="29"/>
  <c r="B20" i="29"/>
  <c r="E20" i="29"/>
  <c r="C42" i="41"/>
  <c r="O20" i="29"/>
  <c r="P20" i="29"/>
  <c r="S20" i="29"/>
  <c r="T20" i="29"/>
  <c r="U20" i="29"/>
  <c r="V20" i="29"/>
  <c r="W20" i="29"/>
  <c r="B21" i="29"/>
  <c r="E21" i="29"/>
  <c r="O21" i="29"/>
  <c r="P21" i="29"/>
  <c r="S21" i="29"/>
  <c r="T21" i="29"/>
  <c r="U21" i="29"/>
  <c r="V21" i="29"/>
  <c r="W21" i="29"/>
  <c r="B22" i="29"/>
  <c r="E22" i="29"/>
  <c r="O22" i="29"/>
  <c r="P22" i="29"/>
  <c r="S22" i="29"/>
  <c r="T22" i="29"/>
  <c r="U22" i="29"/>
  <c r="V22" i="29"/>
  <c r="W22" i="29"/>
  <c r="B23" i="29"/>
  <c r="E23" i="29"/>
  <c r="O23" i="29"/>
  <c r="P23" i="29"/>
  <c r="S23" i="29"/>
  <c r="T23" i="29"/>
  <c r="U23" i="29"/>
  <c r="V23" i="29"/>
  <c r="W23" i="29"/>
  <c r="B24" i="29"/>
  <c r="E24" i="29"/>
  <c r="C46" i="41"/>
  <c r="O24" i="29"/>
  <c r="P24" i="29"/>
  <c r="S24" i="29"/>
  <c r="T24" i="29"/>
  <c r="U24" i="29"/>
  <c r="V24" i="29"/>
  <c r="W24" i="29"/>
  <c r="M8" i="28"/>
  <c r="M8" i="29"/>
  <c r="M9" i="28"/>
  <c r="M9" i="29"/>
  <c r="B17" i="28"/>
  <c r="E17" i="28"/>
  <c r="O17" i="28"/>
  <c r="P17" i="28"/>
  <c r="Q17" i="28"/>
  <c r="R17" i="28"/>
  <c r="S17" i="28"/>
  <c r="S25" i="28"/>
  <c r="T17" i="28"/>
  <c r="T25" i="28"/>
  <c r="U17" i="28"/>
  <c r="V17" i="28"/>
  <c r="W17" i="28"/>
  <c r="A18" i="28"/>
  <c r="B18" i="28"/>
  <c r="E18" i="28"/>
  <c r="O18" i="28"/>
  <c r="P18" i="28"/>
  <c r="Q18" i="28"/>
  <c r="R18" i="28"/>
  <c r="S18" i="28"/>
  <c r="T18" i="28"/>
  <c r="U18" i="28"/>
  <c r="U25" i="28"/>
  <c r="V18" i="28"/>
  <c r="V25" i="28"/>
  <c r="W18" i="28"/>
  <c r="W25" i="28"/>
  <c r="A19" i="28"/>
  <c r="B19" i="28"/>
  <c r="E19" i="28"/>
  <c r="O19" i="28"/>
  <c r="P19" i="28"/>
  <c r="Q19" i="28"/>
  <c r="R19" i="28"/>
  <c r="S19" i="28"/>
  <c r="T19" i="28"/>
  <c r="U19" i="28"/>
  <c r="V19" i="28"/>
  <c r="W19" i="28"/>
  <c r="B20" i="28"/>
  <c r="E20" i="28"/>
  <c r="O20" i="28"/>
  <c r="P20" i="28"/>
  <c r="Q20" i="28"/>
  <c r="R20" i="28"/>
  <c r="S20" i="28"/>
  <c r="T20" i="28"/>
  <c r="U20" i="28"/>
  <c r="V20" i="28"/>
  <c r="W20" i="28"/>
  <c r="B21" i="28"/>
  <c r="E21" i="28"/>
  <c r="O21" i="28"/>
  <c r="P21" i="28"/>
  <c r="Q21" i="28"/>
  <c r="R21" i="28"/>
  <c r="S21" i="28"/>
  <c r="T21" i="28"/>
  <c r="U21" i="28"/>
  <c r="V21" i="28"/>
  <c r="W21" i="28"/>
  <c r="B22" i="28"/>
  <c r="E22" i="28"/>
  <c r="O22" i="28"/>
  <c r="P22" i="28"/>
  <c r="Q22" i="28"/>
  <c r="R22" i="28"/>
  <c r="S22" i="28"/>
  <c r="T22" i="28"/>
  <c r="U22" i="28"/>
  <c r="V22" i="28"/>
  <c r="W22" i="28"/>
  <c r="B23" i="28"/>
  <c r="E23" i="28"/>
  <c r="O23" i="28"/>
  <c r="P23" i="28"/>
  <c r="Q23" i="28"/>
  <c r="R23" i="28"/>
  <c r="S23" i="28"/>
  <c r="T23" i="28"/>
  <c r="U23" i="28"/>
  <c r="V23" i="28"/>
  <c r="W23" i="28"/>
  <c r="B24" i="28"/>
  <c r="E24" i="28"/>
  <c r="O24" i="28"/>
  <c r="P24" i="28"/>
  <c r="Q24" i="28"/>
  <c r="R24" i="28"/>
  <c r="S24" i="28"/>
  <c r="T24" i="28"/>
  <c r="U24" i="28"/>
  <c r="V24" i="28"/>
  <c r="W24" i="28"/>
  <c r="C32" i="28"/>
  <c r="C32" i="29"/>
  <c r="C32" i="30"/>
  <c r="C32" i="31"/>
  <c r="L32" i="28"/>
  <c r="L32" i="29"/>
  <c r="L32" i="30"/>
  <c r="L32" i="31"/>
  <c r="C34" i="28"/>
  <c r="C34" i="29"/>
  <c r="C34" i="30"/>
  <c r="C34" i="31"/>
  <c r="C35" i="28"/>
  <c r="C35" i="29"/>
  <c r="C35" i="30"/>
  <c r="C35" i="31"/>
  <c r="C36" i="28"/>
  <c r="C36" i="29"/>
  <c r="C36" i="30"/>
  <c r="C36" i="31"/>
  <c r="C37" i="28"/>
  <c r="C37" i="29"/>
  <c r="C37" i="30"/>
  <c r="C37" i="31"/>
  <c r="C38" i="28"/>
  <c r="C38" i="29"/>
  <c r="C38" i="30"/>
  <c r="C38" i="31"/>
  <c r="C40" i="28"/>
  <c r="C40" i="29"/>
  <c r="C40" i="30"/>
  <c r="C40" i="31"/>
  <c r="B17" i="30"/>
  <c r="E17" i="30"/>
  <c r="O17" i="30"/>
  <c r="P17" i="30"/>
  <c r="S17" i="30"/>
  <c r="S25" i="30"/>
  <c r="T17" i="30"/>
  <c r="T25" i="30"/>
  <c r="U17" i="30"/>
  <c r="V17" i="30"/>
  <c r="W17" i="30"/>
  <c r="A18" i="30"/>
  <c r="B18" i="30"/>
  <c r="E18" i="30"/>
  <c r="O18" i="30"/>
  <c r="P18" i="30"/>
  <c r="S18" i="30"/>
  <c r="T18" i="30"/>
  <c r="U18" i="30"/>
  <c r="U25" i="30"/>
  <c r="V18" i="30"/>
  <c r="V25" i="30"/>
  <c r="W18" i="30"/>
  <c r="W25" i="30"/>
  <c r="A19" i="30"/>
  <c r="B19" i="30"/>
  <c r="E19" i="30"/>
  <c r="O19" i="30"/>
  <c r="P19" i="30"/>
  <c r="S19" i="30"/>
  <c r="T19" i="30"/>
  <c r="U19" i="30"/>
  <c r="V19" i="30"/>
  <c r="W19" i="30"/>
  <c r="B20" i="30"/>
  <c r="E20" i="30"/>
  <c r="O20" i="30"/>
  <c r="P20" i="30"/>
  <c r="S20" i="30"/>
  <c r="T20" i="30"/>
  <c r="U20" i="30"/>
  <c r="V20" i="30"/>
  <c r="W20" i="30"/>
  <c r="B21" i="30"/>
  <c r="E21" i="30"/>
  <c r="O21" i="30"/>
  <c r="P21" i="30"/>
  <c r="S21" i="30"/>
  <c r="T21" i="30"/>
  <c r="U21" i="30"/>
  <c r="V21" i="30"/>
  <c r="W21" i="30"/>
  <c r="B22" i="30"/>
  <c r="E22" i="30"/>
  <c r="O22" i="30"/>
  <c r="P22" i="30"/>
  <c r="S22" i="30"/>
  <c r="T22" i="30"/>
  <c r="U22" i="30"/>
  <c r="V22" i="30"/>
  <c r="W22" i="30"/>
  <c r="B23" i="30"/>
  <c r="E23" i="30"/>
  <c r="O23" i="30"/>
  <c r="P23" i="30"/>
  <c r="S23" i="30"/>
  <c r="T23" i="30"/>
  <c r="U23" i="30"/>
  <c r="V23" i="30"/>
  <c r="W23" i="30"/>
  <c r="B24" i="30"/>
  <c r="E24" i="30"/>
  <c r="O24" i="30"/>
  <c r="P24" i="30"/>
  <c r="S24" i="30"/>
  <c r="T24" i="30"/>
  <c r="U24" i="30"/>
  <c r="V24" i="30"/>
  <c r="W24" i="30"/>
  <c r="B6" i="41"/>
  <c r="C6" i="41"/>
  <c r="D6" i="41"/>
  <c r="E6" i="41"/>
  <c r="H6" i="41"/>
  <c r="I6" i="41"/>
  <c r="A7" i="41"/>
  <c r="B7" i="41"/>
  <c r="C7" i="41"/>
  <c r="D7" i="41"/>
  <c r="E7" i="41"/>
  <c r="H7" i="41"/>
  <c r="I7" i="41"/>
  <c r="A8" i="41"/>
  <c r="B8" i="41"/>
  <c r="C8" i="41"/>
  <c r="D8" i="41"/>
  <c r="E8" i="41"/>
  <c r="H8" i="41"/>
  <c r="I8" i="41"/>
  <c r="B9" i="41"/>
  <c r="C9" i="41"/>
  <c r="D9" i="41"/>
  <c r="E9" i="41"/>
  <c r="H9" i="41"/>
  <c r="I9" i="41"/>
  <c r="B10" i="41"/>
  <c r="C10" i="41"/>
  <c r="D10" i="41"/>
  <c r="E10" i="41"/>
  <c r="H10" i="41"/>
  <c r="I10" i="41"/>
  <c r="B11" i="41"/>
  <c r="C11" i="41"/>
  <c r="D11" i="41"/>
  <c r="E11" i="41"/>
  <c r="H11" i="41"/>
  <c r="I11" i="41"/>
  <c r="B12" i="41"/>
  <c r="C12" i="41"/>
  <c r="D12" i="41"/>
  <c r="E12" i="41"/>
  <c r="H12" i="41"/>
  <c r="I12" i="41"/>
  <c r="B13" i="41"/>
  <c r="C13" i="41"/>
  <c r="D13" i="41"/>
  <c r="E13" i="41"/>
  <c r="H13" i="41"/>
  <c r="I13" i="41"/>
  <c r="D14" i="41"/>
  <c r="H14" i="41"/>
  <c r="B17" i="41"/>
  <c r="C17" i="41"/>
  <c r="D17" i="41"/>
  <c r="E17" i="41"/>
  <c r="H17" i="41"/>
  <c r="H25" i="41"/>
  <c r="I17" i="41"/>
  <c r="A18" i="41"/>
  <c r="B18" i="41"/>
  <c r="C18" i="41"/>
  <c r="D18" i="41"/>
  <c r="E18" i="41"/>
  <c r="H18" i="41"/>
  <c r="I18" i="41"/>
  <c r="A19" i="41"/>
  <c r="B19" i="41"/>
  <c r="C19" i="41"/>
  <c r="D19" i="41"/>
  <c r="E19" i="41"/>
  <c r="H19" i="41"/>
  <c r="I19" i="41"/>
  <c r="B20" i="41"/>
  <c r="D20" i="41"/>
  <c r="E20" i="41"/>
  <c r="H20" i="41"/>
  <c r="I20" i="41"/>
  <c r="B21" i="41"/>
  <c r="C21" i="41"/>
  <c r="D21" i="41"/>
  <c r="E21" i="41"/>
  <c r="H21" i="41"/>
  <c r="I21" i="41"/>
  <c r="B22" i="41"/>
  <c r="C22" i="41"/>
  <c r="D22" i="41"/>
  <c r="E22" i="41"/>
  <c r="H22" i="41"/>
  <c r="I22" i="41"/>
  <c r="B23" i="41"/>
  <c r="C23" i="41"/>
  <c r="D23" i="41"/>
  <c r="E23" i="41"/>
  <c r="H23" i="41"/>
  <c r="I23" i="41"/>
  <c r="B24" i="41"/>
  <c r="D24" i="41"/>
  <c r="E24" i="41"/>
  <c r="H24" i="41"/>
  <c r="I24" i="41"/>
  <c r="D25" i="41"/>
  <c r="B28" i="41"/>
  <c r="C28" i="41"/>
  <c r="D28" i="41"/>
  <c r="E28" i="41"/>
  <c r="H28" i="41"/>
  <c r="H36" i="41"/>
  <c r="I28" i="41"/>
  <c r="A29" i="41"/>
  <c r="B29" i="41"/>
  <c r="C29" i="41"/>
  <c r="D29" i="41"/>
  <c r="E29" i="41"/>
  <c r="H29" i="41"/>
  <c r="I29" i="41"/>
  <c r="B30" i="41"/>
  <c r="C30" i="41"/>
  <c r="D30" i="41"/>
  <c r="E30" i="41"/>
  <c r="H30" i="41"/>
  <c r="I30" i="41"/>
  <c r="B31" i="41"/>
  <c r="C31" i="41"/>
  <c r="D31" i="41"/>
  <c r="E31" i="41"/>
  <c r="H31" i="41"/>
  <c r="I31" i="41"/>
  <c r="B32" i="41"/>
  <c r="C32" i="41"/>
  <c r="D32" i="41"/>
  <c r="E32" i="41"/>
  <c r="H32" i="41"/>
  <c r="I32" i="41"/>
  <c r="B33" i="41"/>
  <c r="C33" i="41"/>
  <c r="D33" i="41"/>
  <c r="E33" i="41"/>
  <c r="H33" i="41"/>
  <c r="I33" i="41"/>
  <c r="B34" i="41"/>
  <c r="C34" i="41"/>
  <c r="D34" i="41"/>
  <c r="E34" i="41"/>
  <c r="H34" i="41"/>
  <c r="I34" i="41"/>
  <c r="B35" i="41"/>
  <c r="C35" i="41"/>
  <c r="D35" i="41"/>
  <c r="E35" i="41"/>
  <c r="H35" i="41"/>
  <c r="I35" i="41"/>
  <c r="D36" i="41"/>
  <c r="B39" i="41"/>
  <c r="C39" i="41"/>
  <c r="D39" i="41"/>
  <c r="E39" i="41"/>
  <c r="H39" i="41"/>
  <c r="I39" i="41"/>
  <c r="A40" i="41"/>
  <c r="B40" i="41"/>
  <c r="C40" i="41"/>
  <c r="D40" i="41"/>
  <c r="E40" i="41"/>
  <c r="H40" i="41"/>
  <c r="I40" i="41"/>
  <c r="A41" i="41"/>
  <c r="B41" i="41"/>
  <c r="C41" i="41"/>
  <c r="D41" i="41"/>
  <c r="E41" i="41"/>
  <c r="H41" i="41"/>
  <c r="I41" i="41"/>
  <c r="B42" i="41"/>
  <c r="D42" i="41"/>
  <c r="E42" i="41"/>
  <c r="H42" i="41"/>
  <c r="H47" i="41"/>
  <c r="I42" i="41"/>
  <c r="B43" i="41"/>
  <c r="C43" i="41"/>
  <c r="D43" i="41"/>
  <c r="E43" i="41"/>
  <c r="H43" i="41"/>
  <c r="I43" i="41"/>
  <c r="B44" i="41"/>
  <c r="C44" i="41"/>
  <c r="D44" i="41"/>
  <c r="E44" i="41"/>
  <c r="H44" i="41"/>
  <c r="I44" i="41"/>
  <c r="B45" i="41"/>
  <c r="C45" i="41"/>
  <c r="D45" i="41"/>
  <c r="E45" i="41"/>
  <c r="H45" i="41"/>
  <c r="I45" i="41"/>
  <c r="B46" i="41"/>
  <c r="D46" i="41"/>
  <c r="E46" i="41"/>
  <c r="H46" i="41"/>
  <c r="I46" i="41"/>
  <c r="D47" i="41"/>
  <c r="B50" i="41"/>
  <c r="C50" i="41"/>
  <c r="D50" i="41"/>
  <c r="E50" i="41"/>
  <c r="H50" i="41"/>
  <c r="H58" i="41"/>
  <c r="I50" i="41"/>
  <c r="A51" i="41"/>
  <c r="B51" i="41"/>
  <c r="C51" i="41"/>
  <c r="D51" i="41"/>
  <c r="E51" i="41"/>
  <c r="H51" i="41"/>
  <c r="I51" i="41"/>
  <c r="A52" i="41"/>
  <c r="B52" i="41"/>
  <c r="C52" i="41"/>
  <c r="D52" i="41"/>
  <c r="E52" i="41"/>
  <c r="H52" i="41"/>
  <c r="I52" i="41"/>
  <c r="A53" i="41"/>
  <c r="B53" i="41"/>
  <c r="C53" i="41"/>
  <c r="D53" i="41"/>
  <c r="E53" i="41"/>
  <c r="H53" i="41"/>
  <c r="I53" i="41"/>
  <c r="B54" i="41"/>
  <c r="C54" i="41"/>
  <c r="D54" i="41"/>
  <c r="E54" i="41"/>
  <c r="H54" i="41"/>
  <c r="I54" i="41"/>
  <c r="B55" i="41"/>
  <c r="C55" i="41"/>
  <c r="D55" i="41"/>
  <c r="E55" i="41"/>
  <c r="H55" i="41"/>
  <c r="I55" i="41"/>
  <c r="B56" i="41"/>
  <c r="C56" i="41"/>
  <c r="D56" i="41"/>
  <c r="E56" i="41"/>
  <c r="H56" i="41"/>
  <c r="I56" i="41"/>
  <c r="B57" i="41"/>
  <c r="C57" i="41"/>
  <c r="D57" i="41"/>
  <c r="E57" i="41"/>
  <c r="H57" i="41"/>
  <c r="I57" i="41"/>
  <c r="D58" i="41"/>
  <c r="B61" i="41"/>
  <c r="C61" i="41"/>
  <c r="D61" i="41"/>
  <c r="E61" i="41"/>
  <c r="H61" i="41"/>
  <c r="H69" i="41"/>
  <c r="I61" i="41"/>
  <c r="A62" i="41"/>
  <c r="A63" i="41"/>
  <c r="B62" i="41"/>
  <c r="C62" i="41"/>
  <c r="D62" i="41"/>
  <c r="E62" i="41"/>
  <c r="H62" i="41"/>
  <c r="I62" i="41"/>
  <c r="B63" i="41"/>
  <c r="C63" i="41"/>
  <c r="D63" i="41"/>
  <c r="E63" i="41"/>
  <c r="H63" i="41"/>
  <c r="I63" i="41"/>
  <c r="B64" i="41"/>
  <c r="C64" i="41"/>
  <c r="D64" i="41"/>
  <c r="E64" i="41"/>
  <c r="H64" i="41"/>
  <c r="I64" i="41"/>
  <c r="B65" i="41"/>
  <c r="C65" i="41"/>
  <c r="D65" i="41"/>
  <c r="E65" i="41"/>
  <c r="H65" i="41"/>
  <c r="I65" i="41"/>
  <c r="B66" i="41"/>
  <c r="C66" i="41"/>
  <c r="D66" i="41"/>
  <c r="E66" i="41"/>
  <c r="H66" i="41"/>
  <c r="I66" i="41"/>
  <c r="B67" i="41"/>
  <c r="C67" i="41"/>
  <c r="D67" i="41"/>
  <c r="E67" i="41"/>
  <c r="H67" i="41"/>
  <c r="I67" i="41"/>
  <c r="B68" i="41"/>
  <c r="C68" i="41"/>
  <c r="D68" i="41"/>
  <c r="E68" i="41"/>
  <c r="H68" i="41"/>
  <c r="I68" i="41"/>
  <c r="D69" i="41"/>
  <c r="A113" i="41"/>
  <c r="A114" i="41"/>
  <c r="A115" i="41"/>
  <c r="B17" i="26"/>
  <c r="E17" i="26"/>
  <c r="O17" i="26"/>
  <c r="P17" i="26"/>
  <c r="Q17" i="26"/>
  <c r="R17" i="26"/>
  <c r="S17" i="26"/>
  <c r="S25" i="26"/>
  <c r="T17" i="26"/>
  <c r="T25" i="26"/>
  <c r="U17" i="26"/>
  <c r="U25" i="26"/>
  <c r="V17" i="26"/>
  <c r="V25" i="26"/>
  <c r="W17" i="26"/>
  <c r="W25" i="26"/>
  <c r="A18" i="26"/>
  <c r="A20" i="26"/>
  <c r="A21" i="26"/>
  <c r="B18" i="26"/>
  <c r="E18" i="26"/>
  <c r="O18" i="26"/>
  <c r="P18" i="26"/>
  <c r="Q18" i="26"/>
  <c r="R18" i="26"/>
  <c r="S18" i="26"/>
  <c r="T18" i="26"/>
  <c r="U18" i="26"/>
  <c r="V18" i="26"/>
  <c r="W18" i="26"/>
  <c r="A19" i="26"/>
  <c r="B19" i="26"/>
  <c r="E19" i="26"/>
  <c r="O19" i="26"/>
  <c r="P19" i="26"/>
  <c r="Q19" i="26"/>
  <c r="R19" i="26"/>
  <c r="S19" i="26"/>
  <c r="T19" i="26"/>
  <c r="U19" i="26"/>
  <c r="V19" i="26"/>
  <c r="W19" i="26"/>
  <c r="B20" i="26"/>
  <c r="E20" i="26"/>
  <c r="O20" i="26"/>
  <c r="P20" i="26"/>
  <c r="Q20" i="26"/>
  <c r="R20" i="26"/>
  <c r="S20" i="26"/>
  <c r="T20" i="26"/>
  <c r="U20" i="26"/>
  <c r="V20" i="26"/>
  <c r="W20" i="26"/>
  <c r="B21" i="26"/>
  <c r="E21" i="26"/>
  <c r="O21" i="26"/>
  <c r="P21" i="26"/>
  <c r="Q21" i="26"/>
  <c r="R21" i="26"/>
  <c r="S21" i="26"/>
  <c r="T21" i="26"/>
  <c r="U21" i="26"/>
  <c r="V21" i="26"/>
  <c r="W21" i="26"/>
  <c r="B22" i="26"/>
  <c r="E22" i="26"/>
  <c r="O22" i="26"/>
  <c r="P22" i="26"/>
  <c r="Q22" i="26"/>
  <c r="R22" i="26"/>
  <c r="S22" i="26"/>
  <c r="T22" i="26"/>
  <c r="U22" i="26"/>
  <c r="V22" i="26"/>
  <c r="W22" i="26"/>
  <c r="B23" i="26"/>
  <c r="E23" i="26"/>
  <c r="O23" i="26"/>
  <c r="P23" i="26"/>
  <c r="Q23" i="26"/>
  <c r="R23" i="26"/>
  <c r="S23" i="26"/>
  <c r="T23" i="26"/>
  <c r="U23" i="26"/>
  <c r="V23" i="26"/>
  <c r="W23" i="26"/>
  <c r="B24" i="26"/>
  <c r="E24" i="26"/>
  <c r="O24" i="26"/>
  <c r="P24" i="26"/>
  <c r="Q24" i="26"/>
  <c r="R24" i="26"/>
  <c r="S24" i="26"/>
  <c r="T24" i="26"/>
  <c r="U24" i="26"/>
  <c r="V24" i="26"/>
  <c r="W24" i="26"/>
  <c r="B17" i="32"/>
  <c r="E17" i="32"/>
  <c r="O17" i="32"/>
  <c r="P17" i="32"/>
  <c r="Q17" i="32"/>
  <c r="R17" i="32"/>
  <c r="S17" i="32"/>
  <c r="T17" i="32"/>
  <c r="U17" i="32"/>
  <c r="V17" i="32"/>
  <c r="W17" i="32"/>
  <c r="W25" i="32"/>
  <c r="A18" i="32"/>
  <c r="B18" i="32"/>
  <c r="E18" i="32"/>
  <c r="O18" i="32"/>
  <c r="P18" i="32"/>
  <c r="Q18" i="32"/>
  <c r="R18" i="32"/>
  <c r="S18" i="32"/>
  <c r="S25" i="32"/>
  <c r="T18" i="32"/>
  <c r="T25" i="32"/>
  <c r="U18" i="32"/>
  <c r="U25" i="32"/>
  <c r="V18" i="32"/>
  <c r="W18" i="32"/>
  <c r="A19" i="32"/>
  <c r="B19" i="32"/>
  <c r="E19" i="32"/>
  <c r="O19" i="32"/>
  <c r="P19" i="32"/>
  <c r="Q19" i="32"/>
  <c r="R19" i="32"/>
  <c r="S19" i="32"/>
  <c r="T19" i="32"/>
  <c r="U19" i="32"/>
  <c r="V19" i="32"/>
  <c r="W19" i="32"/>
  <c r="A20" i="32"/>
  <c r="B20" i="32"/>
  <c r="E20" i="32"/>
  <c r="O20" i="32"/>
  <c r="P20" i="32"/>
  <c r="Q20" i="32"/>
  <c r="R20" i="32"/>
  <c r="S20" i="32"/>
  <c r="T20" i="32"/>
  <c r="U20" i="32"/>
  <c r="V20" i="32"/>
  <c r="W20" i="32"/>
  <c r="B21" i="32"/>
  <c r="E21" i="32"/>
  <c r="O21" i="32"/>
  <c r="P21" i="32"/>
  <c r="Q21" i="32"/>
  <c r="R21" i="32"/>
  <c r="S21" i="32"/>
  <c r="T21" i="32"/>
  <c r="U21" i="32"/>
  <c r="V21" i="32"/>
  <c r="W21" i="32"/>
  <c r="B22" i="32"/>
  <c r="E22" i="32"/>
  <c r="O22" i="32"/>
  <c r="P22" i="32"/>
  <c r="Q22" i="32"/>
  <c r="R22" i="32"/>
  <c r="S22" i="32"/>
  <c r="T22" i="32"/>
  <c r="U22" i="32"/>
  <c r="V22" i="32"/>
  <c r="W22" i="32"/>
  <c r="B23" i="32"/>
  <c r="E23" i="32"/>
  <c r="O23" i="32"/>
  <c r="P23" i="32"/>
  <c r="Q23" i="32"/>
  <c r="R23" i="32"/>
  <c r="S23" i="32"/>
  <c r="T23" i="32"/>
  <c r="U23" i="32"/>
  <c r="V23" i="32"/>
  <c r="W23" i="32"/>
  <c r="B24" i="32"/>
  <c r="E24" i="32"/>
  <c r="O24" i="32"/>
  <c r="P24" i="32"/>
  <c r="Q24" i="32"/>
  <c r="R24" i="32"/>
  <c r="S24" i="32"/>
  <c r="T24" i="32"/>
  <c r="U24" i="32"/>
  <c r="V24" i="32"/>
  <c r="W24" i="32"/>
  <c r="V25" i="32"/>
  <c r="B17" i="40"/>
  <c r="C17" i="40"/>
  <c r="D17" i="40"/>
  <c r="E17" i="40"/>
  <c r="H17" i="40"/>
  <c r="H25" i="40"/>
  <c r="I17" i="40"/>
  <c r="A18" i="40"/>
  <c r="B18" i="40"/>
  <c r="C18" i="40"/>
  <c r="D18" i="40"/>
  <c r="E18" i="40"/>
  <c r="H18" i="40"/>
  <c r="I18" i="40"/>
  <c r="A19" i="40"/>
  <c r="B19" i="40"/>
  <c r="C19" i="40"/>
  <c r="D19" i="40"/>
  <c r="E19" i="40"/>
  <c r="H19" i="40"/>
  <c r="I19" i="40"/>
  <c r="B20" i="40"/>
  <c r="C20" i="40"/>
  <c r="D20" i="40"/>
  <c r="E20" i="40"/>
  <c r="H20" i="40"/>
  <c r="I20" i="40"/>
  <c r="B21" i="40"/>
  <c r="C21" i="40"/>
  <c r="D21" i="40"/>
  <c r="E21" i="40"/>
  <c r="H21" i="40"/>
  <c r="I21" i="40"/>
  <c r="B22" i="40"/>
  <c r="C22" i="40"/>
  <c r="D22" i="40"/>
  <c r="E22" i="40"/>
  <c r="H22" i="40"/>
  <c r="I22" i="40"/>
  <c r="B23" i="40"/>
  <c r="C23" i="40"/>
  <c r="D23" i="40"/>
  <c r="E23" i="40"/>
  <c r="H23" i="40"/>
  <c r="I23" i="40"/>
  <c r="B24" i="40"/>
  <c r="C24" i="40"/>
  <c r="D24" i="40"/>
  <c r="E24" i="40"/>
  <c r="H24" i="40"/>
  <c r="I24" i="40"/>
  <c r="D25" i="40"/>
  <c r="M9" i="30"/>
  <c r="R17" i="29"/>
  <c r="R18" i="29"/>
  <c r="R22" i="29"/>
  <c r="R21" i="29"/>
  <c r="R20" i="29"/>
  <c r="R24" i="29"/>
  <c r="R19" i="29"/>
  <c r="R23" i="29"/>
  <c r="A21" i="29"/>
  <c r="A22" i="29"/>
  <c r="A23" i="26"/>
  <c r="A21" i="30"/>
  <c r="A22" i="30"/>
  <c r="I25" i="29"/>
  <c r="J25" i="26"/>
  <c r="J25" i="29"/>
  <c r="J25" i="27"/>
  <c r="I25" i="26"/>
  <c r="A55" i="41"/>
  <c r="A21" i="40"/>
  <c r="M8" i="30"/>
  <c r="Q17" i="29"/>
  <c r="Q18" i="29"/>
  <c r="Q22" i="29"/>
  <c r="Q20" i="29"/>
  <c r="Q24" i="29"/>
  <c r="Q19" i="29"/>
  <c r="Q23" i="29"/>
  <c r="Q21" i="29"/>
  <c r="I25" i="32"/>
  <c r="J25" i="32"/>
  <c r="I25" i="30"/>
  <c r="I25" i="28"/>
  <c r="A22" i="32"/>
  <c r="J25" i="31"/>
  <c r="J25" i="30"/>
  <c r="J25" i="28"/>
  <c r="A20" i="29"/>
  <c r="A20" i="40"/>
  <c r="A23" i="40"/>
  <c r="A20" i="41"/>
  <c r="A21" i="41"/>
  <c r="A10" i="41"/>
  <c r="A12" i="41"/>
  <c r="A65" i="41"/>
  <c r="A67" i="41"/>
  <c r="A22" i="40"/>
  <c r="A24" i="40"/>
  <c r="A22" i="31"/>
  <c r="A22" i="26"/>
  <c r="A64" i="41"/>
  <c r="A66" i="41"/>
  <c r="A54" i="41"/>
  <c r="A20" i="28"/>
  <c r="A20" i="27"/>
  <c r="A42" i="41"/>
  <c r="A11" i="41"/>
  <c r="A24" i="26"/>
  <c r="A30" i="41"/>
  <c r="A9" i="41"/>
  <c r="A20" i="30"/>
  <c r="A20" i="31"/>
  <c r="A21" i="31"/>
  <c r="A21" i="32"/>
  <c r="A23" i="32"/>
  <c r="A24" i="32"/>
  <c r="A24" i="31"/>
  <c r="A22" i="41"/>
  <c r="A23" i="41"/>
  <c r="A24" i="41"/>
  <c r="J6" i="41"/>
  <c r="A13" i="41"/>
  <c r="M8" i="31"/>
  <c r="Q17" i="30"/>
  <c r="Q18" i="30"/>
  <c r="Q22" i="30"/>
  <c r="Q20" i="30"/>
  <c r="Q24" i="30"/>
  <c r="Q23" i="30"/>
  <c r="Q19" i="30"/>
  <c r="Q21" i="30"/>
  <c r="A44" i="41"/>
  <c r="A68" i="41"/>
  <c r="J61" i="41"/>
  <c r="A56" i="41"/>
  <c r="A57" i="41"/>
  <c r="A23" i="30"/>
  <c r="A24" i="30"/>
  <c r="A21" i="28"/>
  <c r="A22" i="28"/>
  <c r="A22" i="27"/>
  <c r="A23" i="27"/>
  <c r="A23" i="31"/>
  <c r="A23" i="29"/>
  <c r="A24" i="29"/>
  <c r="A21" i="27"/>
  <c r="A43" i="41"/>
  <c r="A31" i="41"/>
  <c r="R17" i="30"/>
  <c r="M9" i="31"/>
  <c r="R18" i="30"/>
  <c r="R22" i="30"/>
  <c r="R20" i="30"/>
  <c r="R24" i="30"/>
  <c r="R19" i="30"/>
  <c r="R23" i="30"/>
  <c r="R21" i="30"/>
  <c r="Q21" i="31"/>
  <c r="Q17" i="31"/>
  <c r="Q18" i="31"/>
  <c r="Q22" i="31"/>
  <c r="Q20" i="31"/>
  <c r="Q24" i="31"/>
  <c r="Q23" i="31"/>
  <c r="Q19" i="31"/>
  <c r="A23" i="28"/>
  <c r="A24" i="28"/>
  <c r="J50" i="41"/>
  <c r="R22" i="31"/>
  <c r="R21" i="31"/>
  <c r="R18" i="31"/>
  <c r="R17" i="31"/>
  <c r="R20" i="31"/>
  <c r="R24" i="31"/>
  <c r="R19" i="31"/>
  <c r="R23" i="31"/>
  <c r="A45" i="41"/>
  <c r="A32" i="41"/>
  <c r="A24" i="27"/>
  <c r="J17" i="41"/>
  <c r="A33" i="41"/>
  <c r="A46" i="41"/>
  <c r="J39" i="41"/>
  <c r="A34" i="41"/>
  <c r="J28" i="41"/>
  <c r="A35" i="41"/>
</calcChain>
</file>

<file path=xl/sharedStrings.xml><?xml version="1.0" encoding="utf-8"?>
<sst xmlns="http://schemas.openxmlformats.org/spreadsheetml/2006/main" count="6156" uniqueCount="814">
  <si>
    <t>($/kW)</t>
  </si>
  <si>
    <t>Amount</t>
  </si>
  <si>
    <t>NYC</t>
  </si>
  <si>
    <t>LI</t>
  </si>
  <si>
    <t>PJM</t>
  </si>
  <si>
    <t>HQ</t>
  </si>
  <si>
    <t>(MW)</t>
  </si>
  <si>
    <t>Offers to Sell</t>
  </si>
  <si>
    <t>Bid #</t>
  </si>
  <si>
    <t>New York Independent System Operator</t>
  </si>
  <si>
    <t>Installed Capacity (ICAP) Obligatory Period Auction</t>
  </si>
  <si>
    <t>ICAP Obligation Period Auction (6 mth)</t>
  </si>
  <si>
    <t>Min. Price</t>
  </si>
  <si>
    <t>*  Locations must be checked using the number one (1).</t>
  </si>
  <si>
    <r>
      <t>Instructions</t>
    </r>
    <r>
      <rPr>
        <sz val="10"/>
        <rFont val="Arial"/>
        <family val="2"/>
      </rPr>
      <t>*</t>
    </r>
  </si>
  <si>
    <t>Contact Name:</t>
  </si>
  <si>
    <t>Company Address:</t>
  </si>
  <si>
    <t>Company Name:</t>
  </si>
  <si>
    <t>Contact #:</t>
  </si>
  <si>
    <t>Contact E-Mail:</t>
  </si>
  <si>
    <t>Registrant Name:</t>
  </si>
  <si>
    <t>Phase #:</t>
  </si>
  <si>
    <t>Location*</t>
  </si>
  <si>
    <t>ROS**</t>
  </si>
  <si>
    <t>** Rest of State - New York Control Area outside of New York City &amp; Long Island</t>
  </si>
  <si>
    <t>Date submitted:</t>
  </si>
  <si>
    <t>Time submitted:</t>
  </si>
  <si>
    <t>Auction Month:</t>
  </si>
  <si>
    <t>ROS*</t>
  </si>
  <si>
    <t>ISO-NE</t>
  </si>
  <si>
    <t>O-IMO</t>
  </si>
  <si>
    <t>Amount (MW)</t>
  </si>
  <si>
    <t>Instructions:</t>
  </si>
  <si>
    <t>Minimum Price</t>
  </si>
  <si>
    <t>Contact Phone#:</t>
  </si>
  <si>
    <t xml:space="preserve">[express to </t>
  </si>
  <si>
    <t>nearest 0.1 MW]</t>
  </si>
  <si>
    <t>SUBMIT TO:</t>
  </si>
  <si>
    <t>sellicap@nyiso.com</t>
  </si>
  <si>
    <t>Offer#</t>
  </si>
  <si>
    <t>Resource Name</t>
  </si>
  <si>
    <t>PTID#</t>
  </si>
  <si>
    <t>Not To Be Used For Single Monthly Auction</t>
  </si>
  <si>
    <t>Seller's</t>
  </si>
  <si>
    <t>Name</t>
  </si>
  <si>
    <r>
      <t>* Rest of State</t>
    </r>
    <r>
      <rPr>
        <sz val="10"/>
        <rFont val="Times New Roman"/>
        <family val="1"/>
      </rPr>
      <t xml:space="preserve"> - New York Control Area outside of New York City &amp; Long Island</t>
    </r>
  </si>
  <si>
    <r>
      <t xml:space="preserve">Location   ( </t>
    </r>
    <r>
      <rPr>
        <sz val="10"/>
        <rFont val="Times New Roman"/>
        <family val="1"/>
      </rPr>
      <t>indicate a (1) for chosen area and (0) for other areas)</t>
    </r>
  </si>
  <si>
    <t>[($/kW- 6 month)</t>
  </si>
  <si>
    <t>express to nearest $.01]</t>
  </si>
  <si>
    <t>Your Name</t>
  </si>
  <si>
    <t>Market Clearing Price</t>
  </si>
  <si>
    <t>Minimum Price Offered [($/kW- 6 month) express to nearest $.01]</t>
  </si>
  <si>
    <t>Amount (MW) [expressed to nearest 0.1 MW]</t>
  </si>
  <si>
    <t>[($/kW- per month)</t>
  </si>
  <si>
    <t>Minimum Price Offered [($/kW- per month) express to nearest $.01]</t>
  </si>
  <si>
    <t>Loc.</t>
  </si>
  <si>
    <t>Period Purchased:</t>
  </si>
  <si>
    <t>notices to sellers.</t>
  </si>
  <si>
    <t>in a manner that does not destroy links and formulas.  The following steps must adhered to:</t>
  </si>
  <si>
    <t>Auction Period:</t>
  </si>
  <si>
    <t>2. Do not use these pages for the strip auction.</t>
  </si>
  <si>
    <t>2. Do not use this page for monthly offers.</t>
  </si>
  <si>
    <t>Special Notes:</t>
  </si>
  <si>
    <t>All locations have been prefilled with zeros, do not forget to enter a number 1 for the chosen location.</t>
  </si>
  <si>
    <t>This workbook has been redesigned to increase the accuracy of information being transferred to the auction model and to facilitate the rapid transfer of award</t>
  </si>
  <si>
    <t xml:space="preserve">In order to meet the above goals each spreadsheet page requires that information be entered in a consistent format and that changes to the workbook be made </t>
  </si>
  <si>
    <t>Strip auctions:</t>
  </si>
  <si>
    <t>Monthly auctions (OPP):</t>
  </si>
  <si>
    <t>Month Sold:</t>
  </si>
  <si>
    <t>Amount (MW) Sold</t>
  </si>
  <si>
    <t>Total Value Sold</t>
  </si>
  <si>
    <t>2. Do not delete pages between the current obligation month and the last month of the Obligation Procurement Period (OPP).</t>
  </si>
  <si>
    <t xml:space="preserve">1. Pages prior to the periods being offered must be deleted.  </t>
  </si>
  <si>
    <t>Do Not Delete Yellow Row</t>
  </si>
  <si>
    <t>If you change the size of the table, MAKE SURE that you copy the contents of range B17:F17 to area B18:F (bottom)</t>
  </si>
  <si>
    <t>Do Not Enter Information</t>
  </si>
  <si>
    <t xml:space="preserve">If you change the size of the table, MAKE SURE that you copy the contents of the </t>
  </si>
  <si>
    <t>first tabel row B:F to the end of the table area B:F</t>
  </si>
  <si>
    <t>4. Do not enter any information in the red colored cells</t>
  </si>
  <si>
    <t>c. Do not enter in formation in the red cells</t>
  </si>
  <si>
    <t>Your Name Goes Here</t>
  </si>
  <si>
    <t>Your Phone # Here</t>
  </si>
  <si>
    <t>Address 1</t>
  </si>
  <si>
    <t>Address 2</t>
  </si>
  <si>
    <t>Address 3</t>
  </si>
  <si>
    <t>City, State Zip</t>
  </si>
  <si>
    <t>your @ address here</t>
  </si>
  <si>
    <t>Company</t>
  </si>
  <si>
    <t>3. Enter the obligation procurement period in cell "E8."</t>
  </si>
  <si>
    <t>3. Enter the obligation procurement month in cells "E8" on each page.</t>
  </si>
  <si>
    <t>4. Enter the date offer is submitted in "L8."</t>
  </si>
  <si>
    <t>Sold Amount $</t>
  </si>
  <si>
    <t xml:space="preserve"> </t>
  </si>
  <si>
    <t>Delete Rows working from the last month and work yourself up to current.  Deleting top down will cause errors.</t>
  </si>
  <si>
    <t>d. If you do not have a "PTID #," because you are reselling from an auction, then enter "NYISO Auction."</t>
  </si>
  <si>
    <t>Insert Rows working from the last month and work yourself up to current.  Inserting top down will cause errors.</t>
  </si>
  <si>
    <t>3. Do not make any changes to awards pages.  Award pages are for the use of NYISO Employees only.</t>
  </si>
  <si>
    <t>1. Do Not submit detached pages.  Transmit entire workbook.</t>
  </si>
  <si>
    <t xml:space="preserve"> All locations have been prefilled with zeros, do not forget to enter the number 1 for the chosen location.</t>
  </si>
  <si>
    <t>5. Enter your "Registrant Name:" in cell "E11."  This information will appear in the "Seller's Name" area when PTID #'s are entered.</t>
  </si>
  <si>
    <t>5. Do not delete rows highlighted in yellow.</t>
  </si>
  <si>
    <t>a. If more rows are needed, push "Insert Rows" button</t>
  </si>
  <si>
    <t>b. If less rows are needed, push "Delete Rows" button.  Do not delete row with yellow bar.</t>
  </si>
  <si>
    <t>Not To Be Used For The Strip Auction</t>
  </si>
  <si>
    <t>Submittal Number</t>
  </si>
  <si>
    <t>Mitigated</t>
  </si>
  <si>
    <t>N</t>
  </si>
  <si>
    <t>NYC Mitigated</t>
  </si>
  <si>
    <t>Short Name</t>
  </si>
  <si>
    <t>1stRoch</t>
  </si>
  <si>
    <t>3mP&amp;P</t>
  </si>
  <si>
    <t>AdvantEn</t>
  </si>
  <si>
    <t>AEPSysOp</t>
  </si>
  <si>
    <t>AESCreRe</t>
  </si>
  <si>
    <t>AESEastE</t>
  </si>
  <si>
    <t>AESNuEn</t>
  </si>
  <si>
    <t>AgwayES</t>
  </si>
  <si>
    <t>AllegEnS</t>
  </si>
  <si>
    <t>AllegPwr</t>
  </si>
  <si>
    <t>AmerHess</t>
  </si>
  <si>
    <t>AmherUtl</t>
  </si>
  <si>
    <t>AquilEPM</t>
  </si>
  <si>
    <t>AstGenCo</t>
  </si>
  <si>
    <t>BlueCir</t>
  </si>
  <si>
    <t>CanaEmir</t>
  </si>
  <si>
    <t>CanNiaPwr</t>
  </si>
  <si>
    <t>CargAlli</t>
  </si>
  <si>
    <t>CHEnt</t>
  </si>
  <si>
    <t>CHGE</t>
  </si>
  <si>
    <t>CingyEnM</t>
  </si>
  <si>
    <t>CingySvr</t>
  </si>
  <si>
    <t>CityBuff</t>
  </si>
  <si>
    <t>CoastMEn</t>
  </si>
  <si>
    <t>ColumEN</t>
  </si>
  <si>
    <t>ConecEn</t>
  </si>
  <si>
    <t>ConEdEn</t>
  </si>
  <si>
    <t>ConEdNY</t>
  </si>
  <si>
    <t>ConEdSol</t>
  </si>
  <si>
    <t>ConstPwr</t>
  </si>
  <si>
    <t>ConSuPwL</t>
  </si>
  <si>
    <t>CoralPwr</t>
  </si>
  <si>
    <t>CountEri</t>
  </si>
  <si>
    <t>CountMon</t>
  </si>
  <si>
    <t>CountNia</t>
  </si>
  <si>
    <t>DukeEnTM</t>
  </si>
  <si>
    <t>DynegyPM</t>
  </si>
  <si>
    <t>EastCoas</t>
  </si>
  <si>
    <t>ECNY</t>
  </si>
  <si>
    <t>Econnerg</t>
  </si>
  <si>
    <t>EdisnMMT</t>
  </si>
  <si>
    <t>Electrox</t>
  </si>
  <si>
    <t>ElPasMEn</t>
  </si>
  <si>
    <t>EmpiNatG</t>
  </si>
  <si>
    <t>Energetx</t>
  </si>
  <si>
    <t>EnronEnS</t>
  </si>
  <si>
    <t>EnronPM</t>
  </si>
  <si>
    <t>EntNucIP</t>
  </si>
  <si>
    <t>EntNukFz</t>
  </si>
  <si>
    <t>EntPwrM</t>
  </si>
  <si>
    <t>Essent</t>
  </si>
  <si>
    <t>FedEG</t>
  </si>
  <si>
    <t>FiberEn</t>
  </si>
  <si>
    <t>FortUSEn</t>
  </si>
  <si>
    <t>FPLEnPwM</t>
  </si>
  <si>
    <t>Freeport</t>
  </si>
  <si>
    <t>FrtDrum</t>
  </si>
  <si>
    <t>FstEnTSv</t>
  </si>
  <si>
    <t>GrtBayPw</t>
  </si>
  <si>
    <t>HessEn</t>
  </si>
  <si>
    <t>HQEnSvUS</t>
  </si>
  <si>
    <t>IndCorin</t>
  </si>
  <si>
    <t>IndIllio</t>
  </si>
  <si>
    <t>IndOlean</t>
  </si>
  <si>
    <t>IndOsweg</t>
  </si>
  <si>
    <t>IndYerks</t>
  </si>
  <si>
    <t>IntlPapr</t>
  </si>
  <si>
    <t>ISODfAPR</t>
  </si>
  <si>
    <t>ISODfAUG</t>
  </si>
  <si>
    <t>ISODfDEC</t>
  </si>
  <si>
    <t>ISODfFEB</t>
  </si>
  <si>
    <t>ISODfJAN</t>
  </si>
  <si>
    <t>ISODfJUL</t>
  </si>
  <si>
    <t>ISODfJUN</t>
  </si>
  <si>
    <t>ISODfMAR</t>
  </si>
  <si>
    <t>ISODfMAY</t>
  </si>
  <si>
    <t>ISODfNOV</t>
  </si>
  <si>
    <t>ISODfOCT</t>
  </si>
  <si>
    <t>ISODfSEP</t>
  </si>
  <si>
    <t>ISOMoAPR</t>
  </si>
  <si>
    <t>ISOMoAUG</t>
  </si>
  <si>
    <t>ISOMoDEC</t>
  </si>
  <si>
    <t>ISOMoFEB</t>
  </si>
  <si>
    <t>ISOMoJAN</t>
  </si>
  <si>
    <t>ISOMoJUL</t>
  </si>
  <si>
    <t>ISOMoJUN</t>
  </si>
  <si>
    <t>ISOMoMAR</t>
  </si>
  <si>
    <t>ISOMoMAY</t>
  </si>
  <si>
    <t>ISOMoNOV</t>
  </si>
  <si>
    <t>ISOMoOCT</t>
  </si>
  <si>
    <t>ISOMoSEP</t>
  </si>
  <si>
    <t>isostrpS</t>
  </si>
  <si>
    <t>isostrpW</t>
  </si>
  <si>
    <t>Jamestwn</t>
  </si>
  <si>
    <t>Kaleida</t>
  </si>
  <si>
    <t>KeySpEn</t>
  </si>
  <si>
    <t>KeySpRav</t>
  </si>
  <si>
    <t>KochEnT</t>
  </si>
  <si>
    <t>LIPA</t>
  </si>
  <si>
    <t>LockpEnA</t>
  </si>
  <si>
    <t>MEGA</t>
  </si>
  <si>
    <t>MetroEN</t>
  </si>
  <si>
    <t>Metrogen</t>
  </si>
  <si>
    <t>MirabiGE</t>
  </si>
  <si>
    <t>MLCS</t>
  </si>
  <si>
    <t>MorgStan</t>
  </si>
  <si>
    <t>NatlFuel</t>
  </si>
  <si>
    <t>NEPAEn</t>
  </si>
  <si>
    <t>NEUtilSv</t>
  </si>
  <si>
    <t>NFRPwr</t>
  </si>
  <si>
    <t>NIMOEM</t>
  </si>
  <si>
    <t>NIMOPC</t>
  </si>
  <si>
    <t>NRGPwrM</t>
  </si>
  <si>
    <t>NYMPA</t>
  </si>
  <si>
    <t>NYPA</t>
  </si>
  <si>
    <t>NYSEG</t>
  </si>
  <si>
    <t>NYSEGSol</t>
  </si>
  <si>
    <t>OccidChm</t>
  </si>
  <si>
    <t>OnonCogn</t>
  </si>
  <si>
    <t>OntPwrGn</t>
  </si>
  <si>
    <t>OrionEnS</t>
  </si>
  <si>
    <t>ORUtil</t>
  </si>
  <si>
    <t>OutHQ</t>
  </si>
  <si>
    <t>OutIMO</t>
  </si>
  <si>
    <t>OutNE</t>
  </si>
  <si>
    <t>OutPJM</t>
  </si>
  <si>
    <t>PECoEn</t>
  </si>
  <si>
    <t>PGENTPwr</t>
  </si>
  <si>
    <t>PPLEnPl</t>
  </si>
  <si>
    <t>Praxair</t>
  </si>
  <si>
    <t>PrimPwrM</t>
  </si>
  <si>
    <t>ProjOrgA</t>
  </si>
  <si>
    <t>PSCoCol</t>
  </si>
  <si>
    <t>PSEG</t>
  </si>
  <si>
    <t>PSEGEnRT</t>
  </si>
  <si>
    <t>PSEGEnT</t>
  </si>
  <si>
    <t>RelintEn</t>
  </si>
  <si>
    <t>RGE</t>
  </si>
  <si>
    <t>RockvCtr</t>
  </si>
  <si>
    <t>SelEn</t>
  </si>
  <si>
    <t>SelkCogn</t>
  </si>
  <si>
    <t>SemprEnt</t>
  </si>
  <si>
    <t>SenecaEn</t>
  </si>
  <si>
    <t>SenecaFL</t>
  </si>
  <si>
    <t>SingRobO</t>
  </si>
  <si>
    <t>SitheIPP</t>
  </si>
  <si>
    <t>SithePwM</t>
  </si>
  <si>
    <t>SmartEn</t>
  </si>
  <si>
    <t>SMEC</t>
  </si>
  <si>
    <t>SoCoEnM</t>
  </si>
  <si>
    <t>StatEnSv</t>
  </si>
  <si>
    <t>StratgEn</t>
  </si>
  <si>
    <t>StratgPM</t>
  </si>
  <si>
    <t>SUNYBuff</t>
  </si>
  <si>
    <t>TGE</t>
  </si>
  <si>
    <t>TMassena</t>
  </si>
  <si>
    <t>TopsMkts</t>
  </si>
  <si>
    <t>TranAEnM</t>
  </si>
  <si>
    <t>TrnCanPM</t>
  </si>
  <si>
    <t>TXUEnSev</t>
  </si>
  <si>
    <t>UofR</t>
  </si>
  <si>
    <t>VirgPwrM</t>
  </si>
  <si>
    <t>Wegmans</t>
  </si>
  <si>
    <t>WeschRes</t>
  </si>
  <si>
    <t>WestNYWi</t>
  </si>
  <si>
    <t>WillEnMT</t>
  </si>
  <si>
    <t>Logical</t>
  </si>
  <si>
    <t>Y</t>
  </si>
  <si>
    <t>April</t>
  </si>
  <si>
    <t>March</t>
  </si>
  <si>
    <t>February</t>
  </si>
  <si>
    <t>January</t>
  </si>
  <si>
    <t>December</t>
  </si>
  <si>
    <t>November</t>
  </si>
  <si>
    <t>6. If you resubmit an offer during an auction day, then increase the submittal number by one.</t>
  </si>
  <si>
    <t>7. Enter the time, in military standard units, when this workbook is transmitted to the ISO. (example 15:00 equals 3:00 PM)</t>
  </si>
  <si>
    <t xml:space="preserve">8. In rows 17 through 24 enter your offer information. </t>
  </si>
  <si>
    <t>10. Enter your telephone number in cell "L30."</t>
  </si>
  <si>
    <t>10. Enter your telephone number in cell "L32."</t>
  </si>
  <si>
    <t>Installed Capacity (UCAP) Strip Auction</t>
  </si>
  <si>
    <t>PTID</t>
  </si>
  <si>
    <t>AES101</t>
  </si>
  <si>
    <t>AES102</t>
  </si>
  <si>
    <t>AES103</t>
  </si>
  <si>
    <t>AES104</t>
  </si>
  <si>
    <t>AES105</t>
  </si>
  <si>
    <t>AES106</t>
  </si>
  <si>
    <t>AES107</t>
  </si>
  <si>
    <t>AES108</t>
  </si>
  <si>
    <t>AES109</t>
  </si>
  <si>
    <t>AES110</t>
  </si>
  <si>
    <t>AES111</t>
  </si>
  <si>
    <t>ADV201</t>
  </si>
  <si>
    <t>ADV202</t>
  </si>
  <si>
    <t>ADV203</t>
  </si>
  <si>
    <t>ADV204</t>
  </si>
  <si>
    <t>ADV205</t>
  </si>
  <si>
    <t>ADV206</t>
  </si>
  <si>
    <t>ADV207</t>
  </si>
  <si>
    <t>ADV208</t>
  </si>
  <si>
    <t>ADV209</t>
  </si>
  <si>
    <t>ADV210</t>
  </si>
  <si>
    <t>ADV211</t>
  </si>
  <si>
    <t>ADV212</t>
  </si>
  <si>
    <t>ADV213</t>
  </si>
  <si>
    <t>ADV214</t>
  </si>
  <si>
    <t>ADV215</t>
  </si>
  <si>
    <t>ADV216</t>
  </si>
  <si>
    <t>ADV217</t>
  </si>
  <si>
    <t>ADV218</t>
  </si>
  <si>
    <t>ADV219</t>
  </si>
  <si>
    <t>ADV220</t>
  </si>
  <si>
    <t>ADV221</t>
  </si>
  <si>
    <t>ADV222</t>
  </si>
  <si>
    <t>ADV223</t>
  </si>
  <si>
    <t>ADV224</t>
  </si>
  <si>
    <t>ADV225</t>
  </si>
  <si>
    <t>ADV226</t>
  </si>
  <si>
    <t>ADV227</t>
  </si>
  <si>
    <t>ADV228</t>
  </si>
  <si>
    <t>ADV229</t>
  </si>
  <si>
    <t>ADV230</t>
  </si>
  <si>
    <t>ADV231</t>
  </si>
  <si>
    <t>ADV232</t>
  </si>
  <si>
    <t>ADV233</t>
  </si>
  <si>
    <t>ADV234</t>
  </si>
  <si>
    <t>ADV235</t>
  </si>
  <si>
    <t>ADV236</t>
  </si>
  <si>
    <t>ADV237</t>
  </si>
  <si>
    <t>ADV238</t>
  </si>
  <si>
    <t>ADV239</t>
  </si>
  <si>
    <t>ADV240</t>
  </si>
  <si>
    <t>ADV241</t>
  </si>
  <si>
    <t>ADV242</t>
  </si>
  <si>
    <t>ADV243</t>
  </si>
  <si>
    <t>ADV244</t>
  </si>
  <si>
    <t>ADV245</t>
  </si>
  <si>
    <t>ADV246</t>
  </si>
  <si>
    <t>ADV247</t>
  </si>
  <si>
    <t>ADV248</t>
  </si>
  <si>
    <t>ADV249</t>
  </si>
  <si>
    <t>ADV250</t>
  </si>
  <si>
    <t>ADV251</t>
  </si>
  <si>
    <t>ADV252</t>
  </si>
  <si>
    <t>ADV253</t>
  </si>
  <si>
    <t>ADV254</t>
  </si>
  <si>
    <t>ADV255</t>
  </si>
  <si>
    <t>ADV256</t>
  </si>
  <si>
    <t>ADV257</t>
  </si>
  <si>
    <t>ADV258</t>
  </si>
  <si>
    <t>ADV259</t>
  </si>
  <si>
    <t>ADV260</t>
  </si>
  <si>
    <t>ADV261</t>
  </si>
  <si>
    <t>ADV262</t>
  </si>
  <si>
    <t>ADV263</t>
  </si>
  <si>
    <t>ADV264</t>
  </si>
  <si>
    <t>ADV265</t>
  </si>
  <si>
    <t>ADV266</t>
  </si>
  <si>
    <t>ADV267</t>
  </si>
  <si>
    <t>ADV268</t>
  </si>
  <si>
    <t>ADV269</t>
  </si>
  <si>
    <t>ADV270</t>
  </si>
  <si>
    <t>ADV271</t>
  </si>
  <si>
    <t>ADV272</t>
  </si>
  <si>
    <t>ADV273</t>
  </si>
  <si>
    <t>ADV274</t>
  </si>
  <si>
    <t>ADV275</t>
  </si>
  <si>
    <t>ADV276</t>
  </si>
  <si>
    <t>ADV277</t>
  </si>
  <si>
    <t>ADV278</t>
  </si>
  <si>
    <t>ADV279</t>
  </si>
  <si>
    <t>ADV280</t>
  </si>
  <si>
    <t>ADV281</t>
  </si>
  <si>
    <t>ADV282</t>
  </si>
  <si>
    <t>ADV283</t>
  </si>
  <si>
    <t>ADV284</t>
  </si>
  <si>
    <t>ADV285</t>
  </si>
  <si>
    <t>ADV286</t>
  </si>
  <si>
    <t>ADV287</t>
  </si>
  <si>
    <t>CES301</t>
  </si>
  <si>
    <t>CES302</t>
  </si>
  <si>
    <t>CES303</t>
  </si>
  <si>
    <t>CES304</t>
  </si>
  <si>
    <t>CES305</t>
  </si>
  <si>
    <t>CES306</t>
  </si>
  <si>
    <t>CES307</t>
  </si>
  <si>
    <t>CES308</t>
  </si>
  <si>
    <t>CES309</t>
  </si>
  <si>
    <t>CES310</t>
  </si>
  <si>
    <t>CES311</t>
  </si>
  <si>
    <t>CES312</t>
  </si>
  <si>
    <t>CES313</t>
  </si>
  <si>
    <t>CES314</t>
  </si>
  <si>
    <t>CES315</t>
  </si>
  <si>
    <t>CES316</t>
  </si>
  <si>
    <t>CPL401</t>
  </si>
  <si>
    <t>CPL402</t>
  </si>
  <si>
    <t>CPL403</t>
  </si>
  <si>
    <t>CPL404</t>
  </si>
  <si>
    <t>CPL405</t>
  </si>
  <si>
    <t>CPL406</t>
  </si>
  <si>
    <t>CPL407</t>
  </si>
  <si>
    <t>ETK501</t>
  </si>
  <si>
    <t>ETK502</t>
  </si>
  <si>
    <t>ETK503</t>
  </si>
  <si>
    <t>ETK504</t>
  </si>
  <si>
    <t>ETK505</t>
  </si>
  <si>
    <t>ETK506</t>
  </si>
  <si>
    <t>ETK507</t>
  </si>
  <si>
    <t>ETK508</t>
  </si>
  <si>
    <t>ETK509</t>
  </si>
  <si>
    <t>ETK510</t>
  </si>
  <si>
    <t>ETK511</t>
  </si>
  <si>
    <t>ETK512</t>
  </si>
  <si>
    <t>ETK513</t>
  </si>
  <si>
    <t>ETK514</t>
  </si>
  <si>
    <t>ETK515</t>
  </si>
  <si>
    <t>ETK516</t>
  </si>
  <si>
    <t>ETK517</t>
  </si>
  <si>
    <t>ETK518</t>
  </si>
  <si>
    <t>ETK519</t>
  </si>
  <si>
    <t>ETK520</t>
  </si>
  <si>
    <t>ETK521</t>
  </si>
  <si>
    <t>ETK522</t>
  </si>
  <si>
    <t>ETK523</t>
  </si>
  <si>
    <t>ETK524</t>
  </si>
  <si>
    <t>ETK525</t>
  </si>
  <si>
    <t>ETK526</t>
  </si>
  <si>
    <t>ETK527</t>
  </si>
  <si>
    <t>ETK528</t>
  </si>
  <si>
    <t>ETK529</t>
  </si>
  <si>
    <t>ETK530</t>
  </si>
  <si>
    <t>ETK531</t>
  </si>
  <si>
    <t>ETK532</t>
  </si>
  <si>
    <t>ENR601</t>
  </si>
  <si>
    <t>ENR602</t>
  </si>
  <si>
    <t>NYG701</t>
  </si>
  <si>
    <t>NYG702</t>
  </si>
  <si>
    <t>PXR721</t>
  </si>
  <si>
    <t>NMC800</t>
  </si>
  <si>
    <t>ORN900</t>
  </si>
  <si>
    <t>JMT951</t>
  </si>
  <si>
    <t>OCL961</t>
  </si>
  <si>
    <t>SBK981</t>
  </si>
  <si>
    <t>BCC991</t>
  </si>
  <si>
    <t>PPL1001</t>
  </si>
  <si>
    <t>PPL1002</t>
  </si>
  <si>
    <t>PPL1003</t>
  </si>
  <si>
    <t>PPL1004</t>
  </si>
  <si>
    <t>ARTHUR_KILL_2</t>
  </si>
  <si>
    <t>ARTHUR_KILL_3</t>
  </si>
  <si>
    <t>ALLEGHENY___COGEN</t>
  </si>
  <si>
    <t>BROOKLYN_NAVY_YARD</t>
  </si>
  <si>
    <t>ASTORIA___3</t>
  </si>
  <si>
    <t>ASTORIA___4</t>
  </si>
  <si>
    <t>ASTORIA___5</t>
  </si>
  <si>
    <t>POLETTI____</t>
  </si>
  <si>
    <t>ARTHUR_KILL_GT_1</t>
  </si>
  <si>
    <t>WADING_RIVER_IC_1</t>
  </si>
  <si>
    <t>ASTORIA_GT_1</t>
  </si>
  <si>
    <t>EAST_RIVER___7</t>
  </si>
  <si>
    <t>BOWLINE___1</t>
  </si>
  <si>
    <t>ADK_HOOSICK___FALLS</t>
  </si>
  <si>
    <t>NEG_PENN_ALLEGHNY</t>
  </si>
  <si>
    <t>INDIAN_POINT___2</t>
  </si>
  <si>
    <t>INDIAN_POINT___3</t>
  </si>
  <si>
    <t>RAVENSWOOD___1</t>
  </si>
  <si>
    <t>RAVENSWOOD___2</t>
  </si>
  <si>
    <t>RAVENSWOOD___3</t>
  </si>
  <si>
    <t>WATERSIDE___6_8_9</t>
  </si>
  <si>
    <t>HUDSON_AVE_GT_4</t>
  </si>
  <si>
    <t>KIAC_JFK_AIRPORT</t>
  </si>
  <si>
    <t>KINTIGH____</t>
  </si>
  <si>
    <t>BARRETT___1</t>
  </si>
  <si>
    <t>BARRETT___2</t>
  </si>
  <si>
    <t>WADING_RIVER_IC_2</t>
  </si>
  <si>
    <t>FAR_ROCKAWAY___4</t>
  </si>
  <si>
    <t>GLENWOOD___4</t>
  </si>
  <si>
    <t>NORTHPORT___1</t>
  </si>
  <si>
    <t>NORTHPORT___2</t>
  </si>
  <si>
    <t>NORTHPORT___3</t>
  </si>
  <si>
    <t>PORT_JEFF_3</t>
  </si>
  <si>
    <t>HUNTLEY___63</t>
  </si>
  <si>
    <t>HUNTLEY___64</t>
  </si>
  <si>
    <t>HUNTLEY___65</t>
  </si>
  <si>
    <t>HUNTLEY___66</t>
  </si>
  <si>
    <t>HUNTLEY___67</t>
  </si>
  <si>
    <t>HUNTLEY___68</t>
  </si>
  <si>
    <t>DUNKIRK___1</t>
  </si>
  <si>
    <t>DUNKIRK___2</t>
  </si>
  <si>
    <t>DUNKIRK___3</t>
  </si>
  <si>
    <t>DUNKIRK___4</t>
  </si>
  <si>
    <t>INDECK___ILION</t>
  </si>
  <si>
    <t>ALBANY___1</t>
  </si>
  <si>
    <t>ALBANY___2</t>
  </si>
  <si>
    <t>ALBANY___3</t>
  </si>
  <si>
    <t>ALBANY___4</t>
  </si>
  <si>
    <t>NINE_MILE_1</t>
  </si>
  <si>
    <t>GOUDEY___7</t>
  </si>
  <si>
    <t>GOUDEY___8</t>
  </si>
  <si>
    <t>GREENIDGE___3</t>
  </si>
  <si>
    <t>GREENIDGE___4</t>
  </si>
  <si>
    <t>MILLIKEN___1</t>
  </si>
  <si>
    <t>MILLIKEN___2</t>
  </si>
  <si>
    <t>DANSKAMMER___1</t>
  </si>
  <si>
    <t>ROSETON___1</t>
  </si>
  <si>
    <t>ROSETON___2</t>
  </si>
  <si>
    <t>DANSKAMMER___2</t>
  </si>
  <si>
    <t>DANSKAMMER___3</t>
  </si>
  <si>
    <t>DANSKAMMER___4</t>
  </si>
  <si>
    <t>DANSKAMMER___DIESEL</t>
  </si>
  <si>
    <t>LOVETT___5</t>
  </si>
  <si>
    <t>BOWLINE___2</t>
  </si>
  <si>
    <t>FITZPATRICK____</t>
  </si>
  <si>
    <t>ST_LAWRENCE____</t>
  </si>
  <si>
    <t>WADING_RIVER_IC_3</t>
  </si>
  <si>
    <t>GINNA____</t>
  </si>
  <si>
    <t>STATION_5_MISC_HYD</t>
  </si>
  <si>
    <t>OSWEGO___5</t>
  </si>
  <si>
    <t>GRAHMSVILLE___HY</t>
  </si>
  <si>
    <t>NEVERSINK___HYD</t>
  </si>
  <si>
    <t>STURGEON_POOL_HYD</t>
  </si>
  <si>
    <t>DASHVILLE___HYD</t>
  </si>
  <si>
    <t>COXSACKIE___GT</t>
  </si>
  <si>
    <t>SOUTH_CAIRO___GT</t>
  </si>
  <si>
    <t>OSWEGO___6</t>
  </si>
  <si>
    <t>GLENWOOD___5</t>
  </si>
  <si>
    <t>PORT_JEFF_4</t>
  </si>
  <si>
    <t>BEEBEE_GT_13</t>
  </si>
  <si>
    <t>HUDAV+59+74_TH_GRP</t>
  </si>
  <si>
    <t>HICKLING___1</t>
  </si>
  <si>
    <t>HICKLING___2</t>
  </si>
  <si>
    <t>JENNISON___1</t>
  </si>
  <si>
    <t>JENNISON___2</t>
  </si>
  <si>
    <t>Seneca_Falls_Hydro</t>
  </si>
  <si>
    <t>NEGNORTH__SRNC_HYD</t>
  </si>
  <si>
    <t>MILLIKEN___DIESEL</t>
  </si>
  <si>
    <t>LOVETT___3</t>
  </si>
  <si>
    <t>HILLBURN___GT</t>
  </si>
  <si>
    <t>SHOEMAKER___GT</t>
  </si>
  <si>
    <t>MONGAUP___HYD</t>
  </si>
  <si>
    <t>LOVETT___4</t>
  </si>
  <si>
    <t>HQ_GEN_CEDARS</t>
  </si>
  <si>
    <t>NEG_CAPITAL___MECHNVIL</t>
  </si>
  <si>
    <t>RANKINE____</t>
  </si>
  <si>
    <t>HEMPSTEAD____</t>
  </si>
  <si>
    <t>NORTHPORT___4</t>
  </si>
  <si>
    <t>HQ_GEN_CHAT DC</t>
  </si>
  <si>
    <t>ROCHESTER_9_IC</t>
  </si>
  <si>
    <t>PEEKSKILL____</t>
  </si>
  <si>
    <t>ASHOKAN____</t>
  </si>
  <si>
    <t>KENSICO____</t>
  </si>
  <si>
    <t>LIPA_MISC_IPP</t>
  </si>
  <si>
    <t>HUDSON_AVE_GT_5</t>
  </si>
  <si>
    <t>INDIAN_POINT_GT_2</t>
  </si>
  <si>
    <t>EAST_RIVER___6</t>
  </si>
  <si>
    <t>ASTORIA_10-13___</t>
  </si>
  <si>
    <t>INDIAN_PT_GRP</t>
  </si>
  <si>
    <t>GLENWOOD_IC_2_G1</t>
  </si>
  <si>
    <t>GLENWOOD_IC_3_G1</t>
  </si>
  <si>
    <t>HOLTSVILLE_IC_1</t>
  </si>
  <si>
    <t>HOLTSVILLE_IC_2</t>
  </si>
  <si>
    <t>HOLTSVILLE_IC_3</t>
  </si>
  <si>
    <t>HOLTSVILLE_IC_4</t>
  </si>
  <si>
    <t>HOLTSVILLE_IC_5</t>
  </si>
  <si>
    <t>HOLTSVILLE_IC_6</t>
  </si>
  <si>
    <t>HOLTSVILLE_IC_7</t>
  </si>
  <si>
    <t>HOLTSVILLE_IC_8</t>
  </si>
  <si>
    <t>HOLTSVILLE_IC_9</t>
  </si>
  <si>
    <t>HOLTSVILLE_IC_10</t>
  </si>
  <si>
    <t>BARRETT_IC_9</t>
  </si>
  <si>
    <t>BARRETT_IC_10</t>
  </si>
  <si>
    <t>BARRETT_IC_11</t>
  </si>
  <si>
    <t>BARRETT_IC_12</t>
  </si>
  <si>
    <t>BARRETT_IC_1</t>
  </si>
  <si>
    <t>BARRETT_IC_2</t>
  </si>
  <si>
    <t>BARRETT_IC_3</t>
  </si>
  <si>
    <t>BARRETT_IC_4</t>
  </si>
  <si>
    <t>BARRETT_IC_5</t>
  </si>
  <si>
    <t>BARRETT_IC_6</t>
  </si>
  <si>
    <t>BARRETT_IC_7</t>
  </si>
  <si>
    <t>BARRETT_IC_8</t>
  </si>
  <si>
    <t>GLENWOOD_IC_1_G5</t>
  </si>
  <si>
    <t>PORT_JEFF_IC</t>
  </si>
  <si>
    <t>WEST_BABYLON___IC</t>
  </si>
  <si>
    <t>SHOREHAM_IC_1</t>
  </si>
  <si>
    <t>SHOREHAM_IC_2</t>
  </si>
  <si>
    <t>EAST_HAMPTON___GT</t>
  </si>
  <si>
    <t>NORTHPORT___IC</t>
  </si>
  <si>
    <t>SOUTHOLD___IC</t>
  </si>
  <si>
    <t>SOUTH_HAMPTN___IC</t>
  </si>
  <si>
    <t>MONTAUK___DIESEL</t>
  </si>
  <si>
    <t>EAST_HAMPTON___DIESEL</t>
  </si>
  <si>
    <t>RAVENSWOOD_GT_1</t>
  </si>
  <si>
    <t>JARVIS____</t>
  </si>
  <si>
    <t>NINE_MILE_2</t>
  </si>
  <si>
    <t>HIGH_FALLS___HY</t>
  </si>
  <si>
    <t>GILBOA____1</t>
  </si>
  <si>
    <t>GILBOA____2</t>
  </si>
  <si>
    <t>GILBOA____3</t>
  </si>
  <si>
    <t>GILBOA____4</t>
  </si>
  <si>
    <t>NIAGARA____</t>
  </si>
  <si>
    <t>CH_MISC_IPPS</t>
  </si>
  <si>
    <t>FULTON_COGEN____</t>
  </si>
  <si>
    <t>NEG_CENTRAL_HIGH_ACRES</t>
  </si>
  <si>
    <t>NEG_CENTRAL___INDECK</t>
  </si>
  <si>
    <t>LEDERLE____</t>
  </si>
  <si>
    <t>YORK___WARBASSE</t>
  </si>
  <si>
    <t>E_FISHKILL_LBMP</t>
  </si>
  <si>
    <t>SITHE___STERLING</t>
  </si>
  <si>
    <t>GLEN_PARK____</t>
  </si>
  <si>
    <t>BETHLEHEM___STEEL</t>
  </si>
  <si>
    <t>FORT_DRUM_COGEN</t>
  </si>
  <si>
    <t>Fort Drum</t>
  </si>
  <si>
    <t>INDECK___YERKES</t>
  </si>
  <si>
    <t>INDECK___OSWEGO</t>
  </si>
  <si>
    <t>LINDEN_COGEN____</t>
  </si>
  <si>
    <t>BINGHAMTON__COGEN</t>
  </si>
  <si>
    <t>NEG_WEST_LEA_LOCKPORT</t>
  </si>
  <si>
    <t>NEGNORTH__KES_CHATEGAY</t>
  </si>
  <si>
    <t>NEGNORTH__FLCN_SEA</t>
  </si>
  <si>
    <t>NYPA___HOLTSVILL</t>
  </si>
  <si>
    <t>RENSSELAER___COGEN</t>
  </si>
  <si>
    <t>SENECA___ENERGY</t>
  </si>
  <si>
    <t>ADK_RESOURCE___RCVRY</t>
  </si>
  <si>
    <t>SELKIRK___II</t>
  </si>
  <si>
    <t>SITHE___INDEPEND</t>
  </si>
  <si>
    <t>SELKIRK___l</t>
  </si>
  <si>
    <t>INDECK___CORINTH</t>
  </si>
  <si>
    <t>BURROWS___LYONSDAL</t>
  </si>
  <si>
    <t>WATERTOWN___HYD</t>
  </si>
  <si>
    <t>DOGLEVILLE___HYD</t>
  </si>
  <si>
    <t>GENERAL___MILLS</t>
  </si>
  <si>
    <t>HUDSONAVE_GT_3</t>
  </si>
  <si>
    <t>NEG_WEST___LANCASTR</t>
  </si>
  <si>
    <t>FIBERTEK___ENERGY</t>
  </si>
  <si>
    <t>CARTHAGE___PAPER</t>
  </si>
  <si>
    <t>NSINS_S._GLNS_FALLS</t>
  </si>
  <si>
    <t>CH_RES_NIAGARA</t>
  </si>
  <si>
    <t>FORT_ORANGE____</t>
  </si>
  <si>
    <t>NORTHERN_CONS_POWER</t>
  </si>
  <si>
    <t>SITHE___MASSENA</t>
  </si>
  <si>
    <t>AMERICAN___BRASS</t>
  </si>
  <si>
    <t>NEG NORTH__LWR_SARANAC</t>
  </si>
  <si>
    <t>RUSSEL__STATION</t>
  </si>
  <si>
    <t>NEG NORTH__ALICE_FALLS</t>
  </si>
  <si>
    <t>INDECK___OLEAN</t>
  </si>
  <si>
    <t>CH_RES_BVR_FALLS</t>
  </si>
  <si>
    <t>CH_RES_SYRACUSE</t>
  </si>
  <si>
    <t>ONONDAGA___COGEN</t>
  </si>
  <si>
    <t>ONONDAGA_REF_OCCRA</t>
  </si>
  <si>
    <t>INTERNATIONL___PAPER</t>
  </si>
  <si>
    <t>PROJECT___ORANGE</t>
  </si>
  <si>
    <t>PLEASANT__VALLEY</t>
  </si>
  <si>
    <t>NYISO_LBMP_REFERENCE</t>
  </si>
  <si>
    <t>AMERICAN_REF_FUEL</t>
  </si>
  <si>
    <t>ADK_HUDSON___FALLS</t>
  </si>
  <si>
    <t>LITTLE_FALLS__HYD</t>
  </si>
  <si>
    <t>LONG_LAKE_PHOENIX</t>
  </si>
  <si>
    <t>MEDINA__POWER</t>
  </si>
  <si>
    <t>HARZA_MOOSE___RIVER</t>
  </si>
  <si>
    <t>SYRACUSE___POWER</t>
  </si>
  <si>
    <t>CRESCENT___HYD</t>
  </si>
  <si>
    <t>INDIAN_POINT_GT_3</t>
  </si>
  <si>
    <t>VISCHER___FERRY_HYD</t>
  </si>
  <si>
    <t>SITHE___OGDNSBRG</t>
  </si>
  <si>
    <t>PYRITES___HYD</t>
  </si>
  <si>
    <t>SITHE___BATAVIA</t>
  </si>
  <si>
    <t>OXBOW____</t>
  </si>
  <si>
    <t>ADK_S_GLENS___FALLS</t>
  </si>
  <si>
    <t>GARDENVILLE_LBMP</t>
  </si>
  <si>
    <t>SENECA_OSWGO___HYD</t>
  </si>
  <si>
    <t>N_SALMON___HYD</t>
  </si>
  <si>
    <t>S_SALMON___HYD</t>
  </si>
  <si>
    <t>OSWEGATCHIE___HYD</t>
  </si>
  <si>
    <t>OAK_ORCHARD___HYD</t>
  </si>
  <si>
    <t>BLACK_RIVER___HYD</t>
  </si>
  <si>
    <t>BEAVER_RIVER___HYD</t>
  </si>
  <si>
    <t>WEST_CANADA___HYD</t>
  </si>
  <si>
    <t>E_CANADA_MHWK_HY</t>
  </si>
  <si>
    <t>E_CANADA_CEN_HY</t>
  </si>
  <si>
    <t>NM_ST_REGIS__HYD</t>
  </si>
  <si>
    <t>FRANKLIN_FALL_HYD</t>
  </si>
  <si>
    <t>UPPER_RAQUET___HYD</t>
  </si>
  <si>
    <t>LOWER_RAQUET___HYD</t>
  </si>
  <si>
    <t>UPPER_HUDSON___HYD</t>
  </si>
  <si>
    <t>LOWER___HUDSON</t>
  </si>
  <si>
    <t>CARR_STREET_E._SYR</t>
  </si>
  <si>
    <t>N.E._GEN_SANDY PR</t>
  </si>
  <si>
    <t>O.H._GEN_BRUCE</t>
  </si>
  <si>
    <t>PJM_GEN_KEYSTONE</t>
  </si>
  <si>
    <t>GOWANUS_GT1_1</t>
  </si>
  <si>
    <t>GOWANUS_GT1_2</t>
  </si>
  <si>
    <t>GOWANUS_GT1_3</t>
  </si>
  <si>
    <t>GOWANUS_GT1_4</t>
  </si>
  <si>
    <t>GOWANUS_GT1_5</t>
  </si>
  <si>
    <t>ASTORIA_GT2_1</t>
  </si>
  <si>
    <t>ASTORIA_GT2_2</t>
  </si>
  <si>
    <t>ASTORIA_GT2_3</t>
  </si>
  <si>
    <t>ASTORIA_GT2_4</t>
  </si>
  <si>
    <t>ASTORIA_GT3_1</t>
  </si>
  <si>
    <t>ASTORIA_GT3_2</t>
  </si>
  <si>
    <t>ASTORIA_GT3_3</t>
  </si>
  <si>
    <t>ASTORIA_GT3_4</t>
  </si>
  <si>
    <t>ASTORIA_GT4_1</t>
  </si>
  <si>
    <t>ASTORIA_GT4_2</t>
  </si>
  <si>
    <t>ASTORIA_GT4_3</t>
  </si>
  <si>
    <t>ASTORIA_GT4_4</t>
  </si>
  <si>
    <t>ASTORIA_GT_5</t>
  </si>
  <si>
    <t>ASTORIA_GT_7</t>
  </si>
  <si>
    <t>ASTORIA_GT_8</t>
  </si>
  <si>
    <t>ASTORIA_GT_9</t>
  </si>
  <si>
    <t>ASTORIA_GT_10</t>
  </si>
  <si>
    <t>GOWANUS_GT1_6</t>
  </si>
  <si>
    <t>GOWANUS_GT1_7</t>
  </si>
  <si>
    <t>GOWANUS_GT1_8</t>
  </si>
  <si>
    <t>GOWANUS_GT2_1</t>
  </si>
  <si>
    <t>GOWANUS_GT2_2</t>
  </si>
  <si>
    <t>GOWANUS_GT2_3</t>
  </si>
  <si>
    <t>GOWANUS_GT2_4</t>
  </si>
  <si>
    <t>GOWANUS_GT2_5</t>
  </si>
  <si>
    <t>GOWANUS_GT2_6</t>
  </si>
  <si>
    <t>GOWANUS_GT2_7</t>
  </si>
  <si>
    <t>GOWANUS_GT2_8</t>
  </si>
  <si>
    <t>GOWANUS_GT3_1</t>
  </si>
  <si>
    <t>GOWANUS_GT3_2</t>
  </si>
  <si>
    <t>GOWANUS_GT3_3</t>
  </si>
  <si>
    <t>GOWANUS_GT3_4</t>
  </si>
  <si>
    <t>GOWANUS_GT3_5</t>
  </si>
  <si>
    <t>GOWANUS_GT3_6</t>
  </si>
  <si>
    <t>GOWANUS_GT3_7</t>
  </si>
  <si>
    <t>GOWANUS_GT3_8</t>
  </si>
  <si>
    <t>GOWANUS_GT4_1</t>
  </si>
  <si>
    <t>GOWANUS_GT4_2</t>
  </si>
  <si>
    <t>GOWANUS_GT4_3</t>
  </si>
  <si>
    <t>GOWANUS_GT4_4</t>
  </si>
  <si>
    <t>GOWANUS_GT4_5</t>
  </si>
  <si>
    <t>GOWANUS_GT4_6</t>
  </si>
  <si>
    <t>GOWANUS_GT4_7</t>
  </si>
  <si>
    <t>GOWANUS_GT4_8</t>
  </si>
  <si>
    <t>59TH_STREET_GT_1</t>
  </si>
  <si>
    <t>INDIAN_POINT_GT_1</t>
  </si>
  <si>
    <t>NEG_Control_State_Street</t>
  </si>
  <si>
    <t>ASTORIA_GT_11</t>
  </si>
  <si>
    <t>ASTORIA_GT_12</t>
  </si>
  <si>
    <t>ASTORIA_GT_13</t>
  </si>
  <si>
    <t>NARROWS_GT1_1</t>
  </si>
  <si>
    <t>NARROWS_GT1_2</t>
  </si>
  <si>
    <t>NARROWS_GT1_3</t>
  </si>
  <si>
    <t>NARROWS_GT1_4</t>
  </si>
  <si>
    <t>NARROWS_GT1_5</t>
  </si>
  <si>
    <t>NARROWS_GT1_6</t>
  </si>
  <si>
    <t>NARROWS_GT1_7</t>
  </si>
  <si>
    <t>NARROWS_GT1_8</t>
  </si>
  <si>
    <t>NARROWS_GT2_1</t>
  </si>
  <si>
    <t>NARROWS_GT2_2</t>
  </si>
  <si>
    <t>NARROWS_GT2_3</t>
  </si>
  <si>
    <t>NARROWS_GT2_4</t>
  </si>
  <si>
    <t>NARROWS_GT2_5</t>
  </si>
  <si>
    <t>NARROWS_GT2_6</t>
  </si>
  <si>
    <t>NARROWS_GT2_7</t>
  </si>
  <si>
    <t>NARROWS_GT2_8</t>
  </si>
  <si>
    <t>RAVENSWOOD_GT2_2</t>
  </si>
  <si>
    <t>RAVENSWOOD_GT2_3</t>
  </si>
  <si>
    <t>RAVENSWOOD_GT2_4</t>
  </si>
  <si>
    <t>RAVENSWOOD_GT3_2</t>
  </si>
  <si>
    <t>RAVENSWOOD_GT3_3</t>
  </si>
  <si>
    <t>RAVENSWOOD_GT3_4</t>
  </si>
  <si>
    <t>RAVENSWOOD_GT_4</t>
  </si>
  <si>
    <t>RAVENSWOOD_GT_5</t>
  </si>
  <si>
    <t>RAVENSWOOD_GT_6</t>
  </si>
  <si>
    <t>RAVENSWOOD_GT_7</t>
  </si>
  <si>
    <t>RAVENSWOOD_GT_9</t>
  </si>
  <si>
    <t>RAVENSWOOD_GT_10</t>
  </si>
  <si>
    <t>RAVENSWOOD_GT_11</t>
  </si>
  <si>
    <t>74TH_STREET_GT_1</t>
  </si>
  <si>
    <t>74TH_STREET_GT_2</t>
  </si>
  <si>
    <t>Comments:</t>
  </si>
  <si>
    <t>MODEL_CITY</t>
  </si>
  <si>
    <t>Not defined as of this publication</t>
  </si>
  <si>
    <t>ISOSuApr</t>
  </si>
  <si>
    <t>ISOSuAug</t>
  </si>
  <si>
    <t>ISOSuDec</t>
  </si>
  <si>
    <t>ISOSuFeb</t>
  </si>
  <si>
    <t>ISOSuJan</t>
  </si>
  <si>
    <t>ISOSuJul</t>
  </si>
  <si>
    <t>ISOSuJun</t>
  </si>
  <si>
    <t>ISOSuMar</t>
  </si>
  <si>
    <t>ISOSuMay</t>
  </si>
  <si>
    <t>ISOSuNov</t>
  </si>
  <si>
    <t>ISOSuOct</t>
  </si>
  <si>
    <t>ISOSuSep</t>
  </si>
  <si>
    <t>NewLSE</t>
  </si>
  <si>
    <t>NewSuppl</t>
  </si>
  <si>
    <t>9. Enter your name in cell "C32."</t>
  </si>
  <si>
    <t>11. Enter the company name for in cell "C34."  Do not use this workbook for multiple companies.</t>
  </si>
  <si>
    <t>12. Enter required information  in cells "C35" to "C40."</t>
  </si>
  <si>
    <t>9. Enter your name in cell "C30."</t>
  </si>
  <si>
    <t>11. Enter the company name for in cell "C34."</t>
  </si>
  <si>
    <t>ISOStrpS</t>
  </si>
  <si>
    <t>ISOStrpW</t>
  </si>
  <si>
    <t>RAVENSWOOD_GT2_1</t>
  </si>
  <si>
    <t>RAVENSWOOD_GT3_1</t>
  </si>
  <si>
    <t>RAVENSWOOD_GT_8</t>
  </si>
  <si>
    <t>Contact E-Mail: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</si>
</sst>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8" formatCode="&quot;$&quot;#,##0.00_);\(&quot;$&quot;#,##0.00\)"/>
    <numFmt numFmtId="182" formatCode="_(&quot;$&quot;* #,##0.00_);_(&quot;$&quot;* \(#,##0.00\);_(&quot;$&quot;* &quot;-&quot;??_);_(@_)"/>
    <numFmt numFmtId="183" formatCode="_(* #,##0.00_);_(* \(#,##0.00\);_(* &quot;-&quot;??_);_(@_)"/>
    <numFmt numFmtId="194" formatCode="0.0"/>
    <numFmt numFmtId="196" formatCode="&quot;$&quot;#,##0.00"/>
  </numFmts>
  <fonts count="27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u/>
      <sz val="10"/>
      <name val="Arial"/>
      <family val="2"/>
    </font>
    <font>
      <b/>
      <sz val="16"/>
      <color indexed="13"/>
      <name val="Times New Roman"/>
      <family val="1"/>
    </font>
    <font>
      <b/>
      <sz val="16"/>
      <color indexed="1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2"/>
      <color indexed="13"/>
      <name val="Times New Roman"/>
      <family val="1"/>
    </font>
    <font>
      <b/>
      <sz val="12"/>
      <color indexed="10"/>
      <name val="Times New Roman"/>
      <family val="1"/>
    </font>
    <font>
      <b/>
      <sz val="12"/>
      <name val="Times New Roman"/>
      <family val="1"/>
    </font>
    <font>
      <b/>
      <sz val="8"/>
      <color indexed="10"/>
      <name val="Times New Roman"/>
      <family val="1"/>
    </font>
    <font>
      <sz val="8"/>
      <name val="Times New Roman"/>
      <family val="1"/>
    </font>
    <font>
      <sz val="10"/>
      <color indexed="10"/>
      <name val="Times New Roman"/>
      <family val="1"/>
    </font>
    <font>
      <sz val="12"/>
      <color indexed="10"/>
      <name val="Times New Roman"/>
      <family val="1"/>
    </font>
    <font>
      <u/>
      <sz val="10"/>
      <name val="Times New Roman"/>
      <family val="1"/>
    </font>
    <font>
      <sz val="8"/>
      <name val="Arial"/>
      <family val="2"/>
    </font>
    <font>
      <b/>
      <sz val="8"/>
      <name val="Times New Roman"/>
      <family val="1"/>
    </font>
    <font>
      <b/>
      <sz val="8"/>
      <name val="Arial"/>
      <family val="2"/>
    </font>
    <font>
      <b/>
      <sz val="8"/>
      <color indexed="10"/>
      <name val="Arial"/>
      <family val="2"/>
    </font>
    <font>
      <b/>
      <sz val="10"/>
      <color indexed="10"/>
      <name val="Arial"/>
      <family val="2"/>
    </font>
    <font>
      <sz val="18"/>
      <color indexed="10"/>
      <name val="Arial"/>
      <family val="2"/>
    </font>
    <font>
      <i/>
      <sz val="10"/>
      <color indexed="12"/>
      <name val="Arial"/>
      <family val="2"/>
    </font>
    <font>
      <sz val="10"/>
      <color indexed="13"/>
      <name val="Arial"/>
      <family val="2"/>
    </font>
    <font>
      <sz val="10"/>
      <name val="Arial"/>
      <family val="2"/>
    </font>
    <font>
      <sz val="9"/>
      <name val="宋体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1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82" fontId="1" fillId="0" borderId="0" applyFont="0" applyFill="0" applyBorder="0" applyAlignment="0" applyProtection="0"/>
    <xf numFmtId="183" fontId="1" fillId="0" borderId="0" applyFont="0" applyFill="0" applyBorder="0" applyAlignment="0" applyProtection="0"/>
  </cellStyleXfs>
  <cellXfs count="19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/>
    <xf numFmtId="0" fontId="0" fillId="0" borderId="1" xfId="0" applyBorder="1"/>
    <xf numFmtId="0" fontId="0" fillId="0" borderId="0" xfId="0" applyAlignment="1"/>
    <xf numFmtId="0" fontId="0" fillId="0" borderId="0" xfId="0" applyBorder="1"/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4" fillId="0" borderId="0" xfId="0" applyFont="1"/>
    <xf numFmtId="0" fontId="0" fillId="0" borderId="5" xfId="0" applyBorder="1"/>
    <xf numFmtId="0" fontId="3" fillId="0" borderId="0" xfId="0" applyFont="1" applyAlignment="1">
      <alignment horizontal="center"/>
    </xf>
    <xf numFmtId="0" fontId="0" fillId="0" borderId="3" xfId="0" applyBorder="1"/>
    <xf numFmtId="0" fontId="0" fillId="0" borderId="6" xfId="0" applyBorder="1"/>
    <xf numFmtId="0" fontId="0" fillId="0" borderId="4" xfId="0" applyBorder="1"/>
    <xf numFmtId="0" fontId="0" fillId="0" borderId="7" xfId="0" applyBorder="1"/>
    <xf numFmtId="0" fontId="2" fillId="0" borderId="5" xfId="0" applyFont="1" applyBorder="1"/>
    <xf numFmtId="0" fontId="0" fillId="0" borderId="0" xfId="0" quotePrefix="1"/>
    <xf numFmtId="0" fontId="7" fillId="0" borderId="5" xfId="0" applyFont="1" applyBorder="1" applyAlignment="1">
      <alignment horizontal="center"/>
    </xf>
    <xf numFmtId="0" fontId="7" fillId="0" borderId="5" xfId="0" applyFont="1" applyBorder="1"/>
    <xf numFmtId="0" fontId="13" fillId="0" borderId="0" xfId="0" applyFont="1"/>
    <xf numFmtId="0" fontId="7" fillId="0" borderId="8" xfId="0" applyFont="1" applyBorder="1"/>
    <xf numFmtId="0" fontId="7" fillId="0" borderId="4" xfId="0" applyFont="1" applyBorder="1"/>
    <xf numFmtId="0" fontId="7" fillId="0" borderId="0" xfId="0" applyFont="1" applyBorder="1"/>
    <xf numFmtId="0" fontId="8" fillId="0" borderId="5" xfId="0" applyFont="1" applyBorder="1"/>
    <xf numFmtId="0" fontId="8" fillId="0" borderId="0" xfId="0" applyFont="1" applyBorder="1"/>
    <xf numFmtId="0" fontId="8" fillId="0" borderId="1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7" fillId="0" borderId="10" xfId="0" applyFont="1" applyBorder="1"/>
    <xf numFmtId="0" fontId="8" fillId="0" borderId="10" xfId="0" applyFont="1" applyBorder="1" applyAlignment="1">
      <alignment horizontal="center"/>
    </xf>
    <xf numFmtId="0" fontId="0" fillId="2" borderId="0" xfId="0" applyFill="1"/>
    <xf numFmtId="0" fontId="0" fillId="0" borderId="0" xfId="0" applyFill="1"/>
    <xf numFmtId="0" fontId="7" fillId="0" borderId="2" xfId="0" applyFont="1" applyFill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2" fontId="7" fillId="0" borderId="10" xfId="0" applyNumberFormat="1" applyFont="1" applyBorder="1" applyAlignment="1">
      <alignment horizontal="center"/>
    </xf>
    <xf numFmtId="0" fontId="7" fillId="0" borderId="12" xfId="0" applyFont="1" applyBorder="1"/>
    <xf numFmtId="0" fontId="7" fillId="0" borderId="13" xfId="0" applyFont="1" applyBorder="1"/>
    <xf numFmtId="0" fontId="8" fillId="0" borderId="13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7" fillId="0" borderId="15" xfId="0" applyFont="1" applyBorder="1"/>
    <xf numFmtId="0" fontId="8" fillId="0" borderId="15" xfId="0" applyFont="1" applyBorder="1" applyAlignment="1">
      <alignment horizontal="center"/>
    </xf>
    <xf numFmtId="0" fontId="7" fillId="0" borderId="16" xfId="0" applyFont="1" applyBorder="1"/>
    <xf numFmtId="0" fontId="8" fillId="0" borderId="17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7" fillId="0" borderId="19" xfId="0" applyFont="1" applyBorder="1"/>
    <xf numFmtId="0" fontId="8" fillId="0" borderId="20" xfId="0" applyFont="1" applyBorder="1" applyAlignment="1">
      <alignment horizontal="center"/>
    </xf>
    <xf numFmtId="0" fontId="7" fillId="2" borderId="21" xfId="0" applyFont="1" applyFill="1" applyBorder="1" applyAlignment="1">
      <alignment horizontal="center"/>
    </xf>
    <xf numFmtId="194" fontId="7" fillId="0" borderId="10" xfId="0" applyNumberFormat="1" applyFont="1" applyBorder="1" applyAlignment="1">
      <alignment horizontal="center"/>
    </xf>
    <xf numFmtId="0" fontId="8" fillId="0" borderId="22" xfId="0" applyFont="1" applyBorder="1" applyAlignment="1">
      <alignment horizontal="left"/>
    </xf>
    <xf numFmtId="0" fontId="7" fillId="0" borderId="0" xfId="0" applyFont="1" applyFill="1" applyBorder="1" applyAlignment="1">
      <alignment horizontal="center"/>
    </xf>
    <xf numFmtId="0" fontId="0" fillId="0" borderId="0" xfId="0" applyFill="1" applyBorder="1"/>
    <xf numFmtId="0" fontId="7" fillId="0" borderId="23" xfId="0" applyFont="1" applyBorder="1"/>
    <xf numFmtId="0" fontId="7" fillId="2" borderId="3" xfId="0" applyFont="1" applyFill="1" applyBorder="1" applyAlignment="1">
      <alignment horizontal="center"/>
    </xf>
    <xf numFmtId="0" fontId="7" fillId="0" borderId="3" xfId="0" applyFont="1" applyFill="1" applyBorder="1" applyAlignment="1">
      <alignment horizontal="center"/>
    </xf>
    <xf numFmtId="0" fontId="7" fillId="0" borderId="2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Border="1"/>
    <xf numFmtId="39" fontId="7" fillId="0" borderId="24" xfId="2" applyNumberFormat="1" applyFont="1" applyFill="1" applyBorder="1" applyAlignment="1">
      <alignment horizontal="center"/>
    </xf>
    <xf numFmtId="194" fontId="7" fillId="0" borderId="2" xfId="2" applyNumberFormat="1" applyFont="1" applyFill="1" applyBorder="1" applyAlignment="1">
      <alignment horizontal="center"/>
    </xf>
    <xf numFmtId="39" fontId="7" fillId="2" borderId="6" xfId="2" applyNumberFormat="1" applyFont="1" applyFill="1" applyBorder="1" applyAlignment="1">
      <alignment horizontal="center"/>
    </xf>
    <xf numFmtId="39" fontId="7" fillId="0" borderId="6" xfId="2" applyNumberFormat="1" applyFont="1" applyFill="1" applyBorder="1" applyAlignment="1">
      <alignment horizontal="center"/>
    </xf>
    <xf numFmtId="194" fontId="7" fillId="2" borderId="3" xfId="2" applyNumberFormat="1" applyFont="1" applyFill="1" applyBorder="1" applyAlignment="1">
      <alignment horizontal="center"/>
    </xf>
    <xf numFmtId="194" fontId="7" fillId="0" borderId="3" xfId="2" applyNumberFormat="1" applyFont="1" applyFill="1" applyBorder="1" applyAlignment="1">
      <alignment horizontal="center"/>
    </xf>
    <xf numFmtId="0" fontId="17" fillId="0" borderId="0" xfId="0" applyFont="1"/>
    <xf numFmtId="2" fontId="17" fillId="0" borderId="0" xfId="0" applyNumberFormat="1" applyFont="1"/>
    <xf numFmtId="194" fontId="17" fillId="0" borderId="0" xfId="0" applyNumberFormat="1" applyFont="1"/>
    <xf numFmtId="0" fontId="20" fillId="0" borderId="0" xfId="0" applyFont="1" applyBorder="1"/>
    <xf numFmtId="0" fontId="17" fillId="0" borderId="23" xfId="0" applyFont="1" applyBorder="1"/>
    <xf numFmtId="2" fontId="13" fillId="0" borderId="0" xfId="0" applyNumberFormat="1" applyFont="1"/>
    <xf numFmtId="194" fontId="13" fillId="0" borderId="0" xfId="0" applyNumberFormat="1" applyFont="1"/>
    <xf numFmtId="0" fontId="17" fillId="0" borderId="0" xfId="0" applyFont="1" applyBorder="1"/>
    <xf numFmtId="0" fontId="13" fillId="0" borderId="0" xfId="0" applyFont="1" applyBorder="1"/>
    <xf numFmtId="0" fontId="18" fillId="0" borderId="0" xfId="0" applyFont="1" applyBorder="1" applyAlignment="1">
      <alignment horizontal="center"/>
    </xf>
    <xf numFmtId="0" fontId="13" fillId="0" borderId="0" xfId="0" applyFont="1" applyFill="1" applyBorder="1"/>
    <xf numFmtId="0" fontId="0" fillId="0" borderId="3" xfId="0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0" borderId="3" xfId="0" applyFill="1" applyBorder="1" applyAlignment="1">
      <alignment horizontal="center"/>
    </xf>
    <xf numFmtId="2" fontId="0" fillId="0" borderId="3" xfId="0" applyNumberForma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2" fontId="0" fillId="2" borderId="3" xfId="0" applyNumberFormat="1" applyFill="1" applyBorder="1" applyAlignment="1">
      <alignment horizontal="center"/>
    </xf>
    <xf numFmtId="0" fontId="21" fillId="0" borderId="0" xfId="0" applyFont="1" applyBorder="1"/>
    <xf numFmtId="0" fontId="7" fillId="3" borderId="2" xfId="0" applyFont="1" applyFill="1" applyBorder="1" applyAlignment="1">
      <alignment horizontal="left"/>
    </xf>
    <xf numFmtId="0" fontId="12" fillId="0" borderId="0" xfId="0" applyFont="1" applyBorder="1"/>
    <xf numFmtId="14" fontId="7" fillId="0" borderId="5" xfId="0" applyNumberFormat="1" applyFont="1" applyBorder="1"/>
    <xf numFmtId="20" fontId="7" fillId="0" borderId="4" xfId="0" applyNumberFormat="1" applyFont="1" applyBorder="1"/>
    <xf numFmtId="49" fontId="8" fillId="0" borderId="5" xfId="0" applyNumberFormat="1" applyFont="1" applyBorder="1"/>
    <xf numFmtId="18" fontId="7" fillId="0" borderId="4" xfId="0" applyNumberFormat="1" applyFont="1" applyBorder="1"/>
    <xf numFmtId="0" fontId="22" fillId="2" borderId="0" xfId="0" applyFont="1" applyFill="1"/>
    <xf numFmtId="0" fontId="17" fillId="2" borderId="0" xfId="0" applyFont="1" applyFill="1"/>
    <xf numFmtId="2" fontId="17" fillId="2" borderId="0" xfId="0" applyNumberFormat="1" applyFont="1" applyFill="1"/>
    <xf numFmtId="194" fontId="17" fillId="2" borderId="0" xfId="0" applyNumberFormat="1" applyFont="1" applyFill="1"/>
    <xf numFmtId="0" fontId="22" fillId="4" borderId="0" xfId="0" applyFont="1" applyFill="1"/>
    <xf numFmtId="0" fontId="17" fillId="4" borderId="0" xfId="0" applyFont="1" applyFill="1"/>
    <xf numFmtId="2" fontId="17" fillId="4" borderId="0" xfId="0" applyNumberFormat="1" applyFont="1" applyFill="1"/>
    <xf numFmtId="194" fontId="17" fillId="4" borderId="0" xfId="0" applyNumberFormat="1" applyFont="1" applyFill="1"/>
    <xf numFmtId="0" fontId="0" fillId="4" borderId="0" xfId="0" applyFill="1"/>
    <xf numFmtId="0" fontId="23" fillId="0" borderId="0" xfId="0" applyFont="1"/>
    <xf numFmtId="0" fontId="0" fillId="5" borderId="0" xfId="0" applyFill="1"/>
    <xf numFmtId="0" fontId="24" fillId="3" borderId="0" xfId="0" applyFont="1" applyFill="1"/>
    <xf numFmtId="0" fontId="7" fillId="2" borderId="2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14" fontId="7" fillId="0" borderId="0" xfId="0" applyNumberFormat="1" applyFont="1" applyFill="1" applyBorder="1" applyAlignment="1">
      <alignment horizontal="center"/>
    </xf>
    <xf numFmtId="20" fontId="7" fillId="0" borderId="0" xfId="0" applyNumberFormat="1" applyFont="1" applyFill="1" applyBorder="1" applyAlignment="1">
      <alignment horizontal="center"/>
    </xf>
    <xf numFmtId="18" fontId="7" fillId="0" borderId="0" xfId="0" applyNumberFormat="1" applyFont="1" applyFill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18" fillId="0" borderId="26" xfId="0" applyFont="1" applyBorder="1" applyAlignment="1">
      <alignment horizontal="center"/>
    </xf>
    <xf numFmtId="0" fontId="18" fillId="0" borderId="26" xfId="0" applyFont="1" applyBorder="1" applyAlignment="1">
      <alignment horizontal="center" vertical="justify"/>
    </xf>
    <xf numFmtId="0" fontId="19" fillId="0" borderId="26" xfId="0" applyFont="1" applyBorder="1" applyAlignment="1">
      <alignment horizontal="center" wrapText="1"/>
    </xf>
    <xf numFmtId="0" fontId="2" fillId="0" borderId="27" xfId="0" applyFont="1" applyBorder="1" applyAlignment="1">
      <alignment horizontal="center" wrapText="1"/>
    </xf>
    <xf numFmtId="0" fontId="17" fillId="0" borderId="28" xfId="0" applyFont="1" applyBorder="1"/>
    <xf numFmtId="0" fontId="13" fillId="0" borderId="23" xfId="0" applyFont="1" applyBorder="1"/>
    <xf numFmtId="0" fontId="18" fillId="0" borderId="23" xfId="0" applyFont="1" applyBorder="1" applyAlignment="1">
      <alignment horizontal="right"/>
    </xf>
    <xf numFmtId="0" fontId="18" fillId="0" borderId="23" xfId="0" applyFont="1" applyBorder="1"/>
    <xf numFmtId="0" fontId="19" fillId="0" borderId="23" xfId="0" applyFont="1" applyBorder="1"/>
    <xf numFmtId="0" fontId="0" fillId="0" borderId="29" xfId="0" applyBorder="1"/>
    <xf numFmtId="0" fontId="13" fillId="0" borderId="3" xfId="0" applyFont="1" applyFill="1" applyBorder="1" applyAlignment="1">
      <alignment horizontal="center"/>
    </xf>
    <xf numFmtId="0" fontId="17" fillId="0" borderId="3" xfId="0" applyFont="1" applyBorder="1" applyAlignment="1">
      <alignment horizontal="center"/>
    </xf>
    <xf numFmtId="194" fontId="17" fillId="0" borderId="3" xfId="0" applyNumberFormat="1" applyFont="1" applyBorder="1" applyAlignment="1">
      <alignment horizontal="center"/>
    </xf>
    <xf numFmtId="182" fontId="17" fillId="0" borderId="3" xfId="1" applyFont="1" applyBorder="1" applyAlignment="1">
      <alignment horizontal="center"/>
    </xf>
    <xf numFmtId="196" fontId="17" fillId="0" borderId="3" xfId="0" applyNumberFormat="1" applyFont="1" applyBorder="1" applyAlignment="1">
      <alignment horizontal="right"/>
    </xf>
    <xf numFmtId="0" fontId="7" fillId="0" borderId="30" xfId="0" applyFont="1" applyFill="1" applyBorder="1" applyAlignment="1">
      <alignment horizontal="center"/>
    </xf>
    <xf numFmtId="0" fontId="0" fillId="0" borderId="31" xfId="0" applyBorder="1" applyAlignment="1">
      <alignment horizontal="center"/>
    </xf>
    <xf numFmtId="196" fontId="17" fillId="0" borderId="1" xfId="0" applyNumberFormat="1" applyFont="1" applyBorder="1" applyAlignment="1">
      <alignment horizontal="right"/>
    </xf>
    <xf numFmtId="196" fontId="17" fillId="0" borderId="32" xfId="0" applyNumberFormat="1" applyFont="1" applyBorder="1" applyAlignment="1">
      <alignment horizontal="right"/>
    </xf>
    <xf numFmtId="2" fontId="18" fillId="0" borderId="23" xfId="0" applyNumberFormat="1" applyFont="1" applyBorder="1" applyAlignment="1">
      <alignment horizontal="right"/>
    </xf>
    <xf numFmtId="194" fontId="18" fillId="0" borderId="23" xfId="0" applyNumberFormat="1" applyFont="1" applyBorder="1"/>
    <xf numFmtId="194" fontId="17" fillId="0" borderId="23" xfId="0" applyNumberFormat="1" applyFont="1" applyBorder="1"/>
    <xf numFmtId="2" fontId="18" fillId="0" borderId="26" xfId="0" applyNumberFormat="1" applyFont="1" applyBorder="1" applyAlignment="1">
      <alignment horizontal="center" vertical="justify"/>
    </xf>
    <xf numFmtId="194" fontId="18" fillId="0" borderId="26" xfId="0" applyNumberFormat="1" applyFont="1" applyBorder="1" applyAlignment="1">
      <alignment horizontal="center" vertical="justify"/>
    </xf>
    <xf numFmtId="194" fontId="19" fillId="0" borderId="26" xfId="0" applyNumberFormat="1" applyFont="1" applyBorder="1" applyAlignment="1">
      <alignment horizontal="center" wrapText="1"/>
    </xf>
    <xf numFmtId="0" fontId="19" fillId="0" borderId="27" xfId="0" applyFont="1" applyBorder="1" applyAlignment="1">
      <alignment horizontal="center" wrapText="1"/>
    </xf>
    <xf numFmtId="194" fontId="19" fillId="0" borderId="23" xfId="0" applyNumberFormat="1" applyFont="1" applyBorder="1"/>
    <xf numFmtId="2" fontId="13" fillId="0" borderId="3" xfId="0" applyNumberFormat="1" applyFont="1" applyFill="1" applyBorder="1" applyAlignment="1">
      <alignment horizontal="center"/>
    </xf>
    <xf numFmtId="194" fontId="13" fillId="0" borderId="3" xfId="0" applyNumberFormat="1" applyFont="1" applyFill="1" applyBorder="1" applyAlignment="1">
      <alignment horizontal="center"/>
    </xf>
    <xf numFmtId="178" fontId="17" fillId="0" borderId="3" xfId="1" applyNumberFormat="1" applyFont="1" applyBorder="1" applyAlignment="1">
      <alignment horizontal="center"/>
    </xf>
    <xf numFmtId="0" fontId="0" fillId="0" borderId="23" xfId="0" applyBorder="1"/>
    <xf numFmtId="0" fontId="5" fillId="0" borderId="25" xfId="0" applyFont="1" applyBorder="1"/>
    <xf numFmtId="0" fontId="5" fillId="0" borderId="26" xfId="0" applyFont="1" applyBorder="1"/>
    <xf numFmtId="0" fontId="6" fillId="0" borderId="26" xfId="0" applyFont="1" applyBorder="1"/>
    <xf numFmtId="0" fontId="7" fillId="0" borderId="26" xfId="0" applyFont="1" applyBorder="1" applyAlignment="1"/>
    <xf numFmtId="0" fontId="8" fillId="0" borderId="26" xfId="0" applyFont="1" applyBorder="1" applyAlignment="1">
      <alignment horizontal="center"/>
    </xf>
    <xf numFmtId="0" fontId="7" fillId="0" borderId="26" xfId="0" applyFont="1" applyBorder="1"/>
    <xf numFmtId="0" fontId="0" fillId="0" borderId="26" xfId="0" applyBorder="1"/>
    <xf numFmtId="0" fontId="0" fillId="0" borderId="27" xfId="0" applyBorder="1"/>
    <xf numFmtId="0" fontId="9" fillId="0" borderId="33" xfId="0" applyFont="1" applyBorder="1"/>
    <xf numFmtId="0" fontId="9" fillId="0" borderId="0" xfId="0" applyFont="1" applyBorder="1"/>
    <xf numFmtId="0" fontId="10" fillId="0" borderId="0" xfId="0" applyFont="1" applyBorder="1"/>
    <xf numFmtId="0" fontId="7" fillId="0" borderId="0" xfId="0" applyFont="1" applyBorder="1" applyAlignment="1">
      <alignment horizontal="center"/>
    </xf>
    <xf numFmtId="0" fontId="0" fillId="0" borderId="34" xfId="0" applyBorder="1"/>
    <xf numFmtId="0" fontId="7" fillId="0" borderId="33" xfId="0" applyFont="1" applyBorder="1"/>
    <xf numFmtId="0" fontId="11" fillId="0" borderId="0" xfId="0" applyFont="1" applyBorder="1" applyAlignment="1">
      <alignment horizontal="center"/>
    </xf>
    <xf numFmtId="0" fontId="0" fillId="0" borderId="0" xfId="0" quotePrefix="1" applyBorder="1"/>
    <xf numFmtId="0" fontId="14" fillId="0" borderId="0" xfId="0" applyFont="1" applyBorder="1"/>
    <xf numFmtId="0" fontId="12" fillId="0" borderId="33" xfId="0" applyFont="1" applyBorder="1"/>
    <xf numFmtId="0" fontId="7" fillId="3" borderId="35" xfId="0" applyFont="1" applyFill="1" applyBorder="1" applyAlignment="1">
      <alignment horizontal="center"/>
    </xf>
    <xf numFmtId="0" fontId="0" fillId="2" borderId="0" xfId="0" applyFill="1" applyBorder="1" applyProtection="1">
      <protection hidden="1"/>
    </xf>
    <xf numFmtId="0" fontId="0" fillId="0" borderId="0" xfId="0" applyBorder="1" applyProtection="1">
      <protection hidden="1"/>
    </xf>
    <xf numFmtId="0" fontId="7" fillId="0" borderId="0" xfId="0" applyFont="1" applyBorder="1" applyAlignment="1">
      <alignment horizontal="right"/>
    </xf>
    <xf numFmtId="0" fontId="15" fillId="0" borderId="0" xfId="0" applyFont="1" applyBorder="1" applyAlignment="1">
      <alignment horizontal="right" vertical="center"/>
    </xf>
    <xf numFmtId="0" fontId="14" fillId="0" borderId="0" xfId="0" quotePrefix="1" applyFont="1" applyBorder="1" applyAlignment="1">
      <alignment horizontal="centerContinuous" vertical="center" wrapText="1"/>
    </xf>
    <xf numFmtId="0" fontId="14" fillId="0" borderId="0" xfId="0" applyFont="1" applyBorder="1" applyAlignment="1">
      <alignment horizontal="centerContinuous" vertical="center" wrapText="1"/>
    </xf>
    <xf numFmtId="0" fontId="7" fillId="0" borderId="0" xfId="0" applyFont="1" applyBorder="1" applyAlignment="1">
      <alignment horizontal="centerContinuous" vertical="center" wrapText="1"/>
    </xf>
    <xf numFmtId="0" fontId="16" fillId="0" borderId="33" xfId="0" applyFont="1" applyBorder="1"/>
    <xf numFmtId="0" fontId="7" fillId="0" borderId="0" xfId="0" applyFont="1" applyBorder="1" applyAlignment="1">
      <alignment horizontal="centerContinuous"/>
    </xf>
    <xf numFmtId="0" fontId="8" fillId="0" borderId="33" xfId="0" applyFont="1" applyBorder="1"/>
    <xf numFmtId="0" fontId="7" fillId="2" borderId="33" xfId="0" applyFont="1" applyFill="1" applyBorder="1"/>
    <xf numFmtId="0" fontId="7" fillId="3" borderId="33" xfId="0" applyFont="1" applyFill="1" applyBorder="1"/>
    <xf numFmtId="0" fontId="8" fillId="0" borderId="0" xfId="0" applyFont="1" applyFill="1" applyBorder="1"/>
    <xf numFmtId="0" fontId="7" fillId="0" borderId="0" xfId="0" applyFont="1" applyFill="1" applyBorder="1"/>
    <xf numFmtId="0" fontId="7" fillId="0" borderId="0" xfId="0" quotePrefix="1" applyFont="1" applyBorder="1"/>
    <xf numFmtId="0" fontId="0" fillId="0" borderId="28" xfId="0" applyBorder="1"/>
    <xf numFmtId="0" fontId="0" fillId="0" borderId="0" xfId="0" applyFill="1" applyBorder="1" applyProtection="1">
      <protection hidden="1"/>
    </xf>
    <xf numFmtId="0" fontId="0" fillId="0" borderId="34" xfId="0" applyFill="1" applyBorder="1"/>
    <xf numFmtId="0" fontId="0" fillId="0" borderId="23" xfId="0" applyFill="1" applyBorder="1"/>
    <xf numFmtId="0" fontId="0" fillId="0" borderId="28" xfId="0" applyFill="1" applyBorder="1"/>
    <xf numFmtId="0" fontId="25" fillId="0" borderId="31" xfId="0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7" fillId="0" borderId="33" xfId="0" applyFont="1" applyBorder="1" applyAlignment="1">
      <alignment horizontal="left"/>
    </xf>
    <xf numFmtId="0" fontId="7" fillId="0" borderId="28" xfId="0" applyFont="1" applyBorder="1" applyAlignment="1">
      <alignment horizontal="left"/>
    </xf>
    <xf numFmtId="0" fontId="0" fillId="0" borderId="0" xfId="0" applyAlignment="1">
      <alignment horizontal="right"/>
    </xf>
    <xf numFmtId="0" fontId="0" fillId="6" borderId="0" xfId="0" applyFill="1" applyBorder="1" applyAlignment="1">
      <alignment vertical="top"/>
    </xf>
    <xf numFmtId="0" fontId="0" fillId="6" borderId="34" xfId="0" applyFill="1" applyBorder="1" applyAlignment="1">
      <alignment vertical="top"/>
    </xf>
    <xf numFmtId="0" fontId="8" fillId="0" borderId="0" xfId="0" applyFont="1" applyBorder="1" applyAlignment="1">
      <alignment horizontal="center"/>
    </xf>
    <xf numFmtId="0" fontId="8" fillId="0" borderId="34" xfId="0" applyFont="1" applyBorder="1" applyAlignment="1">
      <alignment horizontal="center"/>
    </xf>
    <xf numFmtId="0" fontId="0" fillId="6" borderId="0" xfId="0" applyFill="1" applyBorder="1" applyAlignment="1">
      <alignment horizontal="center" vertical="top"/>
    </xf>
    <xf numFmtId="0" fontId="0" fillId="6" borderId="34" xfId="0" applyFill="1" applyBorder="1" applyAlignment="1">
      <alignment horizontal="center" vertical="top"/>
    </xf>
    <xf numFmtId="0" fontId="0" fillId="6" borderId="23" xfId="0" applyFill="1" applyBorder="1" applyAlignment="1">
      <alignment horizontal="center" vertical="top"/>
    </xf>
    <xf numFmtId="0" fontId="0" fillId="6" borderId="29" xfId="0" applyFill="1" applyBorder="1" applyAlignment="1">
      <alignment horizontal="center" vertical="top"/>
    </xf>
    <xf numFmtId="0" fontId="0" fillId="6" borderId="0" xfId="0" applyFill="1" applyAlignment="1">
      <alignment horizontal="left" vertical="top"/>
    </xf>
    <xf numFmtId="0" fontId="0" fillId="6" borderId="34" xfId="0" applyFill="1" applyBorder="1" applyAlignment="1">
      <alignment horizontal="left" vertical="top"/>
    </xf>
    <xf numFmtId="0" fontId="0" fillId="6" borderId="23" xfId="0" applyFill="1" applyBorder="1" applyAlignment="1">
      <alignment horizontal="left" vertical="top"/>
    </xf>
    <xf numFmtId="0" fontId="0" fillId="6" borderId="29" xfId="0" applyFill="1" applyBorder="1" applyAlignment="1">
      <alignment horizontal="left" vertical="top"/>
    </xf>
  </cellXfs>
  <cellStyles count="3">
    <cellStyle name="常规" xfId="0" builtinId="0"/>
    <cellStyle name="货币" xfId="1" builtinId="4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image" Target="../media/image2.emf"/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image" Target="../media/image4.emf"/><Relationship Id="rId1" Type="http://schemas.openxmlformats.org/officeDocument/2006/relationships/image" Target="../media/image5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image" Target="../media/image6.emf"/><Relationship Id="rId1" Type="http://schemas.openxmlformats.org/officeDocument/2006/relationships/image" Target="../media/image5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image" Target="../media/image7.emf"/><Relationship Id="rId1" Type="http://schemas.openxmlformats.org/officeDocument/2006/relationships/image" Target="../media/image8.emf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image" Target="../media/image4.emf"/><Relationship Id="rId1" Type="http://schemas.openxmlformats.org/officeDocument/2006/relationships/image" Target="../media/image9.emf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image" Target="../media/image6.emf"/><Relationship Id="rId1" Type="http://schemas.openxmlformats.org/officeDocument/2006/relationships/image" Target="../media/image5.emf"/></Relationships>
</file>

<file path=xl/drawings/_rels/vmlDrawing7.v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image" Target="../media/image4.emf"/><Relationship Id="rId1" Type="http://schemas.openxmlformats.org/officeDocument/2006/relationships/image" Target="../media/image10.emf"/></Relationships>
</file>

<file path=xl/drawings/_rels/vmlDrawing8.vml.rels><?xml version="1.0" encoding="UTF-8" standalone="yes"?>
<Relationships xmlns="http://schemas.openxmlformats.org/package/2006/relationships"><Relationship Id="rId3" Type="http://schemas.openxmlformats.org/officeDocument/2006/relationships/image" Target="../media/image11.emf"/><Relationship Id="rId2" Type="http://schemas.openxmlformats.org/officeDocument/2006/relationships/image" Target="../media/image12.emf"/><Relationship Id="rId1" Type="http://schemas.openxmlformats.org/officeDocument/2006/relationships/image" Target="../media/image5.emf"/></Relationships>
</file>

<file path=xl/drawings/_rels/vmlDrawing9.v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13" Type="http://schemas.openxmlformats.org/officeDocument/2006/relationships/image" Target="../media/image13.emf"/><Relationship Id="rId3" Type="http://schemas.openxmlformats.org/officeDocument/2006/relationships/image" Target="../media/image8.emf"/><Relationship Id="rId7" Type="http://schemas.openxmlformats.org/officeDocument/2006/relationships/image" Target="../media/image18.emf"/><Relationship Id="rId12" Type="http://schemas.openxmlformats.org/officeDocument/2006/relationships/image" Target="../media/image4.emf"/><Relationship Id="rId2" Type="http://schemas.openxmlformats.org/officeDocument/2006/relationships/image" Target="../media/image22.emf"/><Relationship Id="rId1" Type="http://schemas.openxmlformats.org/officeDocument/2006/relationships/image" Target="../media/image5.emf"/><Relationship Id="rId6" Type="http://schemas.openxmlformats.org/officeDocument/2006/relationships/image" Target="../media/image19.emf"/><Relationship Id="rId11" Type="http://schemas.openxmlformats.org/officeDocument/2006/relationships/image" Target="../media/image14.emf"/><Relationship Id="rId5" Type="http://schemas.openxmlformats.org/officeDocument/2006/relationships/image" Target="../media/image20.emf"/><Relationship Id="rId10" Type="http://schemas.openxmlformats.org/officeDocument/2006/relationships/image" Target="../media/image15.emf"/><Relationship Id="rId4" Type="http://schemas.openxmlformats.org/officeDocument/2006/relationships/image" Target="../media/image21.emf"/><Relationship Id="rId9" Type="http://schemas.openxmlformats.org/officeDocument/2006/relationships/image" Target="../media/image1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133350</xdr:colOff>
          <xdr:row>9</xdr:row>
          <xdr:rowOff>90488</xdr:rowOff>
        </xdr:from>
        <xdr:to>
          <xdr:col>10</xdr:col>
          <xdr:colOff>500063</xdr:colOff>
          <xdr:row>12</xdr:row>
          <xdr:rowOff>47625</xdr:rowOff>
        </xdr:to>
        <xdr:sp macro="" textlink="">
          <xdr:nvSpPr>
            <xdr:cNvPr id="1027" name="Command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79F58B0-5664-E996-CFE2-373BAD9C11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195263</xdr:colOff>
          <xdr:row>9</xdr:row>
          <xdr:rowOff>76200</xdr:rowOff>
        </xdr:from>
        <xdr:to>
          <xdr:col>12</xdr:col>
          <xdr:colOff>490538</xdr:colOff>
          <xdr:row>12</xdr:row>
          <xdr:rowOff>38100</xdr:rowOff>
        </xdr:to>
        <xdr:sp macro="" textlink="">
          <xdr:nvSpPr>
            <xdr:cNvPr id="1028" name="CommandButton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A112BEDC-6DFD-6713-7741-AD0D8920BD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71438</xdr:colOff>
          <xdr:row>9</xdr:row>
          <xdr:rowOff>147638</xdr:rowOff>
        </xdr:from>
        <xdr:to>
          <xdr:col>23</xdr:col>
          <xdr:colOff>414338</xdr:colOff>
          <xdr:row>11</xdr:row>
          <xdr:rowOff>109538</xdr:rowOff>
        </xdr:to>
        <xdr:sp macro="" textlink="">
          <xdr:nvSpPr>
            <xdr:cNvPr id="1029" name="CommandButton1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AEE8B8BC-21D2-32CB-C30E-BBFC55F617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481013</xdr:colOff>
          <xdr:row>9</xdr:row>
          <xdr:rowOff>66675</xdr:rowOff>
        </xdr:from>
        <xdr:to>
          <xdr:col>10</xdr:col>
          <xdr:colOff>233363</xdr:colOff>
          <xdr:row>12</xdr:row>
          <xdr:rowOff>14288</xdr:rowOff>
        </xdr:to>
        <xdr:sp macro="" textlink="">
          <xdr:nvSpPr>
            <xdr:cNvPr id="2049" name="CommandButton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75716661-FA10-1C5B-BFF2-FAEB3D6AC2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523875</xdr:colOff>
          <xdr:row>9</xdr:row>
          <xdr:rowOff>76200</xdr:rowOff>
        </xdr:from>
        <xdr:to>
          <xdr:col>12</xdr:col>
          <xdr:colOff>209550</xdr:colOff>
          <xdr:row>12</xdr:row>
          <xdr:rowOff>23813</xdr:rowOff>
        </xdr:to>
        <xdr:sp macro="" textlink="">
          <xdr:nvSpPr>
            <xdr:cNvPr id="2050" name="CommandButton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CA02B089-24A9-B5D6-31C6-8077448030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461963</xdr:colOff>
          <xdr:row>9</xdr:row>
          <xdr:rowOff>147638</xdr:rowOff>
        </xdr:from>
        <xdr:to>
          <xdr:col>23</xdr:col>
          <xdr:colOff>252413</xdr:colOff>
          <xdr:row>11</xdr:row>
          <xdr:rowOff>109538</xdr:rowOff>
        </xdr:to>
        <xdr:sp macro="" textlink="">
          <xdr:nvSpPr>
            <xdr:cNvPr id="2051" name="CommandButton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F3DCB5BA-57B8-8B58-32A7-B2D2B6A190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419100</xdr:colOff>
          <xdr:row>9</xdr:row>
          <xdr:rowOff>66675</xdr:rowOff>
        </xdr:from>
        <xdr:to>
          <xdr:col>10</xdr:col>
          <xdr:colOff>171450</xdr:colOff>
          <xdr:row>12</xdr:row>
          <xdr:rowOff>14288</xdr:rowOff>
        </xdr:to>
        <xdr:sp macro="" textlink="">
          <xdr:nvSpPr>
            <xdr:cNvPr id="5121" name="CommandButton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EA738406-EDB9-637F-7726-8A05833C8F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481013</xdr:colOff>
          <xdr:row>9</xdr:row>
          <xdr:rowOff>90488</xdr:rowOff>
        </xdr:from>
        <xdr:to>
          <xdr:col>12</xdr:col>
          <xdr:colOff>166688</xdr:colOff>
          <xdr:row>12</xdr:row>
          <xdr:rowOff>38100</xdr:rowOff>
        </xdr:to>
        <xdr:sp macro="" textlink="">
          <xdr:nvSpPr>
            <xdr:cNvPr id="5122" name="CommandButton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17346335-A8BE-B23C-CBF7-B52783DE06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366713</xdr:colOff>
          <xdr:row>9</xdr:row>
          <xdr:rowOff>109538</xdr:rowOff>
        </xdr:from>
        <xdr:to>
          <xdr:col>23</xdr:col>
          <xdr:colOff>157163</xdr:colOff>
          <xdr:row>11</xdr:row>
          <xdr:rowOff>71438</xdr:rowOff>
        </xdr:to>
        <xdr:sp macro="" textlink="">
          <xdr:nvSpPr>
            <xdr:cNvPr id="5123" name="CommandButton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FCEA26EC-4DA6-D8A0-3860-A79539E483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438150</xdr:colOff>
          <xdr:row>9</xdr:row>
          <xdr:rowOff>109538</xdr:rowOff>
        </xdr:from>
        <xdr:to>
          <xdr:col>10</xdr:col>
          <xdr:colOff>190500</xdr:colOff>
          <xdr:row>12</xdr:row>
          <xdr:rowOff>57150</xdr:rowOff>
        </xdr:to>
        <xdr:sp macro="" textlink="">
          <xdr:nvSpPr>
            <xdr:cNvPr id="6145" name="CommandButton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CB630F39-BC39-66E2-99E7-38DB58CD4F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481013</xdr:colOff>
          <xdr:row>9</xdr:row>
          <xdr:rowOff>109538</xdr:rowOff>
        </xdr:from>
        <xdr:to>
          <xdr:col>12</xdr:col>
          <xdr:colOff>166688</xdr:colOff>
          <xdr:row>12</xdr:row>
          <xdr:rowOff>57150</xdr:rowOff>
        </xdr:to>
        <xdr:sp macro="" textlink="">
          <xdr:nvSpPr>
            <xdr:cNvPr id="6146" name="CommandButton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49D0E92C-87AB-7BAF-5496-41EA25FC78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438150</xdr:colOff>
          <xdr:row>9</xdr:row>
          <xdr:rowOff>147638</xdr:rowOff>
        </xdr:from>
        <xdr:to>
          <xdr:col>23</xdr:col>
          <xdr:colOff>228600</xdr:colOff>
          <xdr:row>11</xdr:row>
          <xdr:rowOff>109538</xdr:rowOff>
        </xdr:to>
        <xdr:sp macro="" textlink="">
          <xdr:nvSpPr>
            <xdr:cNvPr id="6147" name="CommandButton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BBBFD401-19FF-6EBF-E4BD-E22F77DDB6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438150</xdr:colOff>
          <xdr:row>9</xdr:row>
          <xdr:rowOff>66675</xdr:rowOff>
        </xdr:from>
        <xdr:to>
          <xdr:col>10</xdr:col>
          <xdr:colOff>190500</xdr:colOff>
          <xdr:row>12</xdr:row>
          <xdr:rowOff>14288</xdr:rowOff>
        </xdr:to>
        <xdr:sp macro="" textlink="">
          <xdr:nvSpPr>
            <xdr:cNvPr id="7169" name="CommandButton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CAE04420-2E27-FA6E-8254-B00D61EFE9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500063</xdr:colOff>
          <xdr:row>9</xdr:row>
          <xdr:rowOff>66675</xdr:rowOff>
        </xdr:from>
        <xdr:to>
          <xdr:col>12</xdr:col>
          <xdr:colOff>185738</xdr:colOff>
          <xdr:row>12</xdr:row>
          <xdr:rowOff>14288</xdr:rowOff>
        </xdr:to>
        <xdr:sp macro="" textlink="">
          <xdr:nvSpPr>
            <xdr:cNvPr id="7170" name="CommandButton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8CF39F51-4178-08E9-C56B-5F2D1EE496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400050</xdr:colOff>
          <xdr:row>9</xdr:row>
          <xdr:rowOff>119063</xdr:rowOff>
        </xdr:from>
        <xdr:to>
          <xdr:col>23</xdr:col>
          <xdr:colOff>190500</xdr:colOff>
          <xdr:row>11</xdr:row>
          <xdr:rowOff>80963</xdr:rowOff>
        </xdr:to>
        <xdr:sp macro="" textlink="">
          <xdr:nvSpPr>
            <xdr:cNvPr id="7171" name="CommandButton3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D0197F10-6232-C427-6A83-C70201E396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514350</xdr:colOff>
          <xdr:row>9</xdr:row>
          <xdr:rowOff>66675</xdr:rowOff>
        </xdr:from>
        <xdr:to>
          <xdr:col>10</xdr:col>
          <xdr:colOff>76200</xdr:colOff>
          <xdr:row>12</xdr:row>
          <xdr:rowOff>14288</xdr:rowOff>
        </xdr:to>
        <xdr:sp macro="" textlink="">
          <xdr:nvSpPr>
            <xdr:cNvPr id="8193" name="CommandButton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C7F4E85B-BC74-4AD5-C4A9-A193C2F3A4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433388</xdr:colOff>
          <xdr:row>9</xdr:row>
          <xdr:rowOff>76200</xdr:rowOff>
        </xdr:from>
        <xdr:to>
          <xdr:col>11</xdr:col>
          <xdr:colOff>576263</xdr:colOff>
          <xdr:row>12</xdr:row>
          <xdr:rowOff>23813</xdr:rowOff>
        </xdr:to>
        <xdr:sp macro="" textlink="">
          <xdr:nvSpPr>
            <xdr:cNvPr id="8194" name="CommandButton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E919B9BA-0511-69E5-B5CA-4AB2175F9F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233363</xdr:colOff>
          <xdr:row>9</xdr:row>
          <xdr:rowOff>119063</xdr:rowOff>
        </xdr:from>
        <xdr:to>
          <xdr:col>13</xdr:col>
          <xdr:colOff>490538</xdr:colOff>
          <xdr:row>11</xdr:row>
          <xdr:rowOff>80963</xdr:rowOff>
        </xdr:to>
        <xdr:sp macro="" textlink="">
          <xdr:nvSpPr>
            <xdr:cNvPr id="8195" name="CommandButton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29AD1851-F0CE-CB03-0CB8-A1081CAC03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9</xdr:row>
          <xdr:rowOff>109538</xdr:rowOff>
        </xdr:from>
        <xdr:to>
          <xdr:col>10</xdr:col>
          <xdr:colOff>304800</xdr:colOff>
          <xdr:row>12</xdr:row>
          <xdr:rowOff>57150</xdr:rowOff>
        </xdr:to>
        <xdr:sp macro="" textlink="">
          <xdr:nvSpPr>
            <xdr:cNvPr id="9217" name="CommandButton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F0CA209F-4E57-738D-7CAC-39B8D94F91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533400</xdr:colOff>
          <xdr:row>9</xdr:row>
          <xdr:rowOff>119063</xdr:rowOff>
        </xdr:from>
        <xdr:to>
          <xdr:col>12</xdr:col>
          <xdr:colOff>219075</xdr:colOff>
          <xdr:row>12</xdr:row>
          <xdr:rowOff>66675</xdr:rowOff>
        </xdr:to>
        <xdr:sp macro="" textlink="">
          <xdr:nvSpPr>
            <xdr:cNvPr id="9218" name="CommandButton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BA72E659-0505-0058-884B-90E40057C7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481013</xdr:colOff>
          <xdr:row>9</xdr:row>
          <xdr:rowOff>157163</xdr:rowOff>
        </xdr:from>
        <xdr:to>
          <xdr:col>23</xdr:col>
          <xdr:colOff>271463</xdr:colOff>
          <xdr:row>11</xdr:row>
          <xdr:rowOff>119063</xdr:rowOff>
        </xdr:to>
        <xdr:sp macro="" textlink="">
          <xdr:nvSpPr>
            <xdr:cNvPr id="9219" name="CommandButton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6C93540A-D638-A5B0-45A5-DC1684328A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</xdr:row>
          <xdr:rowOff>133350</xdr:rowOff>
        </xdr:from>
        <xdr:to>
          <xdr:col>2</xdr:col>
          <xdr:colOff>857250</xdr:colOff>
          <xdr:row>8</xdr:row>
          <xdr:rowOff>95250</xdr:rowOff>
        </xdr:to>
        <xdr:sp macro="" textlink="">
          <xdr:nvSpPr>
            <xdr:cNvPr id="4097" name="CommandButton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12EA088B-B9CC-B690-8F39-168B161D96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161925</xdr:colOff>
          <xdr:row>6</xdr:row>
          <xdr:rowOff>19050</xdr:rowOff>
        </xdr:from>
        <xdr:to>
          <xdr:col>3</xdr:col>
          <xdr:colOff>952500</xdr:colOff>
          <xdr:row>8</xdr:row>
          <xdr:rowOff>142875</xdr:rowOff>
        </xdr:to>
        <xdr:sp macro="" textlink="">
          <xdr:nvSpPr>
            <xdr:cNvPr id="4098" name="CommandButton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F000D125-297B-D685-DEE3-320210DCE5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223838</xdr:colOff>
          <xdr:row>6</xdr:row>
          <xdr:rowOff>38100</xdr:rowOff>
        </xdr:from>
        <xdr:to>
          <xdr:col>6</xdr:col>
          <xdr:colOff>500063</xdr:colOff>
          <xdr:row>8</xdr:row>
          <xdr:rowOff>95250</xdr:rowOff>
        </xdr:to>
        <xdr:sp macro="" textlink="">
          <xdr:nvSpPr>
            <xdr:cNvPr id="4099" name="CommandButton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CEE2D74A-8A72-2FBA-7D5B-30340763A1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</xdr:row>
          <xdr:rowOff>0</xdr:rowOff>
        </xdr:from>
        <xdr:to>
          <xdr:col>9</xdr:col>
          <xdr:colOff>857250</xdr:colOff>
          <xdr:row>5</xdr:row>
          <xdr:rowOff>57150</xdr:rowOff>
        </xdr:to>
        <xdr:sp macro="" textlink="">
          <xdr:nvSpPr>
            <xdr:cNvPr id="3074" name="CommandButton1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4F4AD7D7-E1E7-27AF-EC1C-6D5C9B8ED2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15</xdr:row>
          <xdr:rowOff>9525</xdr:rowOff>
        </xdr:from>
        <xdr:to>
          <xdr:col>9</xdr:col>
          <xdr:colOff>857250</xdr:colOff>
          <xdr:row>16</xdr:row>
          <xdr:rowOff>66675</xdr:rowOff>
        </xdr:to>
        <xdr:sp macro="" textlink="">
          <xdr:nvSpPr>
            <xdr:cNvPr id="3075" name="CommandButton2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EDB369C9-3843-F1AD-AB61-14594B987A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26</xdr:row>
          <xdr:rowOff>9525</xdr:rowOff>
        </xdr:from>
        <xdr:to>
          <xdr:col>9</xdr:col>
          <xdr:colOff>857250</xdr:colOff>
          <xdr:row>26</xdr:row>
          <xdr:rowOff>457200</xdr:rowOff>
        </xdr:to>
        <xdr:sp macro="" textlink="">
          <xdr:nvSpPr>
            <xdr:cNvPr id="3076" name="CommandButton3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4CCD90EA-0A2E-446E-21DF-D1E8C65273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37</xdr:row>
          <xdr:rowOff>9525</xdr:rowOff>
        </xdr:from>
        <xdr:to>
          <xdr:col>9</xdr:col>
          <xdr:colOff>857250</xdr:colOff>
          <xdr:row>38</xdr:row>
          <xdr:rowOff>66675</xdr:rowOff>
        </xdr:to>
        <xdr:sp macro="" textlink="">
          <xdr:nvSpPr>
            <xdr:cNvPr id="3077" name="CommandButton4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B5CFD977-E73A-490B-5DDB-338785BD15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48</xdr:row>
          <xdr:rowOff>0</xdr:rowOff>
        </xdr:from>
        <xdr:to>
          <xdr:col>9</xdr:col>
          <xdr:colOff>857250</xdr:colOff>
          <xdr:row>49</xdr:row>
          <xdr:rowOff>57150</xdr:rowOff>
        </xdr:to>
        <xdr:sp macro="" textlink="">
          <xdr:nvSpPr>
            <xdr:cNvPr id="3078" name="CommandButton5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2C704069-146B-154D-ED19-0B44B15C11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9</xdr:col>
          <xdr:colOff>857250</xdr:colOff>
          <xdr:row>60</xdr:row>
          <xdr:rowOff>57150</xdr:rowOff>
        </xdr:to>
        <xdr:sp macro="" textlink="">
          <xdr:nvSpPr>
            <xdr:cNvPr id="3079" name="CommandButton6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2DC7FDE8-C37E-DC3B-4AB1-45361146DB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9525</xdr:colOff>
          <xdr:row>4</xdr:row>
          <xdr:rowOff>19050</xdr:rowOff>
        </xdr:from>
        <xdr:to>
          <xdr:col>13</xdr:col>
          <xdr:colOff>1028700</xdr:colOff>
          <xdr:row>5</xdr:row>
          <xdr:rowOff>9525</xdr:rowOff>
        </xdr:to>
        <xdr:sp macro="" textlink="">
          <xdr:nvSpPr>
            <xdr:cNvPr id="3080" name="CommandButton7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53DF9547-F0A6-F4E4-2FC0-376F51FCAD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638175</xdr:colOff>
          <xdr:row>15</xdr:row>
          <xdr:rowOff>0</xdr:rowOff>
        </xdr:from>
        <xdr:to>
          <xdr:col>13</xdr:col>
          <xdr:colOff>1009650</xdr:colOff>
          <xdr:row>15</xdr:row>
          <xdr:rowOff>381000</xdr:rowOff>
        </xdr:to>
        <xdr:sp macro="" textlink="">
          <xdr:nvSpPr>
            <xdr:cNvPr id="3081" name="CommandButton8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C9F38372-5669-FCA1-EF96-536C6A51A0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9525</xdr:colOff>
          <xdr:row>26</xdr:row>
          <xdr:rowOff>28575</xdr:rowOff>
        </xdr:from>
        <xdr:to>
          <xdr:col>13</xdr:col>
          <xdr:colOff>1028700</xdr:colOff>
          <xdr:row>26</xdr:row>
          <xdr:rowOff>409575</xdr:rowOff>
        </xdr:to>
        <xdr:sp macro="" textlink="">
          <xdr:nvSpPr>
            <xdr:cNvPr id="3082" name="CommandButton9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D9A69588-DF2D-1D5F-FCAF-0F8CF6976A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9525</xdr:colOff>
          <xdr:row>37</xdr:row>
          <xdr:rowOff>9525</xdr:rowOff>
        </xdr:from>
        <xdr:to>
          <xdr:col>13</xdr:col>
          <xdr:colOff>1028700</xdr:colOff>
          <xdr:row>38</xdr:row>
          <xdr:rowOff>0</xdr:rowOff>
        </xdr:to>
        <xdr:sp macro="" textlink="">
          <xdr:nvSpPr>
            <xdr:cNvPr id="3083" name="CommandButton10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12811544-8187-AE3E-7873-A0014CA03D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48</xdr:row>
          <xdr:rowOff>9525</xdr:rowOff>
        </xdr:from>
        <xdr:to>
          <xdr:col>13</xdr:col>
          <xdr:colOff>1019175</xdr:colOff>
          <xdr:row>49</xdr:row>
          <xdr:rowOff>0</xdr:rowOff>
        </xdr:to>
        <xdr:sp macro="" textlink="">
          <xdr:nvSpPr>
            <xdr:cNvPr id="3084" name="CommandButton11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3F65B723-9621-C126-1CBF-D2DA15886A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59</xdr:row>
          <xdr:rowOff>0</xdr:rowOff>
        </xdr:from>
        <xdr:to>
          <xdr:col>13</xdr:col>
          <xdr:colOff>1019175</xdr:colOff>
          <xdr:row>59</xdr:row>
          <xdr:rowOff>381000</xdr:rowOff>
        </xdr:to>
        <xdr:sp macro="" textlink="">
          <xdr:nvSpPr>
            <xdr:cNvPr id="3085" name="CommandButton12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CBF97D34-CCD7-CB27-FABC-6D4B4E89A6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58</xdr:row>
          <xdr:rowOff>157163</xdr:rowOff>
        </xdr:from>
        <xdr:to>
          <xdr:col>11</xdr:col>
          <xdr:colOff>790575</xdr:colOff>
          <xdr:row>60</xdr:row>
          <xdr:rowOff>47625</xdr:rowOff>
        </xdr:to>
        <xdr:sp macro="" textlink="">
          <xdr:nvSpPr>
            <xdr:cNvPr id="3086" name="CommandButton13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54927CFB-F803-A33E-242F-D6E5A87257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638175</xdr:colOff>
          <xdr:row>48</xdr:row>
          <xdr:rowOff>9525</xdr:rowOff>
        </xdr:from>
        <xdr:to>
          <xdr:col>11</xdr:col>
          <xdr:colOff>781050</xdr:colOff>
          <xdr:row>49</xdr:row>
          <xdr:rowOff>66675</xdr:rowOff>
        </xdr:to>
        <xdr:sp macro="" textlink="">
          <xdr:nvSpPr>
            <xdr:cNvPr id="3087" name="CommandButton14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73BC2B44-FA8D-FACB-A496-7E67374675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36</xdr:row>
          <xdr:rowOff>157163</xdr:rowOff>
        </xdr:from>
        <xdr:to>
          <xdr:col>11</xdr:col>
          <xdr:colOff>790575</xdr:colOff>
          <xdr:row>38</xdr:row>
          <xdr:rowOff>47625</xdr:rowOff>
        </xdr:to>
        <xdr:sp macro="" textlink="">
          <xdr:nvSpPr>
            <xdr:cNvPr id="3088" name="CommandButton15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22E7CC9-8E21-66E3-02B1-E073CB069B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26</xdr:row>
          <xdr:rowOff>0</xdr:rowOff>
        </xdr:from>
        <xdr:to>
          <xdr:col>11</xdr:col>
          <xdr:colOff>790575</xdr:colOff>
          <xdr:row>26</xdr:row>
          <xdr:rowOff>447675</xdr:rowOff>
        </xdr:to>
        <xdr:sp macro="" textlink="">
          <xdr:nvSpPr>
            <xdr:cNvPr id="3089" name="CommandButton16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D82E47F5-2834-B35D-23B1-E90D9C6785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14</xdr:row>
          <xdr:rowOff>157163</xdr:rowOff>
        </xdr:from>
        <xdr:to>
          <xdr:col>11</xdr:col>
          <xdr:colOff>790575</xdr:colOff>
          <xdr:row>16</xdr:row>
          <xdr:rowOff>47625</xdr:rowOff>
        </xdr:to>
        <xdr:sp macro="" textlink="">
          <xdr:nvSpPr>
            <xdr:cNvPr id="3090" name="CommandButton17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A08EC816-7C7C-5629-C491-BB7430759E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</xdr:row>
          <xdr:rowOff>157163</xdr:rowOff>
        </xdr:from>
        <xdr:to>
          <xdr:col>11</xdr:col>
          <xdr:colOff>790575</xdr:colOff>
          <xdr:row>5</xdr:row>
          <xdr:rowOff>47625</xdr:rowOff>
        </xdr:to>
        <xdr:sp macro="" textlink="">
          <xdr:nvSpPr>
            <xdr:cNvPr id="3091" name="CommandButton18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E3A5C086-B724-FFEA-B440-0D7D8A52AB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.xml"/><Relationship Id="rId3" Type="http://schemas.openxmlformats.org/officeDocument/2006/relationships/vmlDrawing" Target="../drawings/vmlDrawing2.vml"/><Relationship Id="rId7" Type="http://schemas.openxmlformats.org/officeDocument/2006/relationships/image" Target="../media/image4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5.xml"/><Relationship Id="rId5" Type="http://schemas.openxmlformats.org/officeDocument/2006/relationships/image" Target="../media/image1.emf"/><Relationship Id="rId4" Type="http://schemas.openxmlformats.org/officeDocument/2006/relationships/control" Target="../activeX/activeX4.xml"/><Relationship Id="rId9" Type="http://schemas.openxmlformats.org/officeDocument/2006/relationships/image" Target="../media/image5.emf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9.xml"/><Relationship Id="rId3" Type="http://schemas.openxmlformats.org/officeDocument/2006/relationships/vmlDrawing" Target="../drawings/vmlDrawing3.vml"/><Relationship Id="rId7" Type="http://schemas.openxmlformats.org/officeDocument/2006/relationships/image" Target="../media/image6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8.xml"/><Relationship Id="rId5" Type="http://schemas.openxmlformats.org/officeDocument/2006/relationships/image" Target="../media/image1.emf"/><Relationship Id="rId4" Type="http://schemas.openxmlformats.org/officeDocument/2006/relationships/control" Target="../activeX/activeX7.xml"/><Relationship Id="rId9" Type="http://schemas.openxmlformats.org/officeDocument/2006/relationships/image" Target="../media/image5.emf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2.xml"/><Relationship Id="rId3" Type="http://schemas.openxmlformats.org/officeDocument/2006/relationships/vmlDrawing" Target="../drawings/vmlDrawing4.vml"/><Relationship Id="rId7" Type="http://schemas.openxmlformats.org/officeDocument/2006/relationships/image" Target="../media/image7.emf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11.xml"/><Relationship Id="rId5" Type="http://schemas.openxmlformats.org/officeDocument/2006/relationships/image" Target="../media/image1.emf"/><Relationship Id="rId4" Type="http://schemas.openxmlformats.org/officeDocument/2006/relationships/control" Target="../activeX/activeX10.xml"/><Relationship Id="rId9" Type="http://schemas.openxmlformats.org/officeDocument/2006/relationships/image" Target="../media/image8.emf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5.xml"/><Relationship Id="rId3" Type="http://schemas.openxmlformats.org/officeDocument/2006/relationships/vmlDrawing" Target="../drawings/vmlDrawing5.vml"/><Relationship Id="rId7" Type="http://schemas.openxmlformats.org/officeDocument/2006/relationships/image" Target="../media/image4.emf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6" Type="http://schemas.openxmlformats.org/officeDocument/2006/relationships/control" Target="../activeX/activeX14.xml"/><Relationship Id="rId5" Type="http://schemas.openxmlformats.org/officeDocument/2006/relationships/image" Target="../media/image1.emf"/><Relationship Id="rId4" Type="http://schemas.openxmlformats.org/officeDocument/2006/relationships/control" Target="../activeX/activeX13.xml"/><Relationship Id="rId9" Type="http://schemas.openxmlformats.org/officeDocument/2006/relationships/image" Target="../media/image9.emf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8.xml"/><Relationship Id="rId3" Type="http://schemas.openxmlformats.org/officeDocument/2006/relationships/vmlDrawing" Target="../drawings/vmlDrawing6.vml"/><Relationship Id="rId7" Type="http://schemas.openxmlformats.org/officeDocument/2006/relationships/image" Target="../media/image6.emf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6" Type="http://schemas.openxmlformats.org/officeDocument/2006/relationships/control" Target="../activeX/activeX17.xml"/><Relationship Id="rId5" Type="http://schemas.openxmlformats.org/officeDocument/2006/relationships/image" Target="../media/image1.emf"/><Relationship Id="rId4" Type="http://schemas.openxmlformats.org/officeDocument/2006/relationships/control" Target="../activeX/activeX16.xml"/><Relationship Id="rId9" Type="http://schemas.openxmlformats.org/officeDocument/2006/relationships/image" Target="../media/image5.emf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1.xml"/><Relationship Id="rId3" Type="http://schemas.openxmlformats.org/officeDocument/2006/relationships/vmlDrawing" Target="../drawings/vmlDrawing7.vml"/><Relationship Id="rId7" Type="http://schemas.openxmlformats.org/officeDocument/2006/relationships/image" Target="../media/image4.emf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Relationship Id="rId6" Type="http://schemas.openxmlformats.org/officeDocument/2006/relationships/control" Target="../activeX/activeX20.xml"/><Relationship Id="rId5" Type="http://schemas.openxmlformats.org/officeDocument/2006/relationships/image" Target="../media/image1.emf"/><Relationship Id="rId4" Type="http://schemas.openxmlformats.org/officeDocument/2006/relationships/control" Target="../activeX/activeX19.xml"/><Relationship Id="rId9" Type="http://schemas.openxmlformats.org/officeDocument/2006/relationships/image" Target="../media/image10.emf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4.xml"/><Relationship Id="rId3" Type="http://schemas.openxmlformats.org/officeDocument/2006/relationships/vmlDrawing" Target="../drawings/vmlDrawing8.vml"/><Relationship Id="rId7" Type="http://schemas.openxmlformats.org/officeDocument/2006/relationships/image" Target="../media/image12.emf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Relationship Id="rId6" Type="http://schemas.openxmlformats.org/officeDocument/2006/relationships/control" Target="../activeX/activeX23.xml"/><Relationship Id="rId5" Type="http://schemas.openxmlformats.org/officeDocument/2006/relationships/image" Target="../media/image11.emf"/><Relationship Id="rId4" Type="http://schemas.openxmlformats.org/officeDocument/2006/relationships/control" Target="../activeX/activeX22.xml"/><Relationship Id="rId9" Type="http://schemas.openxmlformats.org/officeDocument/2006/relationships/image" Target="../media/image5.emf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4.emf"/><Relationship Id="rId18" Type="http://schemas.openxmlformats.org/officeDocument/2006/relationships/control" Target="../activeX/activeX34.xml"/><Relationship Id="rId26" Type="http://schemas.openxmlformats.org/officeDocument/2006/relationships/control" Target="../activeX/activeX38.xml"/><Relationship Id="rId3" Type="http://schemas.openxmlformats.org/officeDocument/2006/relationships/vmlDrawing" Target="../drawings/vmlDrawing9.vml"/><Relationship Id="rId21" Type="http://schemas.openxmlformats.org/officeDocument/2006/relationships/image" Target="../media/image18.emf"/><Relationship Id="rId34" Type="http://schemas.openxmlformats.org/officeDocument/2006/relationships/control" Target="../activeX/activeX42.xml"/><Relationship Id="rId7" Type="http://schemas.openxmlformats.org/officeDocument/2006/relationships/control" Target="../activeX/activeX27.xml"/><Relationship Id="rId12" Type="http://schemas.openxmlformats.org/officeDocument/2006/relationships/control" Target="../activeX/activeX31.xml"/><Relationship Id="rId17" Type="http://schemas.openxmlformats.org/officeDocument/2006/relationships/image" Target="../media/image16.emf"/><Relationship Id="rId25" Type="http://schemas.openxmlformats.org/officeDocument/2006/relationships/image" Target="../media/image20.emf"/><Relationship Id="rId33" Type="http://schemas.openxmlformats.org/officeDocument/2006/relationships/image" Target="../media/image22.emf"/><Relationship Id="rId2" Type="http://schemas.openxmlformats.org/officeDocument/2006/relationships/drawing" Target="../drawings/drawing9.xml"/><Relationship Id="rId16" Type="http://schemas.openxmlformats.org/officeDocument/2006/relationships/control" Target="../activeX/activeX33.xml"/><Relationship Id="rId20" Type="http://schemas.openxmlformats.org/officeDocument/2006/relationships/control" Target="../activeX/activeX35.xml"/><Relationship Id="rId29" Type="http://schemas.openxmlformats.org/officeDocument/2006/relationships/image" Target="../media/image21.emf"/><Relationship Id="rId1" Type="http://schemas.openxmlformats.org/officeDocument/2006/relationships/printerSettings" Target="../printerSettings/printerSettings10.bin"/><Relationship Id="rId6" Type="http://schemas.openxmlformats.org/officeDocument/2006/relationships/control" Target="../activeX/activeX26.xml"/><Relationship Id="rId11" Type="http://schemas.openxmlformats.org/officeDocument/2006/relationships/control" Target="../activeX/activeX30.xml"/><Relationship Id="rId24" Type="http://schemas.openxmlformats.org/officeDocument/2006/relationships/control" Target="../activeX/activeX37.xml"/><Relationship Id="rId32" Type="http://schemas.openxmlformats.org/officeDocument/2006/relationships/control" Target="../activeX/activeX41.xml"/><Relationship Id="rId5" Type="http://schemas.openxmlformats.org/officeDocument/2006/relationships/image" Target="../media/image4.emf"/><Relationship Id="rId15" Type="http://schemas.openxmlformats.org/officeDocument/2006/relationships/image" Target="../media/image15.emf"/><Relationship Id="rId23" Type="http://schemas.openxmlformats.org/officeDocument/2006/relationships/image" Target="../media/image19.emf"/><Relationship Id="rId28" Type="http://schemas.openxmlformats.org/officeDocument/2006/relationships/control" Target="../activeX/activeX39.xml"/><Relationship Id="rId10" Type="http://schemas.openxmlformats.org/officeDocument/2006/relationships/control" Target="../activeX/activeX29.xml"/><Relationship Id="rId19" Type="http://schemas.openxmlformats.org/officeDocument/2006/relationships/image" Target="../media/image17.emf"/><Relationship Id="rId31" Type="http://schemas.openxmlformats.org/officeDocument/2006/relationships/image" Target="../media/image8.emf"/><Relationship Id="rId4" Type="http://schemas.openxmlformats.org/officeDocument/2006/relationships/control" Target="../activeX/activeX25.xml"/><Relationship Id="rId9" Type="http://schemas.openxmlformats.org/officeDocument/2006/relationships/image" Target="../media/image13.emf"/><Relationship Id="rId14" Type="http://schemas.openxmlformats.org/officeDocument/2006/relationships/control" Target="../activeX/activeX32.xml"/><Relationship Id="rId22" Type="http://schemas.openxmlformats.org/officeDocument/2006/relationships/control" Target="../activeX/activeX36.xml"/><Relationship Id="rId27" Type="http://schemas.openxmlformats.org/officeDocument/2006/relationships/image" Target="../media/image5.emf"/><Relationship Id="rId30" Type="http://schemas.openxmlformats.org/officeDocument/2006/relationships/control" Target="../activeX/activeX40.xml"/><Relationship Id="rId8" Type="http://schemas.openxmlformats.org/officeDocument/2006/relationships/control" Target="../activeX/activeX2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94632-EF44-4D01-833B-1D969E2B66CD}">
  <sheetPr codeName="Sheet2"/>
  <dimension ref="A3:G591"/>
  <sheetViews>
    <sheetView topLeftCell="A42" zoomScale="80" workbookViewId="0">
      <selection activeCell="G582" sqref="G582"/>
    </sheetView>
  </sheetViews>
  <sheetFormatPr defaultRowHeight="12.75" x14ac:dyDescent="0.35"/>
  <cols>
    <col min="6" max="6" width="10.73046875" customWidth="1"/>
  </cols>
  <sheetData>
    <row r="3" spans="1:2" x14ac:dyDescent="0.35">
      <c r="A3" t="s">
        <v>64</v>
      </c>
    </row>
    <row r="4" spans="1:2" x14ac:dyDescent="0.35">
      <c r="A4" t="s">
        <v>57</v>
      </c>
    </row>
    <row r="6" spans="1:2" x14ac:dyDescent="0.35">
      <c r="A6" t="s">
        <v>65</v>
      </c>
    </row>
    <row r="7" spans="1:2" x14ac:dyDescent="0.35">
      <c r="A7" t="s">
        <v>58</v>
      </c>
    </row>
    <row r="9" spans="1:2" x14ac:dyDescent="0.35">
      <c r="A9" s="33" t="s">
        <v>62</v>
      </c>
      <c r="B9" s="33"/>
    </row>
    <row r="10" spans="1:2" ht="13.15" x14ac:dyDescent="0.4">
      <c r="B10" s="6" t="s">
        <v>72</v>
      </c>
    </row>
    <row r="11" spans="1:2" ht="13.15" x14ac:dyDescent="0.4">
      <c r="B11" s="6" t="s">
        <v>71</v>
      </c>
    </row>
    <row r="12" spans="1:2" ht="13.15" x14ac:dyDescent="0.4">
      <c r="B12" s="6" t="s">
        <v>96</v>
      </c>
    </row>
    <row r="13" spans="1:2" ht="13.15" x14ac:dyDescent="0.4">
      <c r="B13" s="6" t="s">
        <v>78</v>
      </c>
    </row>
    <row r="14" spans="1:2" ht="13.15" x14ac:dyDescent="0.4">
      <c r="B14" s="6" t="s">
        <v>100</v>
      </c>
    </row>
    <row r="15" spans="1:2" ht="13.15" x14ac:dyDescent="0.4">
      <c r="B15" s="6"/>
    </row>
    <row r="16" spans="1:2" x14ac:dyDescent="0.35">
      <c r="A16" s="101" t="s">
        <v>66</v>
      </c>
      <c r="B16" s="101"/>
    </row>
    <row r="17" spans="2:7" ht="13.15" x14ac:dyDescent="0.4">
      <c r="B17" s="6" t="s">
        <v>97</v>
      </c>
    </row>
    <row r="18" spans="2:7" ht="13.15" x14ac:dyDescent="0.4">
      <c r="B18" s="6" t="s">
        <v>61</v>
      </c>
    </row>
    <row r="19" spans="2:7" x14ac:dyDescent="0.35">
      <c r="B19" t="s">
        <v>88</v>
      </c>
    </row>
    <row r="20" spans="2:7" x14ac:dyDescent="0.35">
      <c r="B20" t="s">
        <v>90</v>
      </c>
    </row>
    <row r="21" spans="2:7" x14ac:dyDescent="0.35">
      <c r="B21" t="s">
        <v>99</v>
      </c>
    </row>
    <row r="22" spans="2:7" x14ac:dyDescent="0.35">
      <c r="B22" t="s">
        <v>283</v>
      </c>
    </row>
    <row r="23" spans="2:7" x14ac:dyDescent="0.35">
      <c r="B23" s="59" t="s">
        <v>284</v>
      </c>
    </row>
    <row r="24" spans="2:7" ht="13.15" x14ac:dyDescent="0.4">
      <c r="B24" t="s">
        <v>285</v>
      </c>
      <c r="G24" s="6" t="s">
        <v>98</v>
      </c>
    </row>
    <row r="25" spans="2:7" x14ac:dyDescent="0.35">
      <c r="C25" t="s">
        <v>101</v>
      </c>
    </row>
    <row r="26" spans="2:7" x14ac:dyDescent="0.35">
      <c r="C26" t="s">
        <v>102</v>
      </c>
      <c r="D26" s="20"/>
    </row>
    <row r="27" spans="2:7" x14ac:dyDescent="0.35">
      <c r="C27" t="s">
        <v>79</v>
      </c>
      <c r="D27" s="20"/>
    </row>
    <row r="28" spans="2:7" x14ac:dyDescent="0.35">
      <c r="C28" s="100" t="s">
        <v>94</v>
      </c>
      <c r="D28" s="20"/>
    </row>
    <row r="29" spans="2:7" x14ac:dyDescent="0.35">
      <c r="B29" t="s">
        <v>806</v>
      </c>
    </row>
    <row r="30" spans="2:7" x14ac:dyDescent="0.35">
      <c r="B30" t="s">
        <v>286</v>
      </c>
    </row>
    <row r="31" spans="2:7" x14ac:dyDescent="0.35">
      <c r="B31" t="s">
        <v>807</v>
      </c>
    </row>
    <row r="32" spans="2:7" x14ac:dyDescent="0.35">
      <c r="B32" t="s">
        <v>805</v>
      </c>
    </row>
    <row r="34" spans="1:7" x14ac:dyDescent="0.35">
      <c r="A34" s="102" t="s">
        <v>67</v>
      </c>
      <c r="B34" s="102"/>
      <c r="C34" s="102"/>
    </row>
    <row r="35" spans="1:7" ht="13.15" x14ac:dyDescent="0.4">
      <c r="B35" s="6" t="s">
        <v>97</v>
      </c>
    </row>
    <row r="36" spans="1:7" ht="13.15" x14ac:dyDescent="0.4">
      <c r="B36" s="6" t="s">
        <v>60</v>
      </c>
    </row>
    <row r="37" spans="1:7" x14ac:dyDescent="0.35">
      <c r="B37" t="s">
        <v>89</v>
      </c>
    </row>
    <row r="38" spans="1:7" x14ac:dyDescent="0.35">
      <c r="B38" t="s">
        <v>90</v>
      </c>
    </row>
    <row r="39" spans="1:7" x14ac:dyDescent="0.35">
      <c r="B39" t="s">
        <v>99</v>
      </c>
    </row>
    <row r="40" spans="1:7" x14ac:dyDescent="0.35">
      <c r="B40" t="s">
        <v>283</v>
      </c>
    </row>
    <row r="41" spans="1:7" x14ac:dyDescent="0.35">
      <c r="B41" s="59" t="s">
        <v>284</v>
      </c>
    </row>
    <row r="42" spans="1:7" ht="13.15" x14ac:dyDescent="0.4">
      <c r="B42" t="s">
        <v>285</v>
      </c>
      <c r="G42" s="6" t="s">
        <v>63</v>
      </c>
    </row>
    <row r="43" spans="1:7" ht="13.15" x14ac:dyDescent="0.4">
      <c r="C43" t="s">
        <v>101</v>
      </c>
      <c r="G43" s="6"/>
    </row>
    <row r="44" spans="1:7" x14ac:dyDescent="0.35">
      <c r="C44" t="s">
        <v>102</v>
      </c>
    </row>
    <row r="45" spans="1:7" x14ac:dyDescent="0.35">
      <c r="C45" t="s">
        <v>79</v>
      </c>
      <c r="D45" s="20"/>
    </row>
    <row r="46" spans="1:7" x14ac:dyDescent="0.35">
      <c r="C46" s="100" t="s">
        <v>94</v>
      </c>
      <c r="D46" s="20"/>
    </row>
    <row r="47" spans="1:7" x14ac:dyDescent="0.35">
      <c r="B47" t="s">
        <v>803</v>
      </c>
    </row>
    <row r="48" spans="1:7" x14ac:dyDescent="0.35">
      <c r="B48" t="s">
        <v>287</v>
      </c>
    </row>
    <row r="49" spans="2:3" x14ac:dyDescent="0.35">
      <c r="B49" t="s">
        <v>804</v>
      </c>
    </row>
    <row r="50" spans="2:3" x14ac:dyDescent="0.35">
      <c r="B50" t="s">
        <v>805</v>
      </c>
    </row>
    <row r="52" spans="2:3" x14ac:dyDescent="0.35">
      <c r="B52" s="183" t="s">
        <v>289</v>
      </c>
      <c r="C52" s="59" t="s">
        <v>40</v>
      </c>
    </row>
    <row r="53" spans="2:3" x14ac:dyDescent="0.35">
      <c r="B53">
        <v>1</v>
      </c>
      <c r="C53" t="s">
        <v>808</v>
      </c>
    </row>
    <row r="54" spans="2:3" x14ac:dyDescent="0.35">
      <c r="B54">
        <v>2</v>
      </c>
      <c r="C54" t="s">
        <v>196</v>
      </c>
    </row>
    <row r="55" spans="2:3" x14ac:dyDescent="0.35">
      <c r="B55">
        <v>3</v>
      </c>
      <c r="C55" t="s">
        <v>184</v>
      </c>
    </row>
    <row r="56" spans="2:3" x14ac:dyDescent="0.35">
      <c r="B56">
        <v>4</v>
      </c>
      <c r="C56" t="s">
        <v>797</v>
      </c>
    </row>
    <row r="57" spans="2:3" x14ac:dyDescent="0.35">
      <c r="B57">
        <v>5</v>
      </c>
      <c r="C57" t="s">
        <v>194</v>
      </c>
    </row>
    <row r="58" spans="2:3" x14ac:dyDescent="0.35">
      <c r="B58">
        <v>6</v>
      </c>
      <c r="C58" t="s">
        <v>182</v>
      </c>
    </row>
    <row r="59" spans="2:3" x14ac:dyDescent="0.35">
      <c r="B59">
        <v>7</v>
      </c>
      <c r="C59" t="s">
        <v>795</v>
      </c>
    </row>
    <row r="60" spans="2:3" x14ac:dyDescent="0.35">
      <c r="B60">
        <v>8</v>
      </c>
      <c r="C60" t="s">
        <v>193</v>
      </c>
    </row>
    <row r="61" spans="2:3" x14ac:dyDescent="0.35">
      <c r="B61">
        <v>9</v>
      </c>
      <c r="C61" t="s">
        <v>181</v>
      </c>
    </row>
    <row r="62" spans="2:3" x14ac:dyDescent="0.35">
      <c r="B62">
        <v>10</v>
      </c>
      <c r="C62" t="s">
        <v>794</v>
      </c>
    </row>
    <row r="63" spans="2:3" x14ac:dyDescent="0.35">
      <c r="B63">
        <v>11</v>
      </c>
      <c r="C63" t="s">
        <v>189</v>
      </c>
    </row>
    <row r="64" spans="2:3" x14ac:dyDescent="0.35">
      <c r="B64">
        <v>12</v>
      </c>
      <c r="C64" t="s">
        <v>177</v>
      </c>
    </row>
    <row r="65" spans="2:3" x14ac:dyDescent="0.35">
      <c r="B65">
        <v>13</v>
      </c>
      <c r="C65" t="s">
        <v>790</v>
      </c>
    </row>
    <row r="66" spans="2:3" x14ac:dyDescent="0.35">
      <c r="B66">
        <v>14</v>
      </c>
      <c r="C66" t="s">
        <v>199</v>
      </c>
    </row>
    <row r="67" spans="2:3" x14ac:dyDescent="0.35">
      <c r="B67">
        <v>15</v>
      </c>
      <c r="C67" t="s">
        <v>187</v>
      </c>
    </row>
    <row r="68" spans="2:3" x14ac:dyDescent="0.35">
      <c r="B68">
        <v>16</v>
      </c>
      <c r="C68" t="s">
        <v>800</v>
      </c>
    </row>
    <row r="69" spans="2:3" x14ac:dyDescent="0.35">
      <c r="B69">
        <v>17</v>
      </c>
      <c r="C69" t="s">
        <v>198</v>
      </c>
    </row>
    <row r="70" spans="2:3" x14ac:dyDescent="0.35">
      <c r="B70">
        <v>18</v>
      </c>
      <c r="C70" t="s">
        <v>186</v>
      </c>
    </row>
    <row r="71" spans="2:3" x14ac:dyDescent="0.35">
      <c r="B71">
        <v>19</v>
      </c>
      <c r="C71" t="s">
        <v>799</v>
      </c>
    </row>
    <row r="72" spans="2:3" x14ac:dyDescent="0.35">
      <c r="B72">
        <v>20</v>
      </c>
      <c r="C72" t="s">
        <v>809</v>
      </c>
    </row>
    <row r="73" spans="2:3" x14ac:dyDescent="0.35">
      <c r="B73">
        <v>21</v>
      </c>
      <c r="C73" t="s">
        <v>197</v>
      </c>
    </row>
    <row r="74" spans="2:3" x14ac:dyDescent="0.35">
      <c r="B74">
        <v>22</v>
      </c>
      <c r="C74" t="s">
        <v>185</v>
      </c>
    </row>
    <row r="75" spans="2:3" x14ac:dyDescent="0.35">
      <c r="B75">
        <v>23</v>
      </c>
      <c r="C75" t="s">
        <v>798</v>
      </c>
    </row>
    <row r="76" spans="2:3" x14ac:dyDescent="0.35">
      <c r="B76">
        <v>24</v>
      </c>
      <c r="C76" t="s">
        <v>190</v>
      </c>
    </row>
    <row r="77" spans="2:3" x14ac:dyDescent="0.35">
      <c r="B77">
        <v>25</v>
      </c>
      <c r="C77" t="s">
        <v>178</v>
      </c>
    </row>
    <row r="78" spans="2:3" x14ac:dyDescent="0.35">
      <c r="B78">
        <v>26</v>
      </c>
      <c r="C78" t="s">
        <v>791</v>
      </c>
    </row>
    <row r="79" spans="2:3" x14ac:dyDescent="0.35">
      <c r="B79">
        <v>27</v>
      </c>
      <c r="C79" t="s">
        <v>192</v>
      </c>
    </row>
    <row r="80" spans="2:3" x14ac:dyDescent="0.35">
      <c r="B80">
        <v>28</v>
      </c>
      <c r="C80" t="s">
        <v>180</v>
      </c>
    </row>
    <row r="81" spans="2:3" x14ac:dyDescent="0.35">
      <c r="B81">
        <v>29</v>
      </c>
      <c r="C81" t="s">
        <v>793</v>
      </c>
    </row>
    <row r="82" spans="2:3" x14ac:dyDescent="0.35">
      <c r="B82">
        <v>30</v>
      </c>
      <c r="C82" t="s">
        <v>191</v>
      </c>
    </row>
    <row r="83" spans="2:3" x14ac:dyDescent="0.35">
      <c r="B83">
        <v>31</v>
      </c>
      <c r="C83" t="s">
        <v>179</v>
      </c>
    </row>
    <row r="84" spans="2:3" x14ac:dyDescent="0.35">
      <c r="B84">
        <v>32</v>
      </c>
      <c r="C84" t="s">
        <v>792</v>
      </c>
    </row>
    <row r="85" spans="2:3" x14ac:dyDescent="0.35">
      <c r="B85">
        <v>33</v>
      </c>
      <c r="C85" t="s">
        <v>195</v>
      </c>
    </row>
    <row r="86" spans="2:3" x14ac:dyDescent="0.35">
      <c r="B86">
        <v>34</v>
      </c>
      <c r="C86" t="s">
        <v>183</v>
      </c>
    </row>
    <row r="87" spans="2:3" x14ac:dyDescent="0.35">
      <c r="B87">
        <v>35</v>
      </c>
      <c r="C87" t="s">
        <v>796</v>
      </c>
    </row>
    <row r="88" spans="2:3" x14ac:dyDescent="0.35">
      <c r="B88">
        <v>36</v>
      </c>
      <c r="C88" t="s">
        <v>188</v>
      </c>
    </row>
    <row r="89" spans="2:3" x14ac:dyDescent="0.35">
      <c r="B89">
        <v>37</v>
      </c>
      <c r="C89" t="s">
        <v>176</v>
      </c>
    </row>
    <row r="90" spans="2:3" x14ac:dyDescent="0.35">
      <c r="B90">
        <v>38</v>
      </c>
      <c r="C90" t="s">
        <v>789</v>
      </c>
    </row>
    <row r="91" spans="2:3" x14ac:dyDescent="0.35">
      <c r="B91">
        <v>101</v>
      </c>
      <c r="C91" t="s">
        <v>290</v>
      </c>
    </row>
    <row r="92" spans="2:3" x14ac:dyDescent="0.35">
      <c r="B92">
        <v>102</v>
      </c>
      <c r="C92" t="s">
        <v>291</v>
      </c>
    </row>
    <row r="93" spans="2:3" x14ac:dyDescent="0.35">
      <c r="B93">
        <v>103</v>
      </c>
      <c r="C93" t="s">
        <v>292</v>
      </c>
    </row>
    <row r="94" spans="2:3" x14ac:dyDescent="0.35">
      <c r="B94">
        <v>104</v>
      </c>
      <c r="C94" t="s">
        <v>293</v>
      </c>
    </row>
    <row r="95" spans="2:3" x14ac:dyDescent="0.35">
      <c r="B95">
        <v>105</v>
      </c>
      <c r="C95" t="s">
        <v>294</v>
      </c>
    </row>
    <row r="96" spans="2:3" x14ac:dyDescent="0.35">
      <c r="B96">
        <v>106</v>
      </c>
      <c r="C96" t="s">
        <v>295</v>
      </c>
    </row>
    <row r="97" spans="2:3" x14ac:dyDescent="0.35">
      <c r="B97">
        <v>107</v>
      </c>
      <c r="C97" t="s">
        <v>296</v>
      </c>
    </row>
    <row r="98" spans="2:3" x14ac:dyDescent="0.35">
      <c r="B98">
        <v>108</v>
      </c>
      <c r="C98" t="s">
        <v>297</v>
      </c>
    </row>
    <row r="99" spans="2:3" x14ac:dyDescent="0.35">
      <c r="B99">
        <v>109</v>
      </c>
      <c r="C99" t="s">
        <v>298</v>
      </c>
    </row>
    <row r="100" spans="2:3" x14ac:dyDescent="0.35">
      <c r="B100">
        <v>110</v>
      </c>
      <c r="C100" t="s">
        <v>299</v>
      </c>
    </row>
    <row r="101" spans="2:3" x14ac:dyDescent="0.35">
      <c r="B101">
        <v>111</v>
      </c>
      <c r="C101" t="s">
        <v>300</v>
      </c>
    </row>
    <row r="102" spans="2:3" x14ac:dyDescent="0.35">
      <c r="B102">
        <v>201</v>
      </c>
      <c r="C102" t="s">
        <v>301</v>
      </c>
    </row>
    <row r="103" spans="2:3" x14ac:dyDescent="0.35">
      <c r="B103">
        <v>202</v>
      </c>
      <c r="C103" t="s">
        <v>302</v>
      </c>
    </row>
    <row r="104" spans="2:3" x14ac:dyDescent="0.35">
      <c r="B104">
        <v>203</v>
      </c>
      <c r="C104" t="s">
        <v>303</v>
      </c>
    </row>
    <row r="105" spans="2:3" x14ac:dyDescent="0.35">
      <c r="B105">
        <v>204</v>
      </c>
      <c r="C105" t="s">
        <v>304</v>
      </c>
    </row>
    <row r="106" spans="2:3" x14ac:dyDescent="0.35">
      <c r="B106">
        <v>205</v>
      </c>
      <c r="C106" t="s">
        <v>305</v>
      </c>
    </row>
    <row r="107" spans="2:3" x14ac:dyDescent="0.35">
      <c r="B107">
        <v>206</v>
      </c>
      <c r="C107" t="s">
        <v>306</v>
      </c>
    </row>
    <row r="108" spans="2:3" x14ac:dyDescent="0.35">
      <c r="B108">
        <v>207</v>
      </c>
      <c r="C108" t="s">
        <v>307</v>
      </c>
    </row>
    <row r="109" spans="2:3" x14ac:dyDescent="0.35">
      <c r="B109">
        <v>208</v>
      </c>
      <c r="C109" t="s">
        <v>308</v>
      </c>
    </row>
    <row r="110" spans="2:3" x14ac:dyDescent="0.35">
      <c r="B110">
        <v>209</v>
      </c>
      <c r="C110" t="s">
        <v>309</v>
      </c>
    </row>
    <row r="111" spans="2:3" x14ac:dyDescent="0.35">
      <c r="B111">
        <v>210</v>
      </c>
      <c r="C111" t="s">
        <v>310</v>
      </c>
    </row>
    <row r="112" spans="2:3" x14ac:dyDescent="0.35">
      <c r="B112">
        <v>211</v>
      </c>
      <c r="C112" t="s">
        <v>311</v>
      </c>
    </row>
    <row r="113" spans="2:3" x14ac:dyDescent="0.35">
      <c r="B113">
        <v>212</v>
      </c>
      <c r="C113" t="s">
        <v>312</v>
      </c>
    </row>
    <row r="114" spans="2:3" x14ac:dyDescent="0.35">
      <c r="B114">
        <v>213</v>
      </c>
      <c r="C114" t="s">
        <v>313</v>
      </c>
    </row>
    <row r="115" spans="2:3" x14ac:dyDescent="0.35">
      <c r="B115">
        <v>214</v>
      </c>
      <c r="C115" t="s">
        <v>314</v>
      </c>
    </row>
    <row r="116" spans="2:3" x14ac:dyDescent="0.35">
      <c r="B116">
        <v>215</v>
      </c>
      <c r="C116" t="s">
        <v>315</v>
      </c>
    </row>
    <row r="117" spans="2:3" x14ac:dyDescent="0.35">
      <c r="B117">
        <v>216</v>
      </c>
      <c r="C117" t="s">
        <v>316</v>
      </c>
    </row>
    <row r="118" spans="2:3" x14ac:dyDescent="0.35">
      <c r="B118">
        <v>217</v>
      </c>
      <c r="C118" t="s">
        <v>317</v>
      </c>
    </row>
    <row r="119" spans="2:3" x14ac:dyDescent="0.35">
      <c r="B119">
        <v>218</v>
      </c>
      <c r="C119" t="s">
        <v>318</v>
      </c>
    </row>
    <row r="120" spans="2:3" x14ac:dyDescent="0.35">
      <c r="B120">
        <v>219</v>
      </c>
      <c r="C120" t="s">
        <v>319</v>
      </c>
    </row>
    <row r="121" spans="2:3" x14ac:dyDescent="0.35">
      <c r="B121">
        <v>220</v>
      </c>
      <c r="C121" t="s">
        <v>320</v>
      </c>
    </row>
    <row r="122" spans="2:3" x14ac:dyDescent="0.35">
      <c r="B122">
        <v>221</v>
      </c>
      <c r="C122" t="s">
        <v>321</v>
      </c>
    </row>
    <row r="123" spans="2:3" x14ac:dyDescent="0.35">
      <c r="B123">
        <v>222</v>
      </c>
      <c r="C123" t="s">
        <v>322</v>
      </c>
    </row>
    <row r="124" spans="2:3" x14ac:dyDescent="0.35">
      <c r="B124">
        <v>223</v>
      </c>
      <c r="C124" t="s">
        <v>323</v>
      </c>
    </row>
    <row r="125" spans="2:3" x14ac:dyDescent="0.35">
      <c r="B125">
        <v>224</v>
      </c>
      <c r="C125" t="s">
        <v>324</v>
      </c>
    </row>
    <row r="126" spans="2:3" x14ac:dyDescent="0.35">
      <c r="B126">
        <v>225</v>
      </c>
      <c r="C126" t="s">
        <v>325</v>
      </c>
    </row>
    <row r="127" spans="2:3" x14ac:dyDescent="0.35">
      <c r="B127">
        <v>226</v>
      </c>
      <c r="C127" t="s">
        <v>326</v>
      </c>
    </row>
    <row r="128" spans="2:3" x14ac:dyDescent="0.35">
      <c r="B128">
        <v>227</v>
      </c>
      <c r="C128" t="s">
        <v>327</v>
      </c>
    </row>
    <row r="129" spans="2:3" x14ac:dyDescent="0.35">
      <c r="B129">
        <v>228</v>
      </c>
      <c r="C129" t="s">
        <v>328</v>
      </c>
    </row>
    <row r="130" spans="2:3" x14ac:dyDescent="0.35">
      <c r="B130">
        <v>229</v>
      </c>
      <c r="C130" t="s">
        <v>329</v>
      </c>
    </row>
    <row r="131" spans="2:3" x14ac:dyDescent="0.35">
      <c r="B131">
        <v>230</v>
      </c>
      <c r="C131" t="s">
        <v>330</v>
      </c>
    </row>
    <row r="132" spans="2:3" x14ac:dyDescent="0.35">
      <c r="B132">
        <v>231</v>
      </c>
      <c r="C132" t="s">
        <v>331</v>
      </c>
    </row>
    <row r="133" spans="2:3" x14ac:dyDescent="0.35">
      <c r="B133">
        <v>232</v>
      </c>
      <c r="C133" t="s">
        <v>332</v>
      </c>
    </row>
    <row r="134" spans="2:3" x14ac:dyDescent="0.35">
      <c r="B134">
        <v>233</v>
      </c>
      <c r="C134" t="s">
        <v>333</v>
      </c>
    </row>
    <row r="135" spans="2:3" x14ac:dyDescent="0.35">
      <c r="B135">
        <v>234</v>
      </c>
      <c r="C135" t="s">
        <v>334</v>
      </c>
    </row>
    <row r="136" spans="2:3" x14ac:dyDescent="0.35">
      <c r="B136">
        <v>235</v>
      </c>
      <c r="C136" t="s">
        <v>335</v>
      </c>
    </row>
    <row r="137" spans="2:3" x14ac:dyDescent="0.35">
      <c r="B137">
        <v>236</v>
      </c>
      <c r="C137" t="s">
        <v>336</v>
      </c>
    </row>
    <row r="138" spans="2:3" x14ac:dyDescent="0.35">
      <c r="B138">
        <v>237</v>
      </c>
      <c r="C138" t="s">
        <v>337</v>
      </c>
    </row>
    <row r="139" spans="2:3" x14ac:dyDescent="0.35">
      <c r="B139">
        <v>238</v>
      </c>
      <c r="C139" t="s">
        <v>338</v>
      </c>
    </row>
    <row r="140" spans="2:3" x14ac:dyDescent="0.35">
      <c r="B140">
        <v>239</v>
      </c>
      <c r="C140" t="s">
        <v>339</v>
      </c>
    </row>
    <row r="141" spans="2:3" x14ac:dyDescent="0.35">
      <c r="B141">
        <v>240</v>
      </c>
      <c r="C141" t="s">
        <v>340</v>
      </c>
    </row>
    <row r="142" spans="2:3" x14ac:dyDescent="0.35">
      <c r="B142">
        <v>241</v>
      </c>
      <c r="C142" t="s">
        <v>341</v>
      </c>
    </row>
    <row r="143" spans="2:3" x14ac:dyDescent="0.35">
      <c r="B143">
        <v>242</v>
      </c>
      <c r="C143" t="s">
        <v>342</v>
      </c>
    </row>
    <row r="144" spans="2:3" x14ac:dyDescent="0.35">
      <c r="B144">
        <v>243</v>
      </c>
      <c r="C144" t="s">
        <v>343</v>
      </c>
    </row>
    <row r="145" spans="2:3" x14ac:dyDescent="0.35">
      <c r="B145">
        <v>244</v>
      </c>
      <c r="C145" t="s">
        <v>344</v>
      </c>
    </row>
    <row r="146" spans="2:3" x14ac:dyDescent="0.35">
      <c r="B146">
        <v>245</v>
      </c>
      <c r="C146" t="s">
        <v>345</v>
      </c>
    </row>
    <row r="147" spans="2:3" x14ac:dyDescent="0.35">
      <c r="B147">
        <v>246</v>
      </c>
      <c r="C147" t="s">
        <v>346</v>
      </c>
    </row>
    <row r="148" spans="2:3" x14ac:dyDescent="0.35">
      <c r="B148">
        <v>247</v>
      </c>
      <c r="C148" t="s">
        <v>347</v>
      </c>
    </row>
    <row r="149" spans="2:3" x14ac:dyDescent="0.35">
      <c r="B149">
        <v>248</v>
      </c>
      <c r="C149" t="s">
        <v>348</v>
      </c>
    </row>
    <row r="150" spans="2:3" x14ac:dyDescent="0.35">
      <c r="B150">
        <v>249</v>
      </c>
      <c r="C150" t="s">
        <v>349</v>
      </c>
    </row>
    <row r="151" spans="2:3" x14ac:dyDescent="0.35">
      <c r="B151">
        <v>250</v>
      </c>
      <c r="C151" t="s">
        <v>350</v>
      </c>
    </row>
    <row r="152" spans="2:3" x14ac:dyDescent="0.35">
      <c r="B152">
        <v>251</v>
      </c>
      <c r="C152" t="s">
        <v>351</v>
      </c>
    </row>
    <row r="153" spans="2:3" x14ac:dyDescent="0.35">
      <c r="B153">
        <v>252</v>
      </c>
      <c r="C153" t="s">
        <v>352</v>
      </c>
    </row>
    <row r="154" spans="2:3" x14ac:dyDescent="0.35">
      <c r="B154">
        <v>253</v>
      </c>
      <c r="C154" t="s">
        <v>353</v>
      </c>
    </row>
    <row r="155" spans="2:3" x14ac:dyDescent="0.35">
      <c r="B155">
        <v>254</v>
      </c>
      <c r="C155" t="s">
        <v>354</v>
      </c>
    </row>
    <row r="156" spans="2:3" x14ac:dyDescent="0.35">
      <c r="B156">
        <v>255</v>
      </c>
      <c r="C156" t="s">
        <v>355</v>
      </c>
    </row>
    <row r="157" spans="2:3" x14ac:dyDescent="0.35">
      <c r="B157">
        <v>256</v>
      </c>
      <c r="C157" t="s">
        <v>356</v>
      </c>
    </row>
    <row r="158" spans="2:3" x14ac:dyDescent="0.35">
      <c r="B158">
        <v>257</v>
      </c>
      <c r="C158" t="s">
        <v>357</v>
      </c>
    </row>
    <row r="159" spans="2:3" x14ac:dyDescent="0.35">
      <c r="B159">
        <v>258</v>
      </c>
      <c r="C159" t="s">
        <v>358</v>
      </c>
    </row>
    <row r="160" spans="2:3" x14ac:dyDescent="0.35">
      <c r="B160">
        <v>259</v>
      </c>
      <c r="C160" t="s">
        <v>359</v>
      </c>
    </row>
    <row r="161" spans="2:3" x14ac:dyDescent="0.35">
      <c r="B161">
        <v>260</v>
      </c>
      <c r="C161" t="s">
        <v>360</v>
      </c>
    </row>
    <row r="162" spans="2:3" x14ac:dyDescent="0.35">
      <c r="B162">
        <v>261</v>
      </c>
      <c r="C162" t="s">
        <v>361</v>
      </c>
    </row>
    <row r="163" spans="2:3" x14ac:dyDescent="0.35">
      <c r="B163">
        <v>262</v>
      </c>
      <c r="C163" t="s">
        <v>362</v>
      </c>
    </row>
    <row r="164" spans="2:3" x14ac:dyDescent="0.35">
      <c r="B164">
        <v>263</v>
      </c>
      <c r="C164" t="s">
        <v>363</v>
      </c>
    </row>
    <row r="165" spans="2:3" x14ac:dyDescent="0.35">
      <c r="B165">
        <v>264</v>
      </c>
      <c r="C165" t="s">
        <v>364</v>
      </c>
    </row>
    <row r="166" spans="2:3" x14ac:dyDescent="0.35">
      <c r="B166">
        <v>265</v>
      </c>
      <c r="C166" t="s">
        <v>365</v>
      </c>
    </row>
    <row r="167" spans="2:3" x14ac:dyDescent="0.35">
      <c r="B167">
        <v>266</v>
      </c>
      <c r="C167" t="s">
        <v>366</v>
      </c>
    </row>
    <row r="168" spans="2:3" x14ac:dyDescent="0.35">
      <c r="B168">
        <v>267</v>
      </c>
      <c r="C168" t="s">
        <v>367</v>
      </c>
    </row>
    <row r="169" spans="2:3" x14ac:dyDescent="0.35">
      <c r="B169">
        <v>268</v>
      </c>
      <c r="C169" t="s">
        <v>368</v>
      </c>
    </row>
    <row r="170" spans="2:3" x14ac:dyDescent="0.35">
      <c r="B170">
        <v>269</v>
      </c>
      <c r="C170" t="s">
        <v>369</v>
      </c>
    </row>
    <row r="171" spans="2:3" x14ac:dyDescent="0.35">
      <c r="B171">
        <v>270</v>
      </c>
      <c r="C171" t="s">
        <v>370</v>
      </c>
    </row>
    <row r="172" spans="2:3" x14ac:dyDescent="0.35">
      <c r="B172">
        <v>271</v>
      </c>
      <c r="C172" t="s">
        <v>371</v>
      </c>
    </row>
    <row r="173" spans="2:3" x14ac:dyDescent="0.35">
      <c r="B173">
        <v>272</v>
      </c>
      <c r="C173" t="s">
        <v>372</v>
      </c>
    </row>
    <row r="174" spans="2:3" x14ac:dyDescent="0.35">
      <c r="B174">
        <v>273</v>
      </c>
      <c r="C174" t="s">
        <v>373</v>
      </c>
    </row>
    <row r="175" spans="2:3" x14ac:dyDescent="0.35">
      <c r="B175">
        <v>274</v>
      </c>
      <c r="C175" t="s">
        <v>374</v>
      </c>
    </row>
    <row r="176" spans="2:3" x14ac:dyDescent="0.35">
      <c r="B176">
        <v>275</v>
      </c>
      <c r="C176" t="s">
        <v>375</v>
      </c>
    </row>
    <row r="177" spans="2:3" x14ac:dyDescent="0.35">
      <c r="B177">
        <v>276</v>
      </c>
      <c r="C177" t="s">
        <v>376</v>
      </c>
    </row>
    <row r="178" spans="2:3" x14ac:dyDescent="0.35">
      <c r="B178">
        <v>277</v>
      </c>
      <c r="C178" t="s">
        <v>377</v>
      </c>
    </row>
    <row r="179" spans="2:3" x14ac:dyDescent="0.35">
      <c r="B179">
        <v>278</v>
      </c>
      <c r="C179" t="s">
        <v>378</v>
      </c>
    </row>
    <row r="180" spans="2:3" x14ac:dyDescent="0.35">
      <c r="B180">
        <v>279</v>
      </c>
      <c r="C180" t="s">
        <v>379</v>
      </c>
    </row>
    <row r="181" spans="2:3" x14ac:dyDescent="0.35">
      <c r="B181">
        <v>280</v>
      </c>
      <c r="C181" t="s">
        <v>380</v>
      </c>
    </row>
    <row r="182" spans="2:3" x14ac:dyDescent="0.35">
      <c r="B182">
        <v>281</v>
      </c>
      <c r="C182" t="s">
        <v>381</v>
      </c>
    </row>
    <row r="183" spans="2:3" x14ac:dyDescent="0.35">
      <c r="B183">
        <v>282</v>
      </c>
      <c r="C183" t="s">
        <v>382</v>
      </c>
    </row>
    <row r="184" spans="2:3" x14ac:dyDescent="0.35">
      <c r="B184">
        <v>283</v>
      </c>
      <c r="C184" t="s">
        <v>383</v>
      </c>
    </row>
    <row r="185" spans="2:3" x14ac:dyDescent="0.35">
      <c r="B185">
        <v>284</v>
      </c>
      <c r="C185" t="s">
        <v>384</v>
      </c>
    </row>
    <row r="186" spans="2:3" x14ac:dyDescent="0.35">
      <c r="B186">
        <v>285</v>
      </c>
      <c r="C186" t="s">
        <v>385</v>
      </c>
    </row>
    <row r="187" spans="2:3" x14ac:dyDescent="0.35">
      <c r="B187">
        <v>286</v>
      </c>
      <c r="C187" t="s">
        <v>386</v>
      </c>
    </row>
    <row r="188" spans="2:3" x14ac:dyDescent="0.35">
      <c r="B188">
        <v>287</v>
      </c>
      <c r="C188" t="s">
        <v>387</v>
      </c>
    </row>
    <row r="189" spans="2:3" x14ac:dyDescent="0.35">
      <c r="B189">
        <v>301</v>
      </c>
      <c r="C189" t="s">
        <v>388</v>
      </c>
    </row>
    <row r="190" spans="2:3" x14ac:dyDescent="0.35">
      <c r="B190">
        <v>302</v>
      </c>
      <c r="C190" t="s">
        <v>389</v>
      </c>
    </row>
    <row r="191" spans="2:3" x14ac:dyDescent="0.35">
      <c r="B191">
        <v>303</v>
      </c>
      <c r="C191" t="s">
        <v>390</v>
      </c>
    </row>
    <row r="192" spans="2:3" x14ac:dyDescent="0.35">
      <c r="B192">
        <v>304</v>
      </c>
      <c r="C192" t="s">
        <v>391</v>
      </c>
    </row>
    <row r="193" spans="2:3" x14ac:dyDescent="0.35">
      <c r="B193">
        <v>305</v>
      </c>
      <c r="C193" t="s">
        <v>392</v>
      </c>
    </row>
    <row r="194" spans="2:3" x14ac:dyDescent="0.35">
      <c r="B194">
        <v>306</v>
      </c>
      <c r="C194" t="s">
        <v>393</v>
      </c>
    </row>
    <row r="195" spans="2:3" x14ac:dyDescent="0.35">
      <c r="B195">
        <v>307</v>
      </c>
      <c r="C195" t="s">
        <v>394</v>
      </c>
    </row>
    <row r="196" spans="2:3" x14ac:dyDescent="0.35">
      <c r="B196">
        <v>308</v>
      </c>
      <c r="C196" t="s">
        <v>395</v>
      </c>
    </row>
    <row r="197" spans="2:3" x14ac:dyDescent="0.35">
      <c r="B197">
        <v>309</v>
      </c>
      <c r="C197" t="s">
        <v>396</v>
      </c>
    </row>
    <row r="198" spans="2:3" x14ac:dyDescent="0.35">
      <c r="B198">
        <v>310</v>
      </c>
      <c r="C198" t="s">
        <v>397</v>
      </c>
    </row>
    <row r="199" spans="2:3" x14ac:dyDescent="0.35">
      <c r="B199">
        <v>311</v>
      </c>
      <c r="C199" t="s">
        <v>398</v>
      </c>
    </row>
    <row r="200" spans="2:3" x14ac:dyDescent="0.35">
      <c r="B200">
        <v>312</v>
      </c>
      <c r="C200" t="s">
        <v>399</v>
      </c>
    </row>
    <row r="201" spans="2:3" x14ac:dyDescent="0.35">
      <c r="B201">
        <v>313</v>
      </c>
      <c r="C201" t="s">
        <v>400</v>
      </c>
    </row>
    <row r="202" spans="2:3" x14ac:dyDescent="0.35">
      <c r="B202">
        <v>314</v>
      </c>
      <c r="C202" t="s">
        <v>401</v>
      </c>
    </row>
    <row r="203" spans="2:3" x14ac:dyDescent="0.35">
      <c r="B203">
        <v>315</v>
      </c>
      <c r="C203" t="s">
        <v>402</v>
      </c>
    </row>
    <row r="204" spans="2:3" x14ac:dyDescent="0.35">
      <c r="B204">
        <v>316</v>
      </c>
      <c r="C204" t="s">
        <v>403</v>
      </c>
    </row>
    <row r="205" spans="2:3" x14ac:dyDescent="0.35">
      <c r="B205">
        <v>401</v>
      </c>
      <c r="C205" t="s">
        <v>404</v>
      </c>
    </row>
    <row r="206" spans="2:3" x14ac:dyDescent="0.35">
      <c r="B206">
        <v>402</v>
      </c>
      <c r="C206" t="s">
        <v>405</v>
      </c>
    </row>
    <row r="207" spans="2:3" x14ac:dyDescent="0.35">
      <c r="B207">
        <v>403</v>
      </c>
      <c r="C207" t="s">
        <v>406</v>
      </c>
    </row>
    <row r="208" spans="2:3" x14ac:dyDescent="0.35">
      <c r="B208">
        <v>404</v>
      </c>
      <c r="C208" t="s">
        <v>407</v>
      </c>
    </row>
    <row r="209" spans="2:3" x14ac:dyDescent="0.35">
      <c r="B209">
        <v>405</v>
      </c>
      <c r="C209" t="s">
        <v>408</v>
      </c>
    </row>
    <row r="210" spans="2:3" x14ac:dyDescent="0.35">
      <c r="B210">
        <v>406</v>
      </c>
      <c r="C210" t="s">
        <v>409</v>
      </c>
    </row>
    <row r="211" spans="2:3" x14ac:dyDescent="0.35">
      <c r="B211">
        <v>407</v>
      </c>
      <c r="C211" t="s">
        <v>410</v>
      </c>
    </row>
    <row r="212" spans="2:3" x14ac:dyDescent="0.35">
      <c r="B212">
        <v>501</v>
      </c>
      <c r="C212" t="s">
        <v>411</v>
      </c>
    </row>
    <row r="213" spans="2:3" x14ac:dyDescent="0.35">
      <c r="B213">
        <v>502</v>
      </c>
      <c r="C213" t="s">
        <v>412</v>
      </c>
    </row>
    <row r="214" spans="2:3" x14ac:dyDescent="0.35">
      <c r="B214">
        <v>503</v>
      </c>
      <c r="C214" t="s">
        <v>413</v>
      </c>
    </row>
    <row r="215" spans="2:3" x14ac:dyDescent="0.35">
      <c r="B215">
        <v>504</v>
      </c>
      <c r="C215" t="s">
        <v>414</v>
      </c>
    </row>
    <row r="216" spans="2:3" x14ac:dyDescent="0.35">
      <c r="B216">
        <v>505</v>
      </c>
      <c r="C216" t="s">
        <v>415</v>
      </c>
    </row>
    <row r="217" spans="2:3" x14ac:dyDescent="0.35">
      <c r="B217">
        <v>506</v>
      </c>
      <c r="C217" t="s">
        <v>416</v>
      </c>
    </row>
    <row r="218" spans="2:3" x14ac:dyDescent="0.35">
      <c r="B218">
        <v>507</v>
      </c>
      <c r="C218" t="s">
        <v>417</v>
      </c>
    </row>
    <row r="219" spans="2:3" x14ac:dyDescent="0.35">
      <c r="B219">
        <v>508</v>
      </c>
      <c r="C219" t="s">
        <v>418</v>
      </c>
    </row>
    <row r="220" spans="2:3" x14ac:dyDescent="0.35">
      <c r="B220">
        <v>509</v>
      </c>
      <c r="C220" t="s">
        <v>419</v>
      </c>
    </row>
    <row r="221" spans="2:3" x14ac:dyDescent="0.35">
      <c r="B221">
        <v>510</v>
      </c>
      <c r="C221" t="s">
        <v>420</v>
      </c>
    </row>
    <row r="222" spans="2:3" x14ac:dyDescent="0.35">
      <c r="B222">
        <v>511</v>
      </c>
      <c r="C222" t="s">
        <v>421</v>
      </c>
    </row>
    <row r="223" spans="2:3" x14ac:dyDescent="0.35">
      <c r="B223">
        <v>512</v>
      </c>
      <c r="C223" t="s">
        <v>422</v>
      </c>
    </row>
    <row r="224" spans="2:3" x14ac:dyDescent="0.35">
      <c r="B224">
        <v>513</v>
      </c>
      <c r="C224" t="s">
        <v>423</v>
      </c>
    </row>
    <row r="225" spans="2:3" x14ac:dyDescent="0.35">
      <c r="B225">
        <v>514</v>
      </c>
      <c r="C225" t="s">
        <v>424</v>
      </c>
    </row>
    <row r="226" spans="2:3" x14ac:dyDescent="0.35">
      <c r="B226">
        <v>515</v>
      </c>
      <c r="C226" t="s">
        <v>425</v>
      </c>
    </row>
    <row r="227" spans="2:3" x14ac:dyDescent="0.35">
      <c r="B227">
        <v>516</v>
      </c>
      <c r="C227" t="s">
        <v>426</v>
      </c>
    </row>
    <row r="228" spans="2:3" x14ac:dyDescent="0.35">
      <c r="B228">
        <v>517</v>
      </c>
      <c r="C228" t="s">
        <v>427</v>
      </c>
    </row>
    <row r="229" spans="2:3" x14ac:dyDescent="0.35">
      <c r="B229">
        <v>518</v>
      </c>
      <c r="C229" t="s">
        <v>428</v>
      </c>
    </row>
    <row r="230" spans="2:3" x14ac:dyDescent="0.35">
      <c r="B230">
        <v>519</v>
      </c>
      <c r="C230" t="s">
        <v>429</v>
      </c>
    </row>
    <row r="231" spans="2:3" x14ac:dyDescent="0.35">
      <c r="B231">
        <v>520</v>
      </c>
      <c r="C231" t="s">
        <v>430</v>
      </c>
    </row>
    <row r="232" spans="2:3" x14ac:dyDescent="0.35">
      <c r="B232">
        <v>521</v>
      </c>
      <c r="C232" t="s">
        <v>431</v>
      </c>
    </row>
    <row r="233" spans="2:3" x14ac:dyDescent="0.35">
      <c r="B233">
        <v>522</v>
      </c>
      <c r="C233" t="s">
        <v>432</v>
      </c>
    </row>
    <row r="234" spans="2:3" x14ac:dyDescent="0.35">
      <c r="B234">
        <v>523</v>
      </c>
      <c r="C234" t="s">
        <v>433</v>
      </c>
    </row>
    <row r="235" spans="2:3" x14ac:dyDescent="0.35">
      <c r="B235">
        <v>524</v>
      </c>
      <c r="C235" t="s">
        <v>434</v>
      </c>
    </row>
    <row r="236" spans="2:3" x14ac:dyDescent="0.35">
      <c r="B236">
        <v>525</v>
      </c>
      <c r="C236" t="s">
        <v>435</v>
      </c>
    </row>
    <row r="237" spans="2:3" x14ac:dyDescent="0.35">
      <c r="B237">
        <v>526</v>
      </c>
      <c r="C237" t="s">
        <v>436</v>
      </c>
    </row>
    <row r="238" spans="2:3" x14ac:dyDescent="0.35">
      <c r="B238">
        <v>527</v>
      </c>
      <c r="C238" t="s">
        <v>437</v>
      </c>
    </row>
    <row r="239" spans="2:3" x14ac:dyDescent="0.35">
      <c r="B239">
        <v>528</v>
      </c>
      <c r="C239" t="s">
        <v>438</v>
      </c>
    </row>
    <row r="240" spans="2:3" x14ac:dyDescent="0.35">
      <c r="B240">
        <v>529</v>
      </c>
      <c r="C240" t="s">
        <v>439</v>
      </c>
    </row>
    <row r="241" spans="2:3" x14ac:dyDescent="0.35">
      <c r="B241">
        <v>530</v>
      </c>
      <c r="C241" t="s">
        <v>440</v>
      </c>
    </row>
    <row r="242" spans="2:3" x14ac:dyDescent="0.35">
      <c r="B242">
        <v>531</v>
      </c>
      <c r="C242" t="s">
        <v>441</v>
      </c>
    </row>
    <row r="243" spans="2:3" x14ac:dyDescent="0.35">
      <c r="B243">
        <v>532</v>
      </c>
      <c r="C243" t="s">
        <v>442</v>
      </c>
    </row>
    <row r="244" spans="2:3" x14ac:dyDescent="0.35">
      <c r="B244">
        <v>601</v>
      </c>
      <c r="C244" t="s">
        <v>443</v>
      </c>
    </row>
    <row r="245" spans="2:3" x14ac:dyDescent="0.35">
      <c r="B245">
        <v>602</v>
      </c>
      <c r="C245" t="s">
        <v>444</v>
      </c>
    </row>
    <row r="246" spans="2:3" x14ac:dyDescent="0.35">
      <c r="B246">
        <v>701</v>
      </c>
      <c r="C246" t="s">
        <v>445</v>
      </c>
    </row>
    <row r="247" spans="2:3" x14ac:dyDescent="0.35">
      <c r="B247">
        <v>702</v>
      </c>
      <c r="C247" t="s">
        <v>446</v>
      </c>
    </row>
    <row r="248" spans="2:3" x14ac:dyDescent="0.35">
      <c r="B248">
        <v>721</v>
      </c>
      <c r="C248" t="s">
        <v>447</v>
      </c>
    </row>
    <row r="249" spans="2:3" x14ac:dyDescent="0.35">
      <c r="B249">
        <v>800</v>
      </c>
      <c r="C249" t="s">
        <v>448</v>
      </c>
    </row>
    <row r="250" spans="2:3" x14ac:dyDescent="0.35">
      <c r="B250">
        <v>900</v>
      </c>
      <c r="C250" t="s">
        <v>449</v>
      </c>
    </row>
    <row r="251" spans="2:3" x14ac:dyDescent="0.35">
      <c r="B251">
        <v>951</v>
      </c>
      <c r="C251" t="s">
        <v>450</v>
      </c>
    </row>
    <row r="252" spans="2:3" x14ac:dyDescent="0.35">
      <c r="B252">
        <v>961</v>
      </c>
      <c r="C252" t="s">
        <v>451</v>
      </c>
    </row>
    <row r="253" spans="2:3" x14ac:dyDescent="0.35">
      <c r="B253">
        <v>981</v>
      </c>
      <c r="C253" t="s">
        <v>452</v>
      </c>
    </row>
    <row r="254" spans="2:3" x14ac:dyDescent="0.35">
      <c r="B254">
        <v>991</v>
      </c>
      <c r="C254" t="s">
        <v>453</v>
      </c>
    </row>
    <row r="255" spans="2:3" x14ac:dyDescent="0.35">
      <c r="B255">
        <v>1001</v>
      </c>
      <c r="C255" t="s">
        <v>454</v>
      </c>
    </row>
    <row r="256" spans="2:3" x14ac:dyDescent="0.35">
      <c r="B256">
        <v>1002</v>
      </c>
      <c r="C256" t="s">
        <v>455</v>
      </c>
    </row>
    <row r="257" spans="2:3" x14ac:dyDescent="0.35">
      <c r="B257">
        <v>1003</v>
      </c>
      <c r="C257" t="s">
        <v>456</v>
      </c>
    </row>
    <row r="258" spans="2:3" x14ac:dyDescent="0.35">
      <c r="B258">
        <v>1004</v>
      </c>
      <c r="C258" t="s">
        <v>457</v>
      </c>
    </row>
    <row r="259" spans="2:3" x14ac:dyDescent="0.35">
      <c r="B259">
        <v>23512</v>
      </c>
      <c r="C259" t="s">
        <v>458</v>
      </c>
    </row>
    <row r="260" spans="2:3" x14ac:dyDescent="0.35">
      <c r="B260">
        <v>23513</v>
      </c>
      <c r="C260" t="s">
        <v>459</v>
      </c>
    </row>
    <row r="261" spans="2:3" x14ac:dyDescent="0.35">
      <c r="B261">
        <v>23514</v>
      </c>
      <c r="C261" t="s">
        <v>460</v>
      </c>
    </row>
    <row r="262" spans="2:3" x14ac:dyDescent="0.35">
      <c r="B262">
        <v>23515</v>
      </c>
      <c r="C262" t="s">
        <v>461</v>
      </c>
    </row>
    <row r="263" spans="2:3" x14ac:dyDescent="0.35">
      <c r="B263">
        <v>23516</v>
      </c>
      <c r="C263" t="s">
        <v>462</v>
      </c>
    </row>
    <row r="264" spans="2:3" x14ac:dyDescent="0.35">
      <c r="B264">
        <v>23517</v>
      </c>
      <c r="C264" t="s">
        <v>463</v>
      </c>
    </row>
    <row r="265" spans="2:3" x14ac:dyDescent="0.35">
      <c r="B265">
        <v>23518</v>
      </c>
      <c r="C265" t="s">
        <v>464</v>
      </c>
    </row>
    <row r="266" spans="2:3" x14ac:dyDescent="0.35">
      <c r="B266">
        <v>23519</v>
      </c>
      <c r="C266" t="s">
        <v>465</v>
      </c>
    </row>
    <row r="267" spans="2:3" x14ac:dyDescent="0.35">
      <c r="B267">
        <v>23520</v>
      </c>
      <c r="C267" t="s">
        <v>466</v>
      </c>
    </row>
    <row r="268" spans="2:3" x14ac:dyDescent="0.35">
      <c r="B268">
        <v>23522</v>
      </c>
      <c r="C268" t="s">
        <v>467</v>
      </c>
    </row>
    <row r="269" spans="2:3" x14ac:dyDescent="0.35">
      <c r="B269">
        <v>23523</v>
      </c>
      <c r="C269" t="s">
        <v>468</v>
      </c>
    </row>
    <row r="270" spans="2:3" x14ac:dyDescent="0.35">
      <c r="B270">
        <v>23524</v>
      </c>
      <c r="C270" t="s">
        <v>469</v>
      </c>
    </row>
    <row r="271" spans="2:3" x14ac:dyDescent="0.35">
      <c r="B271">
        <v>23526</v>
      </c>
      <c r="C271" t="s">
        <v>470</v>
      </c>
    </row>
    <row r="272" spans="2:3" x14ac:dyDescent="0.35">
      <c r="B272">
        <v>23527</v>
      </c>
      <c r="C272" t="s">
        <v>471</v>
      </c>
    </row>
    <row r="273" spans="2:3" x14ac:dyDescent="0.35">
      <c r="B273">
        <v>23528</v>
      </c>
      <c r="C273" t="s">
        <v>472</v>
      </c>
    </row>
    <row r="274" spans="2:3" x14ac:dyDescent="0.35">
      <c r="B274">
        <v>23530</v>
      </c>
      <c r="C274" t="s">
        <v>473</v>
      </c>
    </row>
    <row r="275" spans="2:3" x14ac:dyDescent="0.35">
      <c r="B275">
        <v>23531</v>
      </c>
      <c r="C275" t="s">
        <v>474</v>
      </c>
    </row>
    <row r="276" spans="2:3" x14ac:dyDescent="0.35">
      <c r="B276">
        <v>23533</v>
      </c>
      <c r="C276" t="s">
        <v>475</v>
      </c>
    </row>
    <row r="277" spans="2:3" x14ac:dyDescent="0.35">
      <c r="B277">
        <v>23534</v>
      </c>
      <c r="C277" t="s">
        <v>476</v>
      </c>
    </row>
    <row r="278" spans="2:3" x14ac:dyDescent="0.35">
      <c r="B278">
        <v>23535</v>
      </c>
      <c r="C278" t="s">
        <v>477</v>
      </c>
    </row>
    <row r="279" spans="2:3" x14ac:dyDescent="0.35">
      <c r="B279">
        <v>23538</v>
      </c>
      <c r="C279" t="s">
        <v>478</v>
      </c>
    </row>
    <row r="280" spans="2:3" x14ac:dyDescent="0.35">
      <c r="B280">
        <v>23540</v>
      </c>
      <c r="C280" t="s">
        <v>479</v>
      </c>
    </row>
    <row r="281" spans="2:3" x14ac:dyDescent="0.35">
      <c r="B281">
        <v>23541</v>
      </c>
      <c r="C281" t="s">
        <v>480</v>
      </c>
    </row>
    <row r="282" spans="2:3" x14ac:dyDescent="0.35">
      <c r="B282">
        <v>23543</v>
      </c>
      <c r="C282" t="s">
        <v>481</v>
      </c>
    </row>
    <row r="283" spans="2:3" x14ac:dyDescent="0.35">
      <c r="B283">
        <v>23545</v>
      </c>
      <c r="C283" t="s">
        <v>482</v>
      </c>
    </row>
    <row r="284" spans="2:3" x14ac:dyDescent="0.35">
      <c r="B284">
        <v>23546</v>
      </c>
      <c r="C284" t="s">
        <v>483</v>
      </c>
    </row>
    <row r="285" spans="2:3" x14ac:dyDescent="0.35">
      <c r="B285">
        <v>23547</v>
      </c>
      <c r="C285" t="s">
        <v>484</v>
      </c>
    </row>
    <row r="286" spans="2:3" x14ac:dyDescent="0.35">
      <c r="B286">
        <v>23548</v>
      </c>
      <c r="C286" t="s">
        <v>485</v>
      </c>
    </row>
    <row r="287" spans="2:3" x14ac:dyDescent="0.35">
      <c r="B287">
        <v>23550</v>
      </c>
      <c r="C287" t="s">
        <v>486</v>
      </c>
    </row>
    <row r="288" spans="2:3" x14ac:dyDescent="0.35">
      <c r="B288">
        <v>23551</v>
      </c>
      <c r="C288" t="s">
        <v>487</v>
      </c>
    </row>
    <row r="289" spans="2:3" x14ac:dyDescent="0.35">
      <c r="B289">
        <v>23552</v>
      </c>
      <c r="C289" t="s">
        <v>488</v>
      </c>
    </row>
    <row r="290" spans="2:3" x14ac:dyDescent="0.35">
      <c r="B290">
        <v>23553</v>
      </c>
      <c r="C290" t="s">
        <v>489</v>
      </c>
    </row>
    <row r="291" spans="2:3" x14ac:dyDescent="0.35">
      <c r="B291">
        <v>23555</v>
      </c>
      <c r="C291" t="s">
        <v>490</v>
      </c>
    </row>
    <row r="292" spans="2:3" x14ac:dyDescent="0.35">
      <c r="B292">
        <v>23557</v>
      </c>
      <c r="C292" t="s">
        <v>491</v>
      </c>
    </row>
    <row r="293" spans="2:3" x14ac:dyDescent="0.35">
      <c r="B293">
        <v>23558</v>
      </c>
      <c r="C293" t="s">
        <v>492</v>
      </c>
    </row>
    <row r="294" spans="2:3" x14ac:dyDescent="0.35">
      <c r="B294">
        <v>23559</v>
      </c>
      <c r="C294" t="s">
        <v>493</v>
      </c>
    </row>
    <row r="295" spans="2:3" x14ac:dyDescent="0.35">
      <c r="B295">
        <v>23560</v>
      </c>
      <c r="C295" t="s">
        <v>494</v>
      </c>
    </row>
    <row r="296" spans="2:3" x14ac:dyDescent="0.35">
      <c r="B296">
        <v>23561</v>
      </c>
      <c r="C296" t="s">
        <v>495</v>
      </c>
    </row>
    <row r="297" spans="2:3" x14ac:dyDescent="0.35">
      <c r="B297">
        <v>23562</v>
      </c>
      <c r="C297" t="s">
        <v>496</v>
      </c>
    </row>
    <row r="298" spans="2:3" x14ac:dyDescent="0.35">
      <c r="B298">
        <v>23563</v>
      </c>
      <c r="C298" t="s">
        <v>497</v>
      </c>
    </row>
    <row r="299" spans="2:3" x14ac:dyDescent="0.35">
      <c r="B299">
        <v>23564</v>
      </c>
      <c r="C299" t="s">
        <v>498</v>
      </c>
    </row>
    <row r="300" spans="2:3" x14ac:dyDescent="0.35">
      <c r="B300">
        <v>23565</v>
      </c>
      <c r="C300" t="s">
        <v>499</v>
      </c>
    </row>
    <row r="301" spans="2:3" x14ac:dyDescent="0.35">
      <c r="B301">
        <v>23566</v>
      </c>
      <c r="C301" t="s">
        <v>500</v>
      </c>
    </row>
    <row r="302" spans="2:3" x14ac:dyDescent="0.35">
      <c r="B302">
        <v>23567</v>
      </c>
      <c r="C302" t="s">
        <v>501</v>
      </c>
    </row>
    <row r="303" spans="2:3" x14ac:dyDescent="0.35">
      <c r="B303">
        <v>23571</v>
      </c>
      <c r="C303" t="s">
        <v>502</v>
      </c>
    </row>
    <row r="304" spans="2:3" x14ac:dyDescent="0.35">
      <c r="B304">
        <v>23572</v>
      </c>
      <c r="C304" t="s">
        <v>503</v>
      </c>
    </row>
    <row r="305" spans="2:3" x14ac:dyDescent="0.35">
      <c r="B305">
        <v>23573</v>
      </c>
      <c r="C305" t="s">
        <v>504</v>
      </c>
    </row>
    <row r="306" spans="2:3" x14ac:dyDescent="0.35">
      <c r="B306">
        <v>23574</v>
      </c>
      <c r="C306" t="s">
        <v>505</v>
      </c>
    </row>
    <row r="307" spans="2:3" x14ac:dyDescent="0.35">
      <c r="B307">
        <v>23575</v>
      </c>
      <c r="C307" t="s">
        <v>506</v>
      </c>
    </row>
    <row r="308" spans="2:3" x14ac:dyDescent="0.35">
      <c r="B308">
        <v>23579</v>
      </c>
      <c r="C308" t="s">
        <v>507</v>
      </c>
    </row>
    <row r="309" spans="2:3" x14ac:dyDescent="0.35">
      <c r="B309">
        <v>23580</v>
      </c>
      <c r="C309" t="s">
        <v>508</v>
      </c>
    </row>
    <row r="310" spans="2:3" x14ac:dyDescent="0.35">
      <c r="B310">
        <v>23582</v>
      </c>
      <c r="C310" t="s">
        <v>509</v>
      </c>
    </row>
    <row r="311" spans="2:3" x14ac:dyDescent="0.35">
      <c r="B311">
        <v>23583</v>
      </c>
      <c r="C311" t="s">
        <v>510</v>
      </c>
    </row>
    <row r="312" spans="2:3" x14ac:dyDescent="0.35">
      <c r="B312">
        <v>23584</v>
      </c>
      <c r="C312" t="s">
        <v>511</v>
      </c>
    </row>
    <row r="313" spans="2:3" x14ac:dyDescent="0.35">
      <c r="B313">
        <v>23585</v>
      </c>
      <c r="C313" t="s">
        <v>512</v>
      </c>
    </row>
    <row r="314" spans="2:3" x14ac:dyDescent="0.35">
      <c r="B314">
        <v>23586</v>
      </c>
      <c r="C314" t="s">
        <v>513</v>
      </c>
    </row>
    <row r="315" spans="2:3" x14ac:dyDescent="0.35">
      <c r="B315">
        <v>23587</v>
      </c>
      <c r="C315" t="s">
        <v>514</v>
      </c>
    </row>
    <row r="316" spans="2:3" x14ac:dyDescent="0.35">
      <c r="B316">
        <v>23588</v>
      </c>
      <c r="C316" t="s">
        <v>515</v>
      </c>
    </row>
    <row r="317" spans="2:3" x14ac:dyDescent="0.35">
      <c r="B317">
        <v>23589</v>
      </c>
      <c r="C317" t="s">
        <v>516</v>
      </c>
    </row>
    <row r="318" spans="2:3" x14ac:dyDescent="0.35">
      <c r="B318">
        <v>23590</v>
      </c>
      <c r="C318" t="s">
        <v>517</v>
      </c>
    </row>
    <row r="319" spans="2:3" x14ac:dyDescent="0.35">
      <c r="B319">
        <v>23591</v>
      </c>
      <c r="C319" t="s">
        <v>518</v>
      </c>
    </row>
    <row r="320" spans="2:3" x14ac:dyDescent="0.35">
      <c r="B320">
        <v>23592</v>
      </c>
      <c r="C320" t="s">
        <v>519</v>
      </c>
    </row>
    <row r="321" spans="2:3" x14ac:dyDescent="0.35">
      <c r="B321">
        <v>23593</v>
      </c>
      <c r="C321" t="s">
        <v>520</v>
      </c>
    </row>
    <row r="322" spans="2:3" x14ac:dyDescent="0.35">
      <c r="B322">
        <v>23595</v>
      </c>
      <c r="C322" t="s">
        <v>521</v>
      </c>
    </row>
    <row r="323" spans="2:3" x14ac:dyDescent="0.35">
      <c r="B323">
        <v>23598</v>
      </c>
      <c r="C323" t="s">
        <v>522</v>
      </c>
    </row>
    <row r="324" spans="2:3" x14ac:dyDescent="0.35">
      <c r="B324">
        <v>23600</v>
      </c>
      <c r="C324" t="s">
        <v>523</v>
      </c>
    </row>
    <row r="325" spans="2:3" x14ac:dyDescent="0.35">
      <c r="B325">
        <v>23601</v>
      </c>
      <c r="C325" t="s">
        <v>524</v>
      </c>
    </row>
    <row r="326" spans="2:3" x14ac:dyDescent="0.35">
      <c r="B326">
        <v>23603</v>
      </c>
      <c r="C326" t="s">
        <v>525</v>
      </c>
    </row>
    <row r="327" spans="2:3" x14ac:dyDescent="0.35">
      <c r="B327">
        <v>23604</v>
      </c>
      <c r="C327" t="s">
        <v>526</v>
      </c>
    </row>
    <row r="328" spans="2:3" x14ac:dyDescent="0.35">
      <c r="B328">
        <v>23606</v>
      </c>
      <c r="C328" t="s">
        <v>527</v>
      </c>
    </row>
    <row r="329" spans="2:3" x14ac:dyDescent="0.35">
      <c r="B329">
        <v>23607</v>
      </c>
      <c r="C329" t="s">
        <v>528</v>
      </c>
    </row>
    <row r="330" spans="2:3" x14ac:dyDescent="0.35">
      <c r="B330">
        <v>23608</v>
      </c>
      <c r="C330" t="s">
        <v>529</v>
      </c>
    </row>
    <row r="331" spans="2:3" x14ac:dyDescent="0.35">
      <c r="B331">
        <v>23609</v>
      </c>
      <c r="C331" t="s">
        <v>530</v>
      </c>
    </row>
    <row r="332" spans="2:3" x14ac:dyDescent="0.35">
      <c r="B332">
        <v>23610</v>
      </c>
      <c r="C332" t="s">
        <v>531</v>
      </c>
    </row>
    <row r="333" spans="2:3" x14ac:dyDescent="0.35">
      <c r="B333">
        <v>23611</v>
      </c>
      <c r="C333" t="s">
        <v>532</v>
      </c>
    </row>
    <row r="334" spans="2:3" x14ac:dyDescent="0.35">
      <c r="B334">
        <v>23612</v>
      </c>
      <c r="C334" t="s">
        <v>533</v>
      </c>
    </row>
    <row r="335" spans="2:3" x14ac:dyDescent="0.35">
      <c r="B335">
        <v>23613</v>
      </c>
      <c r="C335" t="s">
        <v>534</v>
      </c>
    </row>
    <row r="336" spans="2:3" x14ac:dyDescent="0.35">
      <c r="B336">
        <v>23614</v>
      </c>
      <c r="C336" t="s">
        <v>535</v>
      </c>
    </row>
    <row r="337" spans="2:3" x14ac:dyDescent="0.35">
      <c r="B337">
        <v>23616</v>
      </c>
      <c r="C337" t="s">
        <v>536</v>
      </c>
    </row>
    <row r="338" spans="2:3" x14ac:dyDescent="0.35">
      <c r="B338">
        <v>23619</v>
      </c>
      <c r="C338" t="s">
        <v>537</v>
      </c>
    </row>
    <row r="339" spans="2:3" x14ac:dyDescent="0.35">
      <c r="B339">
        <v>23620</v>
      </c>
      <c r="C339" t="s">
        <v>538</v>
      </c>
    </row>
    <row r="340" spans="2:3" x14ac:dyDescent="0.35">
      <c r="B340">
        <v>23621</v>
      </c>
      <c r="C340" t="s">
        <v>539</v>
      </c>
    </row>
    <row r="341" spans="2:3" x14ac:dyDescent="0.35">
      <c r="B341">
        <v>23622</v>
      </c>
      <c r="C341" t="s">
        <v>540</v>
      </c>
    </row>
    <row r="342" spans="2:3" x14ac:dyDescent="0.35">
      <c r="B342">
        <v>23625</v>
      </c>
      <c r="C342" t="s">
        <v>541</v>
      </c>
    </row>
    <row r="343" spans="2:3" x14ac:dyDescent="0.35">
      <c r="B343">
        <v>23626</v>
      </c>
      <c r="C343" t="s">
        <v>542</v>
      </c>
    </row>
    <row r="344" spans="2:3" x14ac:dyDescent="0.35">
      <c r="B344">
        <v>23627</v>
      </c>
      <c r="C344" t="s">
        <v>543</v>
      </c>
    </row>
    <row r="345" spans="2:3" x14ac:dyDescent="0.35">
      <c r="B345">
        <v>23628</v>
      </c>
      <c r="C345" t="s">
        <v>544</v>
      </c>
    </row>
    <row r="346" spans="2:3" x14ac:dyDescent="0.35">
      <c r="B346">
        <v>23629</v>
      </c>
      <c r="C346" t="s">
        <v>545</v>
      </c>
    </row>
    <row r="347" spans="2:3" x14ac:dyDescent="0.35">
      <c r="B347">
        <v>23632</v>
      </c>
      <c r="C347" t="s">
        <v>546</v>
      </c>
    </row>
    <row r="348" spans="2:3" x14ac:dyDescent="0.35">
      <c r="B348">
        <v>23639</v>
      </c>
      <c r="C348" t="s">
        <v>547</v>
      </c>
    </row>
    <row r="349" spans="2:3" x14ac:dyDescent="0.35">
      <c r="B349">
        <v>23640</v>
      </c>
      <c r="C349" t="s">
        <v>548</v>
      </c>
    </row>
    <row r="350" spans="2:3" x14ac:dyDescent="0.35">
      <c r="B350">
        <v>23641</v>
      </c>
      <c r="C350" t="s">
        <v>549</v>
      </c>
    </row>
    <row r="351" spans="2:3" x14ac:dyDescent="0.35">
      <c r="B351">
        <v>23642</v>
      </c>
      <c r="C351" t="s">
        <v>550</v>
      </c>
    </row>
    <row r="352" spans="2:3" x14ac:dyDescent="0.35">
      <c r="B352">
        <v>23644</v>
      </c>
      <c r="C352" t="s">
        <v>551</v>
      </c>
    </row>
    <row r="353" spans="2:3" x14ac:dyDescent="0.35">
      <c r="B353">
        <v>23645</v>
      </c>
      <c r="C353" t="s">
        <v>552</v>
      </c>
    </row>
    <row r="354" spans="2:3" x14ac:dyDescent="0.35">
      <c r="B354">
        <v>23646</v>
      </c>
      <c r="C354" t="s">
        <v>553</v>
      </c>
    </row>
    <row r="355" spans="2:3" x14ac:dyDescent="0.35">
      <c r="B355">
        <v>23647</v>
      </c>
      <c r="C355" t="s">
        <v>554</v>
      </c>
    </row>
    <row r="356" spans="2:3" x14ac:dyDescent="0.35">
      <c r="B356">
        <v>23650</v>
      </c>
      <c r="C356" t="s">
        <v>555</v>
      </c>
    </row>
    <row r="357" spans="2:3" x14ac:dyDescent="0.35">
      <c r="B357">
        <v>23651</v>
      </c>
      <c r="C357" t="s">
        <v>556</v>
      </c>
    </row>
    <row r="358" spans="2:3" x14ac:dyDescent="0.35">
      <c r="B358">
        <v>23652</v>
      </c>
      <c r="C358" t="s">
        <v>557</v>
      </c>
    </row>
    <row r="359" spans="2:3" x14ac:dyDescent="0.35">
      <c r="B359">
        <v>23653</v>
      </c>
      <c r="C359" t="s">
        <v>558</v>
      </c>
    </row>
    <row r="360" spans="2:3" x14ac:dyDescent="0.35">
      <c r="B360">
        <v>23654</v>
      </c>
      <c r="C360" t="s">
        <v>559</v>
      </c>
    </row>
    <row r="361" spans="2:3" x14ac:dyDescent="0.35">
      <c r="B361">
        <v>23655</v>
      </c>
      <c r="C361" t="s">
        <v>560</v>
      </c>
    </row>
    <row r="362" spans="2:3" x14ac:dyDescent="0.35">
      <c r="B362">
        <v>23656</v>
      </c>
      <c r="C362" t="s">
        <v>561</v>
      </c>
    </row>
    <row r="363" spans="2:3" x14ac:dyDescent="0.35">
      <c r="B363">
        <v>23657</v>
      </c>
      <c r="C363" t="s">
        <v>562</v>
      </c>
    </row>
    <row r="364" spans="2:3" x14ac:dyDescent="0.35">
      <c r="B364">
        <v>23659</v>
      </c>
      <c r="C364" t="s">
        <v>563</v>
      </c>
    </row>
    <row r="365" spans="2:3" x14ac:dyDescent="0.35">
      <c r="B365">
        <v>23660</v>
      </c>
      <c r="C365" t="s">
        <v>564</v>
      </c>
    </row>
    <row r="366" spans="2:3" x14ac:dyDescent="0.35">
      <c r="B366">
        <v>23663</v>
      </c>
      <c r="C366" t="s">
        <v>565</v>
      </c>
    </row>
    <row r="367" spans="2:3" x14ac:dyDescent="0.35">
      <c r="B367">
        <v>23687</v>
      </c>
      <c r="C367" t="s">
        <v>566</v>
      </c>
    </row>
    <row r="368" spans="2:3" x14ac:dyDescent="0.35">
      <c r="B368">
        <v>23688</v>
      </c>
      <c r="C368" t="s">
        <v>567</v>
      </c>
    </row>
    <row r="369" spans="2:3" x14ac:dyDescent="0.35">
      <c r="B369">
        <v>23689</v>
      </c>
      <c r="C369" t="s">
        <v>568</v>
      </c>
    </row>
    <row r="370" spans="2:3" x14ac:dyDescent="0.35">
      <c r="B370">
        <v>23690</v>
      </c>
      <c r="C370" t="s">
        <v>569</v>
      </c>
    </row>
    <row r="371" spans="2:3" x14ac:dyDescent="0.35">
      <c r="B371">
        <v>23691</v>
      </c>
      <c r="C371" t="s">
        <v>570</v>
      </c>
    </row>
    <row r="372" spans="2:3" x14ac:dyDescent="0.35">
      <c r="B372">
        <v>23692</v>
      </c>
      <c r="C372" t="s">
        <v>571</v>
      </c>
    </row>
    <row r="373" spans="2:3" x14ac:dyDescent="0.35">
      <c r="B373">
        <v>23693</v>
      </c>
      <c r="C373" t="s">
        <v>572</v>
      </c>
    </row>
    <row r="374" spans="2:3" x14ac:dyDescent="0.35">
      <c r="B374">
        <v>23694</v>
      </c>
      <c r="C374" t="s">
        <v>573</v>
      </c>
    </row>
    <row r="375" spans="2:3" x14ac:dyDescent="0.35">
      <c r="B375">
        <v>23695</v>
      </c>
      <c r="C375" t="s">
        <v>574</v>
      </c>
    </row>
    <row r="376" spans="2:3" x14ac:dyDescent="0.35">
      <c r="B376">
        <v>23696</v>
      </c>
      <c r="C376" t="s">
        <v>575</v>
      </c>
    </row>
    <row r="377" spans="2:3" x14ac:dyDescent="0.35">
      <c r="B377">
        <v>23697</v>
      </c>
      <c r="C377" t="s">
        <v>576</v>
      </c>
    </row>
    <row r="378" spans="2:3" x14ac:dyDescent="0.35">
      <c r="B378">
        <v>23698</v>
      </c>
      <c r="C378" t="s">
        <v>577</v>
      </c>
    </row>
    <row r="379" spans="2:3" x14ac:dyDescent="0.35">
      <c r="B379">
        <v>23699</v>
      </c>
      <c r="C379" t="s">
        <v>578</v>
      </c>
    </row>
    <row r="380" spans="2:3" x14ac:dyDescent="0.35">
      <c r="B380">
        <v>23700</v>
      </c>
      <c r="C380" t="s">
        <v>579</v>
      </c>
    </row>
    <row r="381" spans="2:3" x14ac:dyDescent="0.35">
      <c r="B381">
        <v>23701</v>
      </c>
      <c r="C381" t="s">
        <v>580</v>
      </c>
    </row>
    <row r="382" spans="2:3" x14ac:dyDescent="0.35">
      <c r="B382">
        <v>23702</v>
      </c>
      <c r="C382" t="s">
        <v>581</v>
      </c>
    </row>
    <row r="383" spans="2:3" x14ac:dyDescent="0.35">
      <c r="B383">
        <v>23703</v>
      </c>
      <c r="C383" t="s">
        <v>582</v>
      </c>
    </row>
    <row r="384" spans="2:3" x14ac:dyDescent="0.35">
      <c r="B384">
        <v>23704</v>
      </c>
      <c r="C384" t="s">
        <v>583</v>
      </c>
    </row>
    <row r="385" spans="2:3" x14ac:dyDescent="0.35">
      <c r="B385">
        <v>23705</v>
      </c>
      <c r="C385" t="s">
        <v>584</v>
      </c>
    </row>
    <row r="386" spans="2:3" x14ac:dyDescent="0.35">
      <c r="B386">
        <v>23706</v>
      </c>
      <c r="C386" t="s">
        <v>585</v>
      </c>
    </row>
    <row r="387" spans="2:3" x14ac:dyDescent="0.35">
      <c r="B387">
        <v>23707</v>
      </c>
      <c r="C387" t="s">
        <v>586</v>
      </c>
    </row>
    <row r="388" spans="2:3" x14ac:dyDescent="0.35">
      <c r="B388">
        <v>23708</v>
      </c>
      <c r="C388" t="s">
        <v>587</v>
      </c>
    </row>
    <row r="389" spans="2:3" x14ac:dyDescent="0.35">
      <c r="B389">
        <v>23709</v>
      </c>
      <c r="C389" t="s">
        <v>588</v>
      </c>
    </row>
    <row r="390" spans="2:3" x14ac:dyDescent="0.35">
      <c r="B390">
        <v>23710</v>
      </c>
      <c r="C390" t="s">
        <v>589</v>
      </c>
    </row>
    <row r="391" spans="2:3" x14ac:dyDescent="0.35">
      <c r="B391">
        <v>23711</v>
      </c>
      <c r="C391" t="s">
        <v>590</v>
      </c>
    </row>
    <row r="392" spans="2:3" x14ac:dyDescent="0.35">
      <c r="B392">
        <v>23712</v>
      </c>
      <c r="C392" t="s">
        <v>591</v>
      </c>
    </row>
    <row r="393" spans="2:3" x14ac:dyDescent="0.35">
      <c r="B393">
        <v>23713</v>
      </c>
      <c r="C393" t="s">
        <v>592</v>
      </c>
    </row>
    <row r="394" spans="2:3" x14ac:dyDescent="0.35">
      <c r="B394">
        <v>23714</v>
      </c>
      <c r="C394" t="s">
        <v>593</v>
      </c>
    </row>
    <row r="395" spans="2:3" x14ac:dyDescent="0.35">
      <c r="B395">
        <v>23715</v>
      </c>
      <c r="C395" t="s">
        <v>594</v>
      </c>
    </row>
    <row r="396" spans="2:3" x14ac:dyDescent="0.35">
      <c r="B396">
        <v>23716</v>
      </c>
      <c r="C396" t="s">
        <v>595</v>
      </c>
    </row>
    <row r="397" spans="2:3" x14ac:dyDescent="0.35">
      <c r="B397">
        <v>23717</v>
      </c>
      <c r="C397" t="s">
        <v>596</v>
      </c>
    </row>
    <row r="398" spans="2:3" x14ac:dyDescent="0.35">
      <c r="B398">
        <v>23718</v>
      </c>
      <c r="C398" t="s">
        <v>597</v>
      </c>
    </row>
    <row r="399" spans="2:3" x14ac:dyDescent="0.35">
      <c r="B399">
        <v>23719</v>
      </c>
      <c r="C399" t="s">
        <v>598</v>
      </c>
    </row>
    <row r="400" spans="2:3" x14ac:dyDescent="0.35">
      <c r="B400">
        <v>23720</v>
      </c>
      <c r="C400" t="s">
        <v>599</v>
      </c>
    </row>
    <row r="401" spans="2:3" x14ac:dyDescent="0.35">
      <c r="B401">
        <v>23721</v>
      </c>
      <c r="C401" t="s">
        <v>600</v>
      </c>
    </row>
    <row r="402" spans="2:3" x14ac:dyDescent="0.35">
      <c r="B402">
        <v>23722</v>
      </c>
      <c r="C402" t="s">
        <v>601</v>
      </c>
    </row>
    <row r="403" spans="2:3" x14ac:dyDescent="0.35">
      <c r="B403">
        <v>23729</v>
      </c>
      <c r="C403" t="s">
        <v>602</v>
      </c>
    </row>
    <row r="404" spans="2:3" x14ac:dyDescent="0.35">
      <c r="B404">
        <v>23743</v>
      </c>
      <c r="C404" t="s">
        <v>603</v>
      </c>
    </row>
    <row r="405" spans="2:3" x14ac:dyDescent="0.35">
      <c r="B405">
        <v>23744</v>
      </c>
      <c r="C405" t="s">
        <v>604</v>
      </c>
    </row>
    <row r="406" spans="2:3" x14ac:dyDescent="0.35">
      <c r="B406">
        <v>23754</v>
      </c>
      <c r="C406" t="s">
        <v>605</v>
      </c>
    </row>
    <row r="407" spans="2:3" x14ac:dyDescent="0.35">
      <c r="B407">
        <v>23756</v>
      </c>
      <c r="C407" t="s">
        <v>606</v>
      </c>
    </row>
    <row r="408" spans="2:3" x14ac:dyDescent="0.35">
      <c r="B408">
        <v>23757</v>
      </c>
      <c r="C408" t="s">
        <v>607</v>
      </c>
    </row>
    <row r="409" spans="2:3" x14ac:dyDescent="0.35">
      <c r="B409">
        <v>23758</v>
      </c>
      <c r="C409" t="s">
        <v>608</v>
      </c>
    </row>
    <row r="410" spans="2:3" x14ac:dyDescent="0.35">
      <c r="B410">
        <v>23759</v>
      </c>
      <c r="C410" t="s">
        <v>609</v>
      </c>
    </row>
    <row r="411" spans="2:3" x14ac:dyDescent="0.35">
      <c r="B411">
        <v>23760</v>
      </c>
      <c r="C411" t="s">
        <v>610</v>
      </c>
    </row>
    <row r="412" spans="2:3" x14ac:dyDescent="0.35">
      <c r="B412">
        <v>23765</v>
      </c>
      <c r="C412" t="s">
        <v>611</v>
      </c>
    </row>
    <row r="413" spans="2:3" x14ac:dyDescent="0.35">
      <c r="B413">
        <v>23766</v>
      </c>
      <c r="C413" t="s">
        <v>612</v>
      </c>
    </row>
    <row r="414" spans="2:3" x14ac:dyDescent="0.35">
      <c r="B414">
        <v>23767</v>
      </c>
      <c r="C414" t="s">
        <v>613</v>
      </c>
    </row>
    <row r="415" spans="2:3" x14ac:dyDescent="0.35">
      <c r="B415">
        <v>23768</v>
      </c>
      <c r="C415" t="s">
        <v>614</v>
      </c>
    </row>
    <row r="416" spans="2:3" x14ac:dyDescent="0.35">
      <c r="B416">
        <v>23769</v>
      </c>
      <c r="C416" t="s">
        <v>615</v>
      </c>
    </row>
    <row r="417" spans="2:3" x14ac:dyDescent="0.35">
      <c r="B417">
        <v>23770</v>
      </c>
      <c r="C417" t="s">
        <v>616</v>
      </c>
    </row>
    <row r="418" spans="2:3" x14ac:dyDescent="0.35">
      <c r="B418">
        <v>23776</v>
      </c>
      <c r="C418" t="s">
        <v>617</v>
      </c>
    </row>
    <row r="419" spans="2:3" x14ac:dyDescent="0.35">
      <c r="B419">
        <v>23777</v>
      </c>
      <c r="C419" t="s">
        <v>618</v>
      </c>
    </row>
    <row r="420" spans="2:3" x14ac:dyDescent="0.35">
      <c r="B420">
        <v>23778</v>
      </c>
      <c r="C420" t="s">
        <v>619</v>
      </c>
    </row>
    <row r="421" spans="2:3" x14ac:dyDescent="0.35">
      <c r="B421">
        <v>23779</v>
      </c>
      <c r="C421" t="s">
        <v>620</v>
      </c>
    </row>
    <row r="422" spans="2:3" x14ac:dyDescent="0.35">
      <c r="B422">
        <v>23780</v>
      </c>
      <c r="C422" t="s">
        <v>621</v>
      </c>
    </row>
    <row r="423" spans="2:3" x14ac:dyDescent="0.35">
      <c r="B423">
        <v>23780</v>
      </c>
      <c r="C423" t="s">
        <v>622</v>
      </c>
    </row>
    <row r="424" spans="2:3" x14ac:dyDescent="0.35">
      <c r="B424">
        <v>23781</v>
      </c>
      <c r="C424" t="s">
        <v>623</v>
      </c>
    </row>
    <row r="425" spans="2:3" x14ac:dyDescent="0.35">
      <c r="B425">
        <v>23783</v>
      </c>
      <c r="C425" t="s">
        <v>624</v>
      </c>
    </row>
    <row r="426" spans="2:3" x14ac:dyDescent="0.35">
      <c r="B426">
        <v>23786</v>
      </c>
      <c r="C426" t="s">
        <v>625</v>
      </c>
    </row>
    <row r="427" spans="2:3" x14ac:dyDescent="0.35">
      <c r="B427">
        <v>23790</v>
      </c>
      <c r="C427" t="s">
        <v>626</v>
      </c>
    </row>
    <row r="428" spans="2:3" x14ac:dyDescent="0.35">
      <c r="B428">
        <v>23791</v>
      </c>
      <c r="C428" t="s">
        <v>627</v>
      </c>
    </row>
    <row r="429" spans="2:3" x14ac:dyDescent="0.35">
      <c r="B429">
        <v>23792</v>
      </c>
      <c r="C429" t="s">
        <v>628</v>
      </c>
    </row>
    <row r="430" spans="2:3" x14ac:dyDescent="0.35">
      <c r="B430">
        <v>23793</v>
      </c>
      <c r="C430" t="s">
        <v>629</v>
      </c>
    </row>
    <row r="431" spans="2:3" x14ac:dyDescent="0.35">
      <c r="B431">
        <v>23794</v>
      </c>
      <c r="C431" t="s">
        <v>630</v>
      </c>
    </row>
    <row r="432" spans="2:3" x14ac:dyDescent="0.35">
      <c r="B432">
        <v>23796</v>
      </c>
      <c r="C432" t="s">
        <v>631</v>
      </c>
    </row>
    <row r="433" spans="2:3" x14ac:dyDescent="0.35">
      <c r="B433">
        <v>23797</v>
      </c>
      <c r="C433" t="s">
        <v>632</v>
      </c>
    </row>
    <row r="434" spans="2:3" x14ac:dyDescent="0.35">
      <c r="B434">
        <v>23798</v>
      </c>
      <c r="C434" t="s">
        <v>633</v>
      </c>
    </row>
    <row r="435" spans="2:3" x14ac:dyDescent="0.35">
      <c r="B435">
        <v>23799</v>
      </c>
      <c r="C435" t="s">
        <v>634</v>
      </c>
    </row>
    <row r="436" spans="2:3" x14ac:dyDescent="0.35">
      <c r="B436">
        <v>23800</v>
      </c>
      <c r="C436" t="s">
        <v>635</v>
      </c>
    </row>
    <row r="437" spans="2:3" x14ac:dyDescent="0.35">
      <c r="B437">
        <v>23801</v>
      </c>
      <c r="C437" t="s">
        <v>636</v>
      </c>
    </row>
    <row r="438" spans="2:3" x14ac:dyDescent="0.35">
      <c r="B438">
        <v>23802</v>
      </c>
      <c r="C438" t="s">
        <v>637</v>
      </c>
    </row>
    <row r="439" spans="2:3" x14ac:dyDescent="0.35">
      <c r="B439">
        <v>23803</v>
      </c>
      <c r="C439" t="s">
        <v>638</v>
      </c>
    </row>
    <row r="440" spans="2:3" x14ac:dyDescent="0.35">
      <c r="B440">
        <v>23805</v>
      </c>
      <c r="C440" t="s">
        <v>639</v>
      </c>
    </row>
    <row r="441" spans="2:3" x14ac:dyDescent="0.35">
      <c r="B441">
        <v>23807</v>
      </c>
      <c r="C441" t="s">
        <v>640</v>
      </c>
    </row>
    <row r="442" spans="2:3" x14ac:dyDescent="0.35">
      <c r="B442">
        <v>23808</v>
      </c>
      <c r="C442" t="s">
        <v>641</v>
      </c>
    </row>
    <row r="443" spans="2:3" x14ac:dyDescent="0.35">
      <c r="B443">
        <v>23810</v>
      </c>
      <c r="C443" t="s">
        <v>642</v>
      </c>
    </row>
    <row r="444" spans="2:3" x14ac:dyDescent="0.35">
      <c r="B444">
        <v>23811</v>
      </c>
      <c r="C444" t="s">
        <v>643</v>
      </c>
    </row>
    <row r="445" spans="2:3" x14ac:dyDescent="0.35">
      <c r="B445">
        <v>23856</v>
      </c>
      <c r="C445" t="s">
        <v>644</v>
      </c>
    </row>
    <row r="446" spans="2:3" x14ac:dyDescent="0.35">
      <c r="B446">
        <v>23857</v>
      </c>
      <c r="C446" t="s">
        <v>645</v>
      </c>
    </row>
    <row r="447" spans="2:3" x14ac:dyDescent="0.35">
      <c r="B447">
        <v>23858</v>
      </c>
      <c r="C447" t="s">
        <v>646</v>
      </c>
    </row>
    <row r="448" spans="2:3" x14ac:dyDescent="0.35">
      <c r="B448">
        <v>23895</v>
      </c>
      <c r="C448" t="s">
        <v>647</v>
      </c>
    </row>
    <row r="449" spans="2:3" x14ac:dyDescent="0.35">
      <c r="B449">
        <v>23900</v>
      </c>
      <c r="C449" t="s">
        <v>648</v>
      </c>
    </row>
    <row r="450" spans="2:3" x14ac:dyDescent="0.35">
      <c r="B450">
        <v>23901</v>
      </c>
      <c r="C450" t="s">
        <v>649</v>
      </c>
    </row>
    <row r="451" spans="2:3" x14ac:dyDescent="0.35">
      <c r="B451">
        <v>23902</v>
      </c>
      <c r="C451" t="s">
        <v>650</v>
      </c>
    </row>
    <row r="452" spans="2:3" x14ac:dyDescent="0.35">
      <c r="B452">
        <v>23903</v>
      </c>
      <c r="C452" t="s">
        <v>651</v>
      </c>
    </row>
    <row r="453" spans="2:3" x14ac:dyDescent="0.35">
      <c r="B453">
        <v>23913</v>
      </c>
      <c r="C453" t="s">
        <v>652</v>
      </c>
    </row>
    <row r="454" spans="2:3" x14ac:dyDescent="0.35">
      <c r="B454">
        <v>23914</v>
      </c>
      <c r="C454" t="s">
        <v>653</v>
      </c>
    </row>
    <row r="455" spans="2:3" x14ac:dyDescent="0.35">
      <c r="B455">
        <v>23915</v>
      </c>
      <c r="C455" t="s">
        <v>654</v>
      </c>
    </row>
    <row r="456" spans="2:3" x14ac:dyDescent="0.35">
      <c r="B456">
        <v>23982</v>
      </c>
      <c r="C456" t="s">
        <v>655</v>
      </c>
    </row>
    <row r="457" spans="2:3" x14ac:dyDescent="0.35">
      <c r="B457">
        <v>23983</v>
      </c>
      <c r="C457" t="s">
        <v>656</v>
      </c>
    </row>
    <row r="458" spans="2:3" x14ac:dyDescent="0.35">
      <c r="B458">
        <v>23985</v>
      </c>
      <c r="C458" t="s">
        <v>657</v>
      </c>
    </row>
    <row r="459" spans="2:3" x14ac:dyDescent="0.35">
      <c r="B459">
        <v>23986</v>
      </c>
      <c r="C459" t="s">
        <v>658</v>
      </c>
    </row>
    <row r="460" spans="2:3" x14ac:dyDescent="0.35">
      <c r="B460">
        <v>23987</v>
      </c>
      <c r="C460" t="s">
        <v>659</v>
      </c>
    </row>
    <row r="461" spans="2:3" x14ac:dyDescent="0.35">
      <c r="B461">
        <v>23988</v>
      </c>
      <c r="C461" t="s">
        <v>660</v>
      </c>
    </row>
    <row r="462" spans="2:3" x14ac:dyDescent="0.35">
      <c r="B462">
        <v>23990</v>
      </c>
      <c r="C462" t="s">
        <v>661</v>
      </c>
    </row>
    <row r="463" spans="2:3" x14ac:dyDescent="0.35">
      <c r="B463">
        <v>24000</v>
      </c>
      <c r="C463" t="s">
        <v>662</v>
      </c>
    </row>
    <row r="464" spans="2:3" x14ac:dyDescent="0.35">
      <c r="B464">
        <v>24008</v>
      </c>
      <c r="C464" t="s">
        <v>663</v>
      </c>
    </row>
    <row r="465" spans="2:3" x14ac:dyDescent="0.35">
      <c r="B465">
        <v>24010</v>
      </c>
      <c r="C465" t="s">
        <v>664</v>
      </c>
    </row>
    <row r="466" spans="2:3" x14ac:dyDescent="0.35">
      <c r="B466">
        <v>24011</v>
      </c>
      <c r="C466" t="s">
        <v>665</v>
      </c>
    </row>
    <row r="467" spans="2:3" x14ac:dyDescent="0.35">
      <c r="B467">
        <v>24013</v>
      </c>
      <c r="C467" t="s">
        <v>666</v>
      </c>
    </row>
    <row r="468" spans="2:3" x14ac:dyDescent="0.35">
      <c r="B468">
        <v>24014</v>
      </c>
      <c r="C468" t="s">
        <v>667</v>
      </c>
    </row>
    <row r="469" spans="2:3" x14ac:dyDescent="0.35">
      <c r="B469">
        <v>24015</v>
      </c>
      <c r="C469" t="s">
        <v>668</v>
      </c>
    </row>
    <row r="470" spans="2:3" x14ac:dyDescent="0.35">
      <c r="B470">
        <v>24016</v>
      </c>
      <c r="C470" t="s">
        <v>669</v>
      </c>
    </row>
    <row r="471" spans="2:3" x14ac:dyDescent="0.35">
      <c r="B471">
        <v>24017</v>
      </c>
      <c r="C471" t="s">
        <v>670</v>
      </c>
    </row>
    <row r="472" spans="2:3" x14ac:dyDescent="0.35">
      <c r="B472">
        <v>24018</v>
      </c>
      <c r="C472" t="s">
        <v>671</v>
      </c>
    </row>
    <row r="473" spans="2:3" x14ac:dyDescent="0.35">
      <c r="B473">
        <v>24019</v>
      </c>
      <c r="C473" t="s">
        <v>672</v>
      </c>
    </row>
    <row r="474" spans="2:3" x14ac:dyDescent="0.35">
      <c r="B474">
        <v>24020</v>
      </c>
      <c r="C474" t="s">
        <v>673</v>
      </c>
    </row>
    <row r="475" spans="2:3" x14ac:dyDescent="0.35">
      <c r="B475">
        <v>24021</v>
      </c>
      <c r="C475" t="s">
        <v>674</v>
      </c>
    </row>
    <row r="476" spans="2:3" x14ac:dyDescent="0.35">
      <c r="B476">
        <v>24023</v>
      </c>
      <c r="C476" t="s">
        <v>675</v>
      </c>
    </row>
    <row r="477" spans="2:3" x14ac:dyDescent="0.35">
      <c r="B477">
        <v>24024</v>
      </c>
      <c r="C477" t="s">
        <v>676</v>
      </c>
    </row>
    <row r="478" spans="2:3" x14ac:dyDescent="0.35">
      <c r="B478">
        <v>24026</v>
      </c>
      <c r="C478" t="s">
        <v>677</v>
      </c>
    </row>
    <row r="479" spans="2:3" x14ac:dyDescent="0.35">
      <c r="B479">
        <v>24028</v>
      </c>
      <c r="C479" t="s">
        <v>678</v>
      </c>
    </row>
    <row r="480" spans="2:3" x14ac:dyDescent="0.35">
      <c r="B480">
        <v>24039</v>
      </c>
      <c r="C480" t="s">
        <v>679</v>
      </c>
    </row>
    <row r="481" spans="2:3" x14ac:dyDescent="0.35">
      <c r="B481">
        <v>24041</v>
      </c>
      <c r="C481" t="s">
        <v>680</v>
      </c>
    </row>
    <row r="482" spans="2:3" x14ac:dyDescent="0.35">
      <c r="B482">
        <v>24042</v>
      </c>
      <c r="C482" t="s">
        <v>681</v>
      </c>
    </row>
    <row r="483" spans="2:3" x14ac:dyDescent="0.35">
      <c r="B483">
        <v>24043</v>
      </c>
      <c r="C483" t="s">
        <v>682</v>
      </c>
    </row>
    <row r="484" spans="2:3" x14ac:dyDescent="0.35">
      <c r="B484">
        <v>24044</v>
      </c>
      <c r="C484" t="s">
        <v>683</v>
      </c>
    </row>
    <row r="485" spans="2:3" x14ac:dyDescent="0.35">
      <c r="B485">
        <v>24046</v>
      </c>
      <c r="C485" t="s">
        <v>684</v>
      </c>
    </row>
    <row r="486" spans="2:3" x14ac:dyDescent="0.35">
      <c r="B486">
        <v>24047</v>
      </c>
      <c r="C486" t="s">
        <v>685</v>
      </c>
    </row>
    <row r="487" spans="2:3" x14ac:dyDescent="0.35">
      <c r="B487">
        <v>24048</v>
      </c>
      <c r="C487" t="s">
        <v>686</v>
      </c>
    </row>
    <row r="488" spans="2:3" x14ac:dyDescent="0.35">
      <c r="B488">
        <v>24049</v>
      </c>
      <c r="C488" t="s">
        <v>687</v>
      </c>
    </row>
    <row r="489" spans="2:3" x14ac:dyDescent="0.35">
      <c r="B489">
        <v>24050</v>
      </c>
      <c r="C489" t="s">
        <v>688</v>
      </c>
    </row>
    <row r="490" spans="2:3" x14ac:dyDescent="0.35">
      <c r="B490">
        <v>24051</v>
      </c>
      <c r="C490" t="s">
        <v>689</v>
      </c>
    </row>
    <row r="491" spans="2:3" x14ac:dyDescent="0.35">
      <c r="B491">
        <v>24053</v>
      </c>
      <c r="C491" t="s">
        <v>690</v>
      </c>
    </row>
    <row r="492" spans="2:3" x14ac:dyDescent="0.35">
      <c r="B492">
        <v>24054</v>
      </c>
      <c r="C492" t="s">
        <v>691</v>
      </c>
    </row>
    <row r="493" spans="2:3" x14ac:dyDescent="0.35">
      <c r="B493">
        <v>24056</v>
      </c>
      <c r="C493" t="s">
        <v>692</v>
      </c>
    </row>
    <row r="494" spans="2:3" x14ac:dyDescent="0.35">
      <c r="B494">
        <v>24057</v>
      </c>
      <c r="C494" t="s">
        <v>693</v>
      </c>
    </row>
    <row r="495" spans="2:3" x14ac:dyDescent="0.35">
      <c r="B495">
        <v>24058</v>
      </c>
      <c r="C495" t="s">
        <v>694</v>
      </c>
    </row>
    <row r="496" spans="2:3" x14ac:dyDescent="0.35">
      <c r="B496">
        <v>24059</v>
      </c>
      <c r="C496" t="s">
        <v>695</v>
      </c>
    </row>
    <row r="497" spans="2:3" x14ac:dyDescent="0.35">
      <c r="B497">
        <v>24060</v>
      </c>
      <c r="C497" t="s">
        <v>696</v>
      </c>
    </row>
    <row r="498" spans="2:3" x14ac:dyDescent="0.35">
      <c r="B498">
        <v>24062</v>
      </c>
      <c r="C498" t="s">
        <v>697</v>
      </c>
    </row>
    <row r="499" spans="2:3" x14ac:dyDescent="0.35">
      <c r="B499">
        <v>24063</v>
      </c>
      <c r="C499" t="s">
        <v>698</v>
      </c>
    </row>
    <row r="500" spans="2:3" x14ac:dyDescent="0.35">
      <c r="B500">
        <v>24065</v>
      </c>
      <c r="C500" t="s">
        <v>699</v>
      </c>
    </row>
    <row r="501" spans="2:3" x14ac:dyDescent="0.35">
      <c r="B501">
        <v>24077</v>
      </c>
      <c r="C501" t="s">
        <v>700</v>
      </c>
    </row>
    <row r="502" spans="2:3" x14ac:dyDescent="0.35">
      <c r="B502">
        <v>24078</v>
      </c>
      <c r="C502" t="s">
        <v>701</v>
      </c>
    </row>
    <row r="503" spans="2:3" x14ac:dyDescent="0.35">
      <c r="B503">
        <v>24079</v>
      </c>
      <c r="C503" t="s">
        <v>702</v>
      </c>
    </row>
    <row r="504" spans="2:3" x14ac:dyDescent="0.35">
      <c r="B504">
        <v>24080</v>
      </c>
      <c r="C504" t="s">
        <v>703</v>
      </c>
    </row>
    <row r="505" spans="2:3" x14ac:dyDescent="0.35">
      <c r="B505">
        <v>24084</v>
      </c>
      <c r="C505" t="s">
        <v>704</v>
      </c>
    </row>
    <row r="506" spans="2:3" x14ac:dyDescent="0.35">
      <c r="B506">
        <v>24094</v>
      </c>
      <c r="C506" t="s">
        <v>705</v>
      </c>
    </row>
    <row r="507" spans="2:3" x14ac:dyDescent="0.35">
      <c r="B507">
        <v>24095</v>
      </c>
      <c r="C507" t="s">
        <v>706</v>
      </c>
    </row>
    <row r="508" spans="2:3" x14ac:dyDescent="0.35">
      <c r="B508">
        <v>24096</v>
      </c>
      <c r="C508" t="s">
        <v>707</v>
      </c>
    </row>
    <row r="509" spans="2:3" x14ac:dyDescent="0.35">
      <c r="B509">
        <v>24097</v>
      </c>
      <c r="C509" t="s">
        <v>708</v>
      </c>
    </row>
    <row r="510" spans="2:3" x14ac:dyDescent="0.35">
      <c r="B510">
        <v>24098</v>
      </c>
      <c r="C510" t="s">
        <v>709</v>
      </c>
    </row>
    <row r="511" spans="2:3" x14ac:dyDescent="0.35">
      <c r="B511">
        <v>24099</v>
      </c>
      <c r="C511" t="s">
        <v>710</v>
      </c>
    </row>
    <row r="512" spans="2:3" x14ac:dyDescent="0.35">
      <c r="B512">
        <v>24100</v>
      </c>
      <c r="C512" t="s">
        <v>711</v>
      </c>
    </row>
    <row r="513" spans="2:3" x14ac:dyDescent="0.35">
      <c r="B513">
        <v>24101</v>
      </c>
      <c r="C513" t="s">
        <v>712</v>
      </c>
    </row>
    <row r="514" spans="2:3" x14ac:dyDescent="0.35">
      <c r="B514">
        <v>24102</v>
      </c>
      <c r="C514" t="s">
        <v>713</v>
      </c>
    </row>
    <row r="515" spans="2:3" x14ac:dyDescent="0.35">
      <c r="B515">
        <v>24103</v>
      </c>
      <c r="C515" t="s">
        <v>714</v>
      </c>
    </row>
    <row r="516" spans="2:3" x14ac:dyDescent="0.35">
      <c r="B516">
        <v>24104</v>
      </c>
      <c r="C516" t="s">
        <v>715</v>
      </c>
    </row>
    <row r="517" spans="2:3" x14ac:dyDescent="0.35">
      <c r="B517">
        <v>24105</v>
      </c>
      <c r="C517" t="s">
        <v>716</v>
      </c>
    </row>
    <row r="518" spans="2:3" x14ac:dyDescent="0.35">
      <c r="B518">
        <v>24106</v>
      </c>
      <c r="C518" t="s">
        <v>717</v>
      </c>
    </row>
    <row r="519" spans="2:3" x14ac:dyDescent="0.35">
      <c r="B519">
        <v>24107</v>
      </c>
      <c r="C519" t="s">
        <v>718</v>
      </c>
    </row>
    <row r="520" spans="2:3" x14ac:dyDescent="0.35">
      <c r="B520">
        <v>24108</v>
      </c>
      <c r="C520" t="s">
        <v>719</v>
      </c>
    </row>
    <row r="521" spans="2:3" x14ac:dyDescent="0.35">
      <c r="B521">
        <v>24109</v>
      </c>
      <c r="C521" t="s">
        <v>720</v>
      </c>
    </row>
    <row r="522" spans="2:3" x14ac:dyDescent="0.35">
      <c r="B522">
        <v>24110</v>
      </c>
      <c r="C522" t="s">
        <v>721</v>
      </c>
    </row>
    <row r="523" spans="2:3" x14ac:dyDescent="0.35">
      <c r="B523">
        <v>24111</v>
      </c>
      <c r="C523" t="s">
        <v>722</v>
      </c>
    </row>
    <row r="524" spans="2:3" x14ac:dyDescent="0.35">
      <c r="B524">
        <v>24112</v>
      </c>
      <c r="C524" t="s">
        <v>723</v>
      </c>
    </row>
    <row r="525" spans="2:3" x14ac:dyDescent="0.35">
      <c r="B525">
        <v>24113</v>
      </c>
      <c r="C525" t="s">
        <v>724</v>
      </c>
    </row>
    <row r="526" spans="2:3" x14ac:dyDescent="0.35">
      <c r="B526">
        <v>24114</v>
      </c>
      <c r="C526" t="s">
        <v>725</v>
      </c>
    </row>
    <row r="527" spans="2:3" x14ac:dyDescent="0.35">
      <c r="B527">
        <v>24115</v>
      </c>
      <c r="C527" t="s">
        <v>726</v>
      </c>
    </row>
    <row r="528" spans="2:3" x14ac:dyDescent="0.35">
      <c r="B528">
        <v>24116</v>
      </c>
      <c r="C528" t="s">
        <v>727</v>
      </c>
    </row>
    <row r="529" spans="2:3" x14ac:dyDescent="0.35">
      <c r="B529">
        <v>24117</v>
      </c>
      <c r="C529" t="s">
        <v>728</v>
      </c>
    </row>
    <row r="530" spans="2:3" x14ac:dyDescent="0.35">
      <c r="B530">
        <v>24118</v>
      </c>
      <c r="C530" t="s">
        <v>729</v>
      </c>
    </row>
    <row r="531" spans="2:3" x14ac:dyDescent="0.35">
      <c r="B531">
        <v>24119</v>
      </c>
      <c r="C531" t="s">
        <v>730</v>
      </c>
    </row>
    <row r="532" spans="2:3" x14ac:dyDescent="0.35">
      <c r="B532">
        <v>24120</v>
      </c>
      <c r="C532" t="s">
        <v>731</v>
      </c>
    </row>
    <row r="533" spans="2:3" x14ac:dyDescent="0.35">
      <c r="B533">
        <v>24121</v>
      </c>
      <c r="C533" t="s">
        <v>732</v>
      </c>
    </row>
    <row r="534" spans="2:3" x14ac:dyDescent="0.35">
      <c r="B534">
        <v>24122</v>
      </c>
      <c r="C534" t="s">
        <v>733</v>
      </c>
    </row>
    <row r="535" spans="2:3" x14ac:dyDescent="0.35">
      <c r="B535">
        <v>24123</v>
      </c>
      <c r="C535" t="s">
        <v>734</v>
      </c>
    </row>
    <row r="536" spans="2:3" x14ac:dyDescent="0.35">
      <c r="B536">
        <v>24124</v>
      </c>
      <c r="C536" t="s">
        <v>735</v>
      </c>
    </row>
    <row r="537" spans="2:3" x14ac:dyDescent="0.35">
      <c r="B537">
        <v>24125</v>
      </c>
      <c r="C537" t="s">
        <v>736</v>
      </c>
    </row>
    <row r="538" spans="2:3" x14ac:dyDescent="0.35">
      <c r="B538">
        <v>24126</v>
      </c>
      <c r="C538" t="s">
        <v>737</v>
      </c>
    </row>
    <row r="539" spans="2:3" x14ac:dyDescent="0.35">
      <c r="B539">
        <v>24127</v>
      </c>
      <c r="C539" t="s">
        <v>738</v>
      </c>
    </row>
    <row r="540" spans="2:3" x14ac:dyDescent="0.35">
      <c r="B540">
        <v>24128</v>
      </c>
      <c r="C540" t="s">
        <v>739</v>
      </c>
    </row>
    <row r="541" spans="2:3" x14ac:dyDescent="0.35">
      <c r="B541">
        <v>24129</v>
      </c>
      <c r="C541" t="s">
        <v>740</v>
      </c>
    </row>
    <row r="542" spans="2:3" x14ac:dyDescent="0.35">
      <c r="B542">
        <v>24130</v>
      </c>
      <c r="C542" t="s">
        <v>741</v>
      </c>
    </row>
    <row r="543" spans="2:3" x14ac:dyDescent="0.35">
      <c r="B543">
        <v>24131</v>
      </c>
      <c r="C543" t="s">
        <v>742</v>
      </c>
    </row>
    <row r="544" spans="2:3" x14ac:dyDescent="0.35">
      <c r="B544">
        <v>24132</v>
      </c>
      <c r="C544" t="s">
        <v>743</v>
      </c>
    </row>
    <row r="545" spans="2:3" x14ac:dyDescent="0.35">
      <c r="B545">
        <v>24133</v>
      </c>
      <c r="C545" t="s">
        <v>744</v>
      </c>
    </row>
    <row r="546" spans="2:3" x14ac:dyDescent="0.35">
      <c r="B546">
        <v>24134</v>
      </c>
      <c r="C546" t="s">
        <v>745</v>
      </c>
    </row>
    <row r="547" spans="2:3" x14ac:dyDescent="0.35">
      <c r="B547">
        <v>24135</v>
      </c>
      <c r="C547" t="s">
        <v>746</v>
      </c>
    </row>
    <row r="548" spans="2:3" x14ac:dyDescent="0.35">
      <c r="B548">
        <v>24136</v>
      </c>
      <c r="C548" t="s">
        <v>747</v>
      </c>
    </row>
    <row r="549" spans="2:3" x14ac:dyDescent="0.35">
      <c r="B549">
        <v>24137</v>
      </c>
      <c r="C549" t="s">
        <v>748</v>
      </c>
    </row>
    <row r="550" spans="2:3" x14ac:dyDescent="0.35">
      <c r="B550">
        <v>24138</v>
      </c>
      <c r="C550" t="s">
        <v>749</v>
      </c>
    </row>
    <row r="551" spans="2:3" x14ac:dyDescent="0.35">
      <c r="B551">
        <v>24139</v>
      </c>
      <c r="C551" t="s">
        <v>750</v>
      </c>
    </row>
    <row r="552" spans="2:3" x14ac:dyDescent="0.35">
      <c r="B552">
        <v>24147</v>
      </c>
      <c r="C552" t="s">
        <v>751</v>
      </c>
    </row>
    <row r="553" spans="2:3" x14ac:dyDescent="0.35">
      <c r="B553">
        <v>24167</v>
      </c>
      <c r="C553" t="s">
        <v>787</v>
      </c>
    </row>
    <row r="554" spans="2:3" x14ac:dyDescent="0.35">
      <c r="B554">
        <v>24225</v>
      </c>
      <c r="C554" t="s">
        <v>752</v>
      </c>
    </row>
    <row r="555" spans="2:3" x14ac:dyDescent="0.35">
      <c r="B555">
        <v>24226</v>
      </c>
      <c r="C555" t="s">
        <v>753</v>
      </c>
    </row>
    <row r="556" spans="2:3" x14ac:dyDescent="0.35">
      <c r="B556">
        <v>24227</v>
      </c>
      <c r="C556" t="s">
        <v>754</v>
      </c>
    </row>
    <row r="557" spans="2:3" x14ac:dyDescent="0.35">
      <c r="B557">
        <v>24228</v>
      </c>
      <c r="C557" t="s">
        <v>755</v>
      </c>
    </row>
    <row r="558" spans="2:3" x14ac:dyDescent="0.35">
      <c r="B558">
        <v>24229</v>
      </c>
      <c r="C558" t="s">
        <v>756</v>
      </c>
    </row>
    <row r="559" spans="2:3" x14ac:dyDescent="0.35">
      <c r="B559">
        <v>24230</v>
      </c>
      <c r="C559" t="s">
        <v>757</v>
      </c>
    </row>
    <row r="560" spans="2:3" x14ac:dyDescent="0.35">
      <c r="B560">
        <v>24231</v>
      </c>
      <c r="C560" t="s">
        <v>758</v>
      </c>
    </row>
    <row r="561" spans="2:3" x14ac:dyDescent="0.35">
      <c r="B561">
        <v>24232</v>
      </c>
      <c r="C561" t="s">
        <v>759</v>
      </c>
    </row>
    <row r="562" spans="2:3" x14ac:dyDescent="0.35">
      <c r="B562">
        <v>24233</v>
      </c>
      <c r="C562" t="s">
        <v>760</v>
      </c>
    </row>
    <row r="563" spans="2:3" x14ac:dyDescent="0.35">
      <c r="B563">
        <v>24234</v>
      </c>
      <c r="C563" t="s">
        <v>761</v>
      </c>
    </row>
    <row r="564" spans="2:3" x14ac:dyDescent="0.35">
      <c r="B564">
        <v>24235</v>
      </c>
      <c r="C564" t="s">
        <v>762</v>
      </c>
    </row>
    <row r="565" spans="2:3" x14ac:dyDescent="0.35">
      <c r="B565">
        <v>24236</v>
      </c>
      <c r="C565" t="s">
        <v>763</v>
      </c>
    </row>
    <row r="566" spans="2:3" x14ac:dyDescent="0.35">
      <c r="B566">
        <v>24237</v>
      </c>
      <c r="C566" t="s">
        <v>764</v>
      </c>
    </row>
    <row r="567" spans="2:3" x14ac:dyDescent="0.35">
      <c r="B567">
        <v>24238</v>
      </c>
      <c r="C567" t="s">
        <v>765</v>
      </c>
    </row>
    <row r="568" spans="2:3" x14ac:dyDescent="0.35">
      <c r="B568">
        <v>24239</v>
      </c>
      <c r="C568" t="s">
        <v>766</v>
      </c>
    </row>
    <row r="569" spans="2:3" x14ac:dyDescent="0.35">
      <c r="B569">
        <v>24240</v>
      </c>
      <c r="C569" t="s">
        <v>767</v>
      </c>
    </row>
    <row r="570" spans="2:3" x14ac:dyDescent="0.35">
      <c r="B570">
        <v>24241</v>
      </c>
      <c r="C570" t="s">
        <v>768</v>
      </c>
    </row>
    <row r="571" spans="2:3" x14ac:dyDescent="0.35">
      <c r="B571">
        <v>24242</v>
      </c>
      <c r="C571" t="s">
        <v>769</v>
      </c>
    </row>
    <row r="572" spans="2:3" x14ac:dyDescent="0.35">
      <c r="B572">
        <v>24243</v>
      </c>
      <c r="C572" t="s">
        <v>770</v>
      </c>
    </row>
    <row r="573" spans="2:3" x14ac:dyDescent="0.35">
      <c r="B573">
        <v>24244</v>
      </c>
      <c r="C573" t="s">
        <v>810</v>
      </c>
    </row>
    <row r="574" spans="2:3" x14ac:dyDescent="0.35">
      <c r="B574">
        <v>24245</v>
      </c>
      <c r="C574" t="s">
        <v>771</v>
      </c>
    </row>
    <row r="575" spans="2:3" x14ac:dyDescent="0.35">
      <c r="B575">
        <v>24246</v>
      </c>
      <c r="C575" t="s">
        <v>772</v>
      </c>
    </row>
    <row r="576" spans="2:3" x14ac:dyDescent="0.35">
      <c r="B576">
        <v>24247</v>
      </c>
      <c r="C576" t="s">
        <v>773</v>
      </c>
    </row>
    <row r="577" spans="2:3" x14ac:dyDescent="0.35">
      <c r="B577">
        <v>24248</v>
      </c>
      <c r="C577" t="s">
        <v>811</v>
      </c>
    </row>
    <row r="578" spans="2:3" x14ac:dyDescent="0.35">
      <c r="B578">
        <v>24249</v>
      </c>
      <c r="C578" t="s">
        <v>774</v>
      </c>
    </row>
    <row r="579" spans="2:3" x14ac:dyDescent="0.35">
      <c r="B579">
        <v>24250</v>
      </c>
      <c r="C579" t="s">
        <v>775</v>
      </c>
    </row>
    <row r="580" spans="2:3" x14ac:dyDescent="0.35">
      <c r="B580">
        <v>24251</v>
      </c>
      <c r="C580" t="s">
        <v>776</v>
      </c>
    </row>
    <row r="581" spans="2:3" x14ac:dyDescent="0.35">
      <c r="B581">
        <v>24252</v>
      </c>
      <c r="C581" t="s">
        <v>777</v>
      </c>
    </row>
    <row r="582" spans="2:3" x14ac:dyDescent="0.35">
      <c r="B582">
        <v>24253</v>
      </c>
      <c r="C582" t="s">
        <v>779</v>
      </c>
    </row>
    <row r="583" spans="2:3" x14ac:dyDescent="0.35">
      <c r="B583">
        <v>24254</v>
      </c>
      <c r="C583" t="s">
        <v>778</v>
      </c>
    </row>
    <row r="584" spans="2:3" x14ac:dyDescent="0.35">
      <c r="B584">
        <v>24255</v>
      </c>
      <c r="C584" t="s">
        <v>780</v>
      </c>
    </row>
    <row r="585" spans="2:3" x14ac:dyDescent="0.35">
      <c r="B585">
        <v>24256</v>
      </c>
      <c r="C585" t="s">
        <v>812</v>
      </c>
    </row>
    <row r="586" spans="2:3" x14ac:dyDescent="0.35">
      <c r="B586">
        <v>24257</v>
      </c>
      <c r="C586" t="s">
        <v>781</v>
      </c>
    </row>
    <row r="587" spans="2:3" x14ac:dyDescent="0.35">
      <c r="B587">
        <v>24258</v>
      </c>
      <c r="C587" t="s">
        <v>782</v>
      </c>
    </row>
    <row r="588" spans="2:3" x14ac:dyDescent="0.35">
      <c r="B588">
        <v>24259</v>
      </c>
      <c r="C588" t="s">
        <v>783</v>
      </c>
    </row>
    <row r="589" spans="2:3" x14ac:dyDescent="0.35">
      <c r="B589">
        <v>24260</v>
      </c>
      <c r="C589" t="s">
        <v>784</v>
      </c>
    </row>
    <row r="590" spans="2:3" x14ac:dyDescent="0.35">
      <c r="B590">
        <v>24261</v>
      </c>
      <c r="C590" t="s">
        <v>785</v>
      </c>
    </row>
    <row r="591" spans="2:3" x14ac:dyDescent="0.35">
      <c r="B591">
        <v>999999</v>
      </c>
      <c r="C591" t="s">
        <v>788</v>
      </c>
    </row>
  </sheetData>
  <phoneticPr fontId="26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D4654-8C88-47F9-A689-9FCE6B718DA6}">
  <sheetPr codeName="Sheet3">
    <pageSetUpPr fitToPage="1"/>
  </sheetPr>
  <dimension ref="A1:AB700"/>
  <sheetViews>
    <sheetView showGridLines="0" tabSelected="1" showOutlineSymbols="0" zoomScale="75" workbookViewId="0">
      <selection activeCell="F7" sqref="F7"/>
    </sheetView>
  </sheetViews>
  <sheetFormatPr defaultRowHeight="12.75" x14ac:dyDescent="0.35"/>
  <cols>
    <col min="1" max="1" width="7" customWidth="1"/>
    <col min="2" max="2" width="27.1328125" bestFit="1" customWidth="1"/>
    <col min="3" max="3" width="10.86328125" bestFit="1" customWidth="1"/>
    <col min="4" max="4" width="20.86328125" bestFit="1" customWidth="1"/>
    <col min="5" max="5" width="17.1328125" bestFit="1" customWidth="1"/>
    <col min="6" max="6" width="20.1328125" bestFit="1" customWidth="1"/>
    <col min="7" max="7" width="15" bestFit="1" customWidth="1"/>
    <col min="8" max="13" width="7.73046875" customWidth="1"/>
    <col min="14" max="14" width="7.86328125" customWidth="1"/>
    <col min="15" max="18" width="7.73046875" hidden="1" customWidth="1"/>
    <col min="19" max="19" width="3.59765625" hidden="1" customWidth="1"/>
    <col min="20" max="20" width="6" hidden="1" customWidth="1"/>
    <col min="21" max="21" width="6.265625" hidden="1" customWidth="1"/>
    <col min="22" max="22" width="6.73046875" hidden="1" customWidth="1"/>
    <col min="23" max="23" width="9.1328125" hidden="1" customWidth="1"/>
  </cols>
  <sheetData>
    <row r="1" spans="1:28" ht="0.75" customHeight="1" thickBot="1" x14ac:dyDescent="0.4"/>
    <row r="2" spans="1:28" ht="26.25" hidden="1" customHeight="1" thickBot="1" x14ac:dyDescent="0.4"/>
    <row r="3" spans="1:28" s="9" customFormat="1" ht="19.899999999999999" x14ac:dyDescent="0.5">
      <c r="A3" s="140"/>
      <c r="B3" s="141"/>
      <c r="C3" s="141"/>
      <c r="D3" s="142" t="s">
        <v>37</v>
      </c>
      <c r="E3" s="143"/>
      <c r="F3" s="143"/>
      <c r="G3" s="143"/>
      <c r="H3" s="143"/>
      <c r="I3" s="144" t="s">
        <v>9</v>
      </c>
      <c r="J3" s="143"/>
      <c r="K3" s="143"/>
      <c r="L3" s="143"/>
      <c r="M3" s="143"/>
      <c r="N3" s="145"/>
      <c r="O3" s="145"/>
      <c r="P3" s="145"/>
      <c r="Q3" s="145"/>
      <c r="R3" s="145"/>
      <c r="S3" s="146"/>
      <c r="T3" s="146"/>
      <c r="U3" s="146"/>
      <c r="V3" s="146"/>
      <c r="W3" s="146"/>
      <c r="X3" s="147"/>
      <c r="Y3"/>
      <c r="Z3"/>
      <c r="AA3"/>
      <c r="AB3"/>
    </row>
    <row r="4" spans="1:28" s="9" customFormat="1" ht="15" x14ac:dyDescent="0.4">
      <c r="A4" s="148"/>
      <c r="B4" s="149"/>
      <c r="C4" s="149"/>
      <c r="D4" s="150" t="s">
        <v>38</v>
      </c>
      <c r="E4" s="26"/>
      <c r="F4" s="26"/>
      <c r="G4" s="26"/>
      <c r="H4" s="151"/>
      <c r="I4" s="104" t="s">
        <v>288</v>
      </c>
      <c r="J4" s="26"/>
      <c r="K4" s="26"/>
      <c r="L4" s="26"/>
      <c r="M4" s="26"/>
      <c r="N4" s="26"/>
      <c r="O4" s="26"/>
      <c r="P4" s="26"/>
      <c r="Q4" s="26"/>
      <c r="R4" s="26"/>
      <c r="X4" s="152"/>
      <c r="Y4"/>
      <c r="Z4"/>
      <c r="AA4"/>
      <c r="AB4"/>
    </row>
    <row r="5" spans="1:28" s="9" customFormat="1" ht="13.15" x14ac:dyDescent="0.4">
      <c r="A5" s="153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X5" s="152"/>
      <c r="Y5"/>
      <c r="Z5"/>
      <c r="AA5"/>
      <c r="AB5"/>
    </row>
    <row r="6" spans="1:28" s="9" customFormat="1" ht="15" x14ac:dyDescent="0.4">
      <c r="A6" s="153"/>
      <c r="B6" s="26"/>
      <c r="C6" s="26"/>
      <c r="D6" s="154"/>
      <c r="E6" s="154"/>
      <c r="F6" s="154"/>
      <c r="G6" s="154"/>
      <c r="H6" s="154"/>
      <c r="I6" s="154" t="s">
        <v>7</v>
      </c>
      <c r="J6" s="154"/>
      <c r="K6" s="154"/>
      <c r="L6" s="154"/>
      <c r="M6" s="154"/>
      <c r="N6" s="26"/>
      <c r="O6" s="26"/>
      <c r="P6" s="26"/>
      <c r="Q6" s="26"/>
      <c r="R6" s="26"/>
      <c r="X6" s="152"/>
      <c r="Y6"/>
      <c r="Z6"/>
      <c r="AA6"/>
      <c r="AB6"/>
    </row>
    <row r="7" spans="1:28" s="9" customFormat="1" ht="15" x14ac:dyDescent="0.4">
      <c r="A7" s="153"/>
      <c r="B7" s="26"/>
      <c r="C7" s="26"/>
      <c r="D7" s="154"/>
      <c r="E7" s="154"/>
      <c r="F7" s="154"/>
      <c r="G7" s="154"/>
      <c r="I7" s="154"/>
      <c r="J7" s="154"/>
      <c r="K7" s="154"/>
      <c r="L7" s="154"/>
      <c r="M7" s="154"/>
      <c r="N7" s="26"/>
      <c r="O7" s="26"/>
      <c r="P7" s="26"/>
      <c r="Q7" s="26"/>
      <c r="R7" s="26"/>
      <c r="X7" s="152"/>
      <c r="Y7"/>
      <c r="Z7"/>
      <c r="AA7"/>
      <c r="AB7"/>
    </row>
    <row r="8" spans="1:28" s="9" customFormat="1" ht="13.15" x14ac:dyDescent="0.4">
      <c r="A8" s="153"/>
      <c r="B8" s="26"/>
      <c r="C8" s="26"/>
      <c r="D8" s="28" t="s">
        <v>59</v>
      </c>
      <c r="E8" s="21"/>
      <c r="G8" s="21"/>
      <c r="H8" s="26"/>
      <c r="I8" s="26"/>
      <c r="J8" s="26"/>
      <c r="K8" s="28" t="s">
        <v>25</v>
      </c>
      <c r="L8" s="26"/>
      <c r="M8" s="87"/>
      <c r="N8" s="22"/>
      <c r="O8" s="26"/>
      <c r="P8" s="26"/>
      <c r="Q8" s="26"/>
      <c r="R8" s="26"/>
      <c r="X8" s="152"/>
      <c r="Y8"/>
      <c r="Z8"/>
      <c r="AA8"/>
      <c r="AB8"/>
    </row>
    <row r="9" spans="1:28" s="9" customFormat="1" ht="13.15" x14ac:dyDescent="0.4">
      <c r="A9" s="153"/>
      <c r="B9" s="26"/>
      <c r="C9" s="26"/>
      <c r="D9" s="75"/>
      <c r="E9" s="28"/>
      <c r="F9" s="26"/>
      <c r="G9" s="24" t="s">
        <v>104</v>
      </c>
      <c r="H9" s="26"/>
      <c r="I9" s="26"/>
      <c r="J9" s="26"/>
      <c r="K9" s="28" t="s">
        <v>26</v>
      </c>
      <c r="L9" s="26"/>
      <c r="M9" s="88"/>
      <c r="N9" s="25"/>
      <c r="O9" s="26"/>
      <c r="P9" s="26"/>
      <c r="Q9" s="26"/>
      <c r="R9" s="26"/>
      <c r="X9" s="152"/>
      <c r="Y9"/>
      <c r="Z9"/>
      <c r="AA9"/>
      <c r="AB9"/>
    </row>
    <row r="10" spans="1:28" s="9" customFormat="1" ht="13.15" x14ac:dyDescent="0.4">
      <c r="A10" s="153"/>
      <c r="B10" s="26"/>
      <c r="C10" s="26"/>
      <c r="D10" s="75"/>
      <c r="E10" s="28"/>
      <c r="F10" s="26"/>
      <c r="G10" s="26"/>
      <c r="H10" s="26"/>
      <c r="I10" s="26"/>
      <c r="J10" s="28"/>
      <c r="K10" s="26"/>
      <c r="L10" s="26"/>
      <c r="M10" s="26"/>
      <c r="N10" s="26"/>
      <c r="O10" s="26"/>
      <c r="P10" s="26"/>
      <c r="Q10" s="26"/>
      <c r="R10" s="26"/>
      <c r="T10" s="155"/>
      <c r="U10" s="155"/>
      <c r="V10" s="155"/>
      <c r="X10" s="152"/>
      <c r="Y10"/>
      <c r="Z10"/>
      <c r="AA10"/>
      <c r="AB10"/>
    </row>
    <row r="11" spans="1:28" s="9" customFormat="1" ht="13.15" x14ac:dyDescent="0.4">
      <c r="A11" s="153"/>
      <c r="B11" s="26"/>
      <c r="C11" s="26"/>
      <c r="D11" s="28" t="s">
        <v>20</v>
      </c>
      <c r="E11" s="27"/>
      <c r="G11" s="28"/>
      <c r="H11" s="26"/>
      <c r="I11" s="26"/>
      <c r="J11" s="26"/>
      <c r="K11" s="28"/>
      <c r="L11" s="26"/>
      <c r="M11" s="28"/>
      <c r="N11" s="156"/>
      <c r="O11" s="156"/>
      <c r="P11" s="156"/>
      <c r="Q11" s="156"/>
      <c r="R11" s="156"/>
      <c r="S11" s="155"/>
      <c r="X11" s="152"/>
      <c r="Y11"/>
      <c r="Z11"/>
      <c r="AA11"/>
      <c r="AB11"/>
    </row>
    <row r="12" spans="1:28" s="9" customFormat="1" ht="13.15" x14ac:dyDescent="0.4">
      <c r="A12" s="157" t="s">
        <v>42</v>
      </c>
      <c r="B12" s="26"/>
      <c r="C12" s="26"/>
      <c r="D12" s="26"/>
      <c r="E12" s="26"/>
      <c r="F12" s="26"/>
      <c r="G12" s="26"/>
      <c r="H12" s="26"/>
      <c r="I12" s="26"/>
      <c r="J12" s="28"/>
      <c r="K12" s="86"/>
      <c r="L12" s="26"/>
      <c r="M12" s="28"/>
      <c r="N12" s="26"/>
      <c r="O12" s="26"/>
      <c r="P12" s="26"/>
      <c r="Q12" s="26"/>
      <c r="R12" s="26"/>
      <c r="T12" s="155"/>
      <c r="X12" s="152"/>
      <c r="Y12"/>
      <c r="Z12"/>
      <c r="AA12"/>
      <c r="AB12"/>
    </row>
    <row r="13" spans="1:28" s="9" customFormat="1" ht="13.5" thickBot="1" x14ac:dyDescent="0.45">
      <c r="A13" s="153"/>
      <c r="B13" s="26"/>
      <c r="C13" s="26"/>
      <c r="D13" s="26"/>
      <c r="E13" s="104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X13" s="152"/>
      <c r="Y13"/>
      <c r="Z13"/>
      <c r="AA13"/>
      <c r="AB13"/>
    </row>
    <row r="14" spans="1:28" s="9" customFormat="1" ht="13.15" x14ac:dyDescent="0.4">
      <c r="A14" s="39"/>
      <c r="B14" s="41" t="s">
        <v>43</v>
      </c>
      <c r="C14" s="41"/>
      <c r="D14" s="40"/>
      <c r="E14" s="41"/>
      <c r="F14" s="41" t="s">
        <v>33</v>
      </c>
      <c r="G14" s="42" t="s">
        <v>31</v>
      </c>
      <c r="H14" s="52" t="s">
        <v>46</v>
      </c>
      <c r="I14" s="43"/>
      <c r="J14" s="44"/>
      <c r="K14" s="43"/>
      <c r="L14" s="43"/>
      <c r="M14" s="43"/>
      <c r="N14" s="45"/>
      <c r="O14" s="26"/>
      <c r="P14" s="26"/>
      <c r="Q14" s="26"/>
      <c r="R14" s="26"/>
      <c r="X14" s="152"/>
      <c r="Y14"/>
      <c r="Z14"/>
      <c r="AA14"/>
      <c r="AB14"/>
    </row>
    <row r="15" spans="1:28" s="9" customFormat="1" ht="13.15" x14ac:dyDescent="0.4">
      <c r="A15" s="46" t="s">
        <v>39</v>
      </c>
      <c r="B15" s="30" t="s">
        <v>44</v>
      </c>
      <c r="C15" s="30" t="s">
        <v>2</v>
      </c>
      <c r="D15" s="30" t="s">
        <v>41</v>
      </c>
      <c r="E15" s="30" t="s">
        <v>40</v>
      </c>
      <c r="F15" s="36" t="s">
        <v>47</v>
      </c>
      <c r="G15" s="37" t="s">
        <v>35</v>
      </c>
      <c r="H15" s="29" t="s">
        <v>2</v>
      </c>
      <c r="I15" s="29" t="s">
        <v>3</v>
      </c>
      <c r="J15" s="29" t="s">
        <v>28</v>
      </c>
      <c r="K15" s="29" t="s">
        <v>4</v>
      </c>
      <c r="L15" s="29" t="s">
        <v>29</v>
      </c>
      <c r="M15" s="29" t="s">
        <v>5</v>
      </c>
      <c r="N15" s="47" t="s">
        <v>30</v>
      </c>
      <c r="O15" s="104"/>
      <c r="P15" s="104"/>
      <c r="Q15" s="104"/>
      <c r="R15" s="104"/>
      <c r="X15" s="152"/>
      <c r="Y15"/>
      <c r="Z15"/>
      <c r="AA15"/>
      <c r="AB15"/>
    </row>
    <row r="16" spans="1:28" s="9" customFormat="1" ht="13.5" thickBot="1" x14ac:dyDescent="0.45">
      <c r="A16" s="48"/>
      <c r="B16" s="31"/>
      <c r="C16" s="32" t="s">
        <v>105</v>
      </c>
      <c r="D16" s="31"/>
      <c r="E16" s="31"/>
      <c r="F16" s="38" t="s">
        <v>48</v>
      </c>
      <c r="G16" s="51" t="s">
        <v>36</v>
      </c>
      <c r="H16" s="31"/>
      <c r="I16" s="31"/>
      <c r="J16" s="31"/>
      <c r="K16" s="31"/>
      <c r="L16" s="32"/>
      <c r="M16" s="32"/>
      <c r="N16" s="49"/>
      <c r="O16" s="104"/>
      <c r="P16" s="104"/>
      <c r="Q16" s="104"/>
      <c r="R16" s="104"/>
      <c r="X16" s="152"/>
      <c r="Y16"/>
      <c r="Z16"/>
      <c r="AA16"/>
      <c r="AB16"/>
    </row>
    <row r="17" spans="1:28" s="54" customFormat="1" ht="13.15" x14ac:dyDescent="0.4">
      <c r="A17" s="158">
        <v>1</v>
      </c>
      <c r="B17" s="85" t="str">
        <f t="shared" ref="B17:B24" si="0">IF(D17=0," ",+$E$11)</f>
        <v xml:space="preserve"> </v>
      </c>
      <c r="C17" s="35" t="s">
        <v>106</v>
      </c>
      <c r="D17" s="35"/>
      <c r="E17" s="85" t="str">
        <f>IF(ISERROR(VLOOKUP(D17,$C$80:$D$700,2)),"",VLOOKUP(D17,$C$80:$D$700,2))</f>
        <v/>
      </c>
      <c r="F17" s="61"/>
      <c r="G17" s="62"/>
      <c r="H17" s="58">
        <v>0</v>
      </c>
      <c r="I17" s="58">
        <v>0</v>
      </c>
      <c r="J17" s="58">
        <v>0</v>
      </c>
      <c r="K17" s="58">
        <v>0</v>
      </c>
      <c r="L17" s="58">
        <v>0</v>
      </c>
      <c r="M17" s="58">
        <v>0</v>
      </c>
      <c r="N17" s="58">
        <v>0</v>
      </c>
      <c r="O17" s="53">
        <f>+$E$8</f>
        <v>0</v>
      </c>
      <c r="P17" s="53">
        <f>+$G$8</f>
        <v>0</v>
      </c>
      <c r="Q17" s="105">
        <f>+$M$8</f>
        <v>0</v>
      </c>
      <c r="R17" s="106">
        <f>+$M$9</f>
        <v>0</v>
      </c>
      <c r="S17" s="159">
        <f t="shared" ref="S17:S24" si="1">IF(AND(OR(H17=0,H17=1),OR(I17=0,I17=1),OR(J17=0,J17=1),OR(K17=0,K17=1),OR(L17=0,L17=1),OR(N17=0,N17=1),OR(M17=0,M17=1)),0,1)</f>
        <v>0</v>
      </c>
      <c r="T17" s="159">
        <f t="shared" ref="T17:T24" si="2">IF(L17+N17&gt;0,1,0)</f>
        <v>0</v>
      </c>
      <c r="U17" s="60">
        <f t="shared" ref="U17:U24" si="3">IF(SUM(H17:N17)&gt;1,1,0)</f>
        <v>0</v>
      </c>
      <c r="V17" s="60">
        <f t="shared" ref="V17:V24" si="4">IF(AND(G17&gt;0,SUM(H17:N17)=0),1,0)</f>
        <v>0</v>
      </c>
      <c r="W17" s="159">
        <f t="shared" ref="W17:W24" si="5">IF(H17&gt;0,1,0)</f>
        <v>0</v>
      </c>
      <c r="X17" s="152"/>
      <c r="Y17"/>
      <c r="Z17"/>
      <c r="AA17"/>
      <c r="AB17"/>
    </row>
    <row r="18" spans="1:28" s="54" customFormat="1" ht="13.15" x14ac:dyDescent="0.4">
      <c r="A18" s="158">
        <f>COUNT($A$17:A17)+1</f>
        <v>2</v>
      </c>
      <c r="B18" s="85" t="str">
        <f t="shared" si="0"/>
        <v xml:space="preserve"> </v>
      </c>
      <c r="C18" s="35" t="s">
        <v>106</v>
      </c>
      <c r="D18" s="35"/>
      <c r="E18" s="85" t="str">
        <f t="shared" ref="E18:E24" si="6">IF(ISERROR(VLOOKUP(D18,$C$80:$D$700,2)),"",VLOOKUP(D18,$C$80:$D$700,2))</f>
        <v/>
      </c>
      <c r="F18" s="61"/>
      <c r="G18" s="62"/>
      <c r="H18" s="58">
        <v>0</v>
      </c>
      <c r="I18" s="58">
        <v>0</v>
      </c>
      <c r="J18" s="58">
        <v>0</v>
      </c>
      <c r="K18" s="58">
        <v>0</v>
      </c>
      <c r="L18" s="58">
        <v>0</v>
      </c>
      <c r="M18" s="58">
        <v>0</v>
      </c>
      <c r="N18" s="58">
        <v>0</v>
      </c>
      <c r="O18" s="53">
        <f t="shared" ref="O18:O24" si="7">+$E$8</f>
        <v>0</v>
      </c>
      <c r="P18" s="53">
        <f t="shared" ref="P18:P24" si="8">+$G$8</f>
        <v>0</v>
      </c>
      <c r="Q18" s="105">
        <f t="shared" ref="Q18:Q24" si="9">+$M$8</f>
        <v>0</v>
      </c>
      <c r="R18" s="106">
        <f t="shared" ref="R18:R24" si="10">+$M$9</f>
        <v>0</v>
      </c>
      <c r="S18" s="160">
        <f>IF(AND(OR(H18=0,H18=1),OR(I18=0,I18=1),OR(J18=0,J18=1),OR(K18=0,K18=1),OR(L18=0,L18=1),OR(N18=0,N18=1),OR(M18=0,M18=1)),0,1)</f>
        <v>0</v>
      </c>
      <c r="T18" s="160">
        <f>IF(L18+N18&gt;0,1,0)</f>
        <v>0</v>
      </c>
      <c r="U18" s="9">
        <f>IF(SUM(H18:N18)&gt;1,1,0)</f>
        <v>0</v>
      </c>
      <c r="V18" s="9">
        <f>IF(AND(G18&gt;0,SUM(H18:N18)=0),1,0)</f>
        <v>0</v>
      </c>
      <c r="W18" s="160">
        <f>IF(H18&gt;0,1,0)</f>
        <v>0</v>
      </c>
      <c r="X18" s="152"/>
      <c r="Y18"/>
      <c r="Z18"/>
      <c r="AA18"/>
      <c r="AB18"/>
    </row>
    <row r="19" spans="1:28" s="54" customFormat="1" ht="13.15" x14ac:dyDescent="0.4">
      <c r="A19" s="158">
        <f>COUNT($A$17:A18)+1</f>
        <v>3</v>
      </c>
      <c r="B19" s="85" t="str">
        <f t="shared" si="0"/>
        <v xml:space="preserve"> </v>
      </c>
      <c r="C19" s="35" t="s">
        <v>106</v>
      </c>
      <c r="D19" s="35"/>
      <c r="E19" s="85" t="str">
        <f t="shared" si="6"/>
        <v/>
      </c>
      <c r="F19" s="61"/>
      <c r="G19" s="62"/>
      <c r="H19" s="58">
        <v>0</v>
      </c>
      <c r="I19" s="58">
        <v>0</v>
      </c>
      <c r="J19" s="58">
        <v>0</v>
      </c>
      <c r="K19" s="58">
        <v>0</v>
      </c>
      <c r="L19" s="58">
        <v>0</v>
      </c>
      <c r="M19" s="58">
        <v>0</v>
      </c>
      <c r="N19" s="58">
        <v>0</v>
      </c>
      <c r="O19" s="53">
        <f t="shared" si="7"/>
        <v>0</v>
      </c>
      <c r="P19" s="53">
        <f t="shared" si="8"/>
        <v>0</v>
      </c>
      <c r="Q19" s="105">
        <f t="shared" si="9"/>
        <v>0</v>
      </c>
      <c r="R19" s="106">
        <f t="shared" si="10"/>
        <v>0</v>
      </c>
      <c r="S19" s="160">
        <f>IF(AND(OR(H19=0,H19=1),OR(I19=0,I19=1),OR(J19=0,J19=1),OR(K19=0,K19=1),OR(L19=0,L19=1),OR(N19=0,N19=1),OR(M19=0,M19=1)),0,1)</f>
        <v>0</v>
      </c>
      <c r="T19" s="160">
        <f>IF(L19+N19&gt;0,1,0)</f>
        <v>0</v>
      </c>
      <c r="U19" s="9">
        <f>IF(SUM(H19:N19)&gt;1,1,0)</f>
        <v>0</v>
      </c>
      <c r="V19" s="9">
        <f>IF(AND(G19&gt;0,SUM(H19:N19)=0),1,0)</f>
        <v>0</v>
      </c>
      <c r="W19" s="160">
        <f>IF(H19&gt;0,1,0)</f>
        <v>0</v>
      </c>
      <c r="X19" s="152"/>
      <c r="Y19"/>
      <c r="Z19"/>
      <c r="AA19"/>
      <c r="AB19"/>
    </row>
    <row r="20" spans="1:28" s="54" customFormat="1" ht="13.15" x14ac:dyDescent="0.4">
      <c r="A20" s="158">
        <f>COUNT($A$17:A19)+1</f>
        <v>4</v>
      </c>
      <c r="B20" s="85" t="str">
        <f t="shared" si="0"/>
        <v xml:space="preserve"> </v>
      </c>
      <c r="C20" s="35" t="s">
        <v>106</v>
      </c>
      <c r="D20" s="35"/>
      <c r="E20" s="85" t="str">
        <f t="shared" si="6"/>
        <v/>
      </c>
      <c r="F20" s="61"/>
      <c r="G20" s="62"/>
      <c r="H20" s="58">
        <v>0</v>
      </c>
      <c r="I20" s="58">
        <v>0</v>
      </c>
      <c r="J20" s="58">
        <v>0</v>
      </c>
      <c r="K20" s="58">
        <v>0</v>
      </c>
      <c r="L20" s="58">
        <v>0</v>
      </c>
      <c r="M20" s="58">
        <v>0</v>
      </c>
      <c r="N20" s="58">
        <v>0</v>
      </c>
      <c r="O20" s="53">
        <f t="shared" si="7"/>
        <v>0</v>
      </c>
      <c r="P20" s="53">
        <f t="shared" si="8"/>
        <v>0</v>
      </c>
      <c r="Q20" s="105">
        <f t="shared" si="9"/>
        <v>0</v>
      </c>
      <c r="R20" s="106">
        <f t="shared" si="10"/>
        <v>0</v>
      </c>
      <c r="S20" s="160">
        <f>IF(AND(OR(H20=0,H20=1),OR(I20=0,I20=1),OR(J20=0,J20=1),OR(K20=0,K20=1),OR(L20=0,L20=1),OR(N20=0,N20=1),OR(M20=0,M20=1)),0,1)</f>
        <v>0</v>
      </c>
      <c r="T20" s="160">
        <f>IF(L20+N20&gt;0,1,0)</f>
        <v>0</v>
      </c>
      <c r="U20" s="9">
        <f>IF(SUM(H20:N20)&gt;1,1,0)</f>
        <v>0</v>
      </c>
      <c r="V20" s="9">
        <f>IF(AND(G20&gt;0,SUM(H20:N20)=0),1,0)</f>
        <v>0</v>
      </c>
      <c r="W20" s="160">
        <f>IF(H20&gt;0,1,0)</f>
        <v>0</v>
      </c>
      <c r="X20" s="152"/>
      <c r="Y20"/>
      <c r="Z20"/>
      <c r="AA20"/>
      <c r="AB20"/>
    </row>
    <row r="21" spans="1:28" s="54" customFormat="1" ht="13.15" x14ac:dyDescent="0.4">
      <c r="A21" s="158">
        <f>COUNT($A$17:A20)+1</f>
        <v>5</v>
      </c>
      <c r="B21" s="85" t="str">
        <f t="shared" si="0"/>
        <v xml:space="preserve"> </v>
      </c>
      <c r="C21" s="35" t="s">
        <v>106</v>
      </c>
      <c r="D21" s="35"/>
      <c r="E21" s="85" t="str">
        <f t="shared" si="6"/>
        <v/>
      </c>
      <c r="F21" s="61"/>
      <c r="G21" s="62"/>
      <c r="H21" s="58">
        <v>0</v>
      </c>
      <c r="I21" s="58">
        <v>0</v>
      </c>
      <c r="J21" s="58">
        <v>0</v>
      </c>
      <c r="K21" s="58">
        <v>0</v>
      </c>
      <c r="L21" s="58">
        <v>0</v>
      </c>
      <c r="M21" s="58">
        <v>0</v>
      </c>
      <c r="N21" s="58">
        <v>0</v>
      </c>
      <c r="O21" s="53">
        <f t="shared" si="7"/>
        <v>0</v>
      </c>
      <c r="P21" s="53">
        <f t="shared" si="8"/>
        <v>0</v>
      </c>
      <c r="Q21" s="105">
        <f t="shared" si="9"/>
        <v>0</v>
      </c>
      <c r="R21" s="106">
        <f t="shared" si="10"/>
        <v>0</v>
      </c>
      <c r="S21" s="160">
        <f>IF(AND(OR(H21=0,H21=1),OR(I21=0,I21=1),OR(J21=0,J21=1),OR(K21=0,K21=1),OR(L21=0,L21=1),OR(N21=0,N21=1),OR(M21=0,M21=1)),0,1)</f>
        <v>0</v>
      </c>
      <c r="T21" s="160">
        <f>IF(L21+N21&gt;0,1,0)</f>
        <v>0</v>
      </c>
      <c r="U21" s="9">
        <f>IF(SUM(H21:N21)&gt;1,1,0)</f>
        <v>0</v>
      </c>
      <c r="V21" s="9">
        <f>IF(AND(G21&gt;0,SUM(H21:N21)=0),1,0)</f>
        <v>0</v>
      </c>
      <c r="W21" s="160">
        <f>IF(H21&gt;0,1,0)</f>
        <v>0</v>
      </c>
      <c r="X21" s="152"/>
      <c r="Y21"/>
      <c r="Z21"/>
      <c r="AA21"/>
      <c r="AB21"/>
    </row>
    <row r="22" spans="1:28" s="54" customFormat="1" ht="13.15" x14ac:dyDescent="0.4">
      <c r="A22" s="158">
        <f>COUNT($A$17:A21)+1</f>
        <v>6</v>
      </c>
      <c r="B22" s="85" t="str">
        <f t="shared" si="0"/>
        <v xml:space="preserve"> </v>
      </c>
      <c r="C22" s="35" t="s">
        <v>106</v>
      </c>
      <c r="D22" s="57"/>
      <c r="E22" s="85" t="str">
        <f t="shared" si="6"/>
        <v/>
      </c>
      <c r="F22" s="64"/>
      <c r="G22" s="66"/>
      <c r="H22" s="58">
        <v>0</v>
      </c>
      <c r="I22" s="58">
        <v>0</v>
      </c>
      <c r="J22" s="58">
        <v>0</v>
      </c>
      <c r="K22" s="58">
        <v>0</v>
      </c>
      <c r="L22" s="58">
        <v>0</v>
      </c>
      <c r="M22" s="58">
        <v>0</v>
      </c>
      <c r="N22" s="58">
        <v>0</v>
      </c>
      <c r="O22" s="53">
        <f t="shared" si="7"/>
        <v>0</v>
      </c>
      <c r="P22" s="53">
        <f t="shared" si="8"/>
        <v>0</v>
      </c>
      <c r="Q22" s="105">
        <f t="shared" si="9"/>
        <v>0</v>
      </c>
      <c r="R22" s="106">
        <f t="shared" si="10"/>
        <v>0</v>
      </c>
      <c r="S22" s="160">
        <f t="shared" si="1"/>
        <v>0</v>
      </c>
      <c r="T22" s="160">
        <f t="shared" si="2"/>
        <v>0</v>
      </c>
      <c r="U22" s="9">
        <f t="shared" si="3"/>
        <v>0</v>
      </c>
      <c r="V22" s="9">
        <f t="shared" si="4"/>
        <v>0</v>
      </c>
      <c r="W22" s="160">
        <f t="shared" si="5"/>
        <v>0</v>
      </c>
      <c r="X22" s="152"/>
      <c r="Y22"/>
      <c r="Z22"/>
      <c r="AA22"/>
      <c r="AB22"/>
    </row>
    <row r="23" spans="1:28" s="54" customFormat="1" ht="13.15" x14ac:dyDescent="0.4">
      <c r="A23" s="158">
        <f>COUNT($A$17:A22)+1</f>
        <v>7</v>
      </c>
      <c r="B23" s="85" t="str">
        <f t="shared" si="0"/>
        <v xml:space="preserve"> </v>
      </c>
      <c r="C23" s="35" t="s">
        <v>106</v>
      </c>
      <c r="D23" s="35"/>
      <c r="E23" s="85" t="str">
        <f t="shared" si="6"/>
        <v/>
      </c>
      <c r="F23" s="61"/>
      <c r="G23" s="62"/>
      <c r="H23" s="58">
        <v>0</v>
      </c>
      <c r="I23" s="58">
        <v>0</v>
      </c>
      <c r="J23" s="58">
        <v>0</v>
      </c>
      <c r="K23" s="58">
        <v>0</v>
      </c>
      <c r="L23" s="58">
        <v>0</v>
      </c>
      <c r="M23" s="58">
        <v>0</v>
      </c>
      <c r="N23" s="58">
        <v>0</v>
      </c>
      <c r="O23" s="53">
        <f t="shared" si="7"/>
        <v>0</v>
      </c>
      <c r="P23" s="53">
        <f t="shared" si="8"/>
        <v>0</v>
      </c>
      <c r="Q23" s="105">
        <f t="shared" si="9"/>
        <v>0</v>
      </c>
      <c r="R23" s="106">
        <f t="shared" si="10"/>
        <v>0</v>
      </c>
      <c r="S23" s="160">
        <f t="shared" si="1"/>
        <v>0</v>
      </c>
      <c r="T23" s="160">
        <f t="shared" si="2"/>
        <v>0</v>
      </c>
      <c r="U23" s="9">
        <f t="shared" si="3"/>
        <v>0</v>
      </c>
      <c r="V23" s="9">
        <f t="shared" si="4"/>
        <v>0</v>
      </c>
      <c r="W23" s="160">
        <f t="shared" si="5"/>
        <v>0</v>
      </c>
      <c r="X23" s="152"/>
      <c r="Y23"/>
      <c r="Z23"/>
      <c r="AA23"/>
      <c r="AB23"/>
    </row>
    <row r="24" spans="1:28" s="54" customFormat="1" ht="13.15" x14ac:dyDescent="0.4">
      <c r="A24" s="158">
        <f>COUNT($A$17:A23)+1</f>
        <v>8</v>
      </c>
      <c r="B24" s="85" t="str">
        <f t="shared" si="0"/>
        <v xml:space="preserve"> </v>
      </c>
      <c r="C24" s="103" t="s">
        <v>106</v>
      </c>
      <c r="D24" s="56"/>
      <c r="E24" s="85" t="str">
        <f t="shared" si="6"/>
        <v/>
      </c>
      <c r="F24" s="63"/>
      <c r="G24" s="65"/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53">
        <f t="shared" si="7"/>
        <v>0</v>
      </c>
      <c r="P24" s="53">
        <f t="shared" si="8"/>
        <v>0</v>
      </c>
      <c r="Q24" s="105">
        <f t="shared" si="9"/>
        <v>0</v>
      </c>
      <c r="R24" s="106">
        <f t="shared" si="10"/>
        <v>0</v>
      </c>
      <c r="S24" s="159">
        <f t="shared" si="1"/>
        <v>0</v>
      </c>
      <c r="T24" s="159">
        <f t="shared" si="2"/>
        <v>0</v>
      </c>
      <c r="U24" s="60">
        <f t="shared" si="3"/>
        <v>0</v>
      </c>
      <c r="V24" s="60">
        <f t="shared" si="4"/>
        <v>0</v>
      </c>
      <c r="W24" s="159">
        <f t="shared" si="5"/>
        <v>0</v>
      </c>
      <c r="X24" s="152"/>
      <c r="Y24"/>
      <c r="Z24"/>
      <c r="AA24"/>
      <c r="AB24"/>
    </row>
    <row r="25" spans="1:28" s="54" customFormat="1" ht="15.75" customHeight="1" x14ac:dyDescent="0.4">
      <c r="A25" s="153"/>
      <c r="B25" s="26"/>
      <c r="C25" s="26"/>
      <c r="D25" s="26"/>
      <c r="E25" s="26"/>
      <c r="F25" s="26"/>
      <c r="G25" s="26"/>
      <c r="H25" s="161"/>
      <c r="I25" s="162" t="str">
        <f>IF(T25+S25+U25+V25&gt;0,"WARNING:","")</f>
        <v/>
      </c>
      <c r="J25" s="163" t="str">
        <f>IF(S25&gt;0,"Values above must be 1's or 0's",IF(T25&gt;0,"NE and Ontario are not participating. These must be 0's",IF(U25&gt;0,"Choose one location only",IF(V25&gt;0,"You must select a location",""))))</f>
        <v/>
      </c>
      <c r="K25" s="164"/>
      <c r="L25" s="164"/>
      <c r="M25" s="164"/>
      <c r="N25" s="165"/>
      <c r="O25" s="165"/>
      <c r="P25" s="165"/>
      <c r="Q25" s="165"/>
      <c r="R25" s="165"/>
      <c r="S25" s="9">
        <f>SUM(S17:S24)</f>
        <v>0</v>
      </c>
      <c r="T25" s="9">
        <f>SUM(T17:T24)</f>
        <v>0</v>
      </c>
      <c r="U25" s="9">
        <f>SUM(U17:U24)</f>
        <v>0</v>
      </c>
      <c r="V25" s="9">
        <f>SUM(V17:V24)</f>
        <v>0</v>
      </c>
      <c r="W25" s="9">
        <f>SUM(W17:W24)</f>
        <v>0</v>
      </c>
      <c r="X25" s="152"/>
      <c r="Y25"/>
      <c r="Z25"/>
      <c r="AA25"/>
      <c r="AB25"/>
    </row>
    <row r="26" spans="1:28" s="54" customFormat="1" ht="13.15" x14ac:dyDescent="0.4">
      <c r="A26" s="166" t="s">
        <v>32</v>
      </c>
      <c r="B26" s="26"/>
      <c r="C26" s="26"/>
      <c r="D26" s="26"/>
      <c r="E26" s="26"/>
      <c r="H26" s="26"/>
      <c r="I26" s="26"/>
      <c r="J26" s="186"/>
      <c r="K26" s="186"/>
      <c r="L26" s="186"/>
      <c r="M26" s="186"/>
      <c r="N26" s="186"/>
      <c r="O26" s="186"/>
      <c r="P26" s="186"/>
      <c r="Q26" s="186"/>
      <c r="R26" s="186"/>
      <c r="S26" s="186"/>
      <c r="T26" s="186"/>
      <c r="U26" s="186"/>
      <c r="V26" s="186"/>
      <c r="W26" s="186"/>
      <c r="X26" s="187"/>
      <c r="Y26"/>
      <c r="Z26"/>
      <c r="AA26"/>
      <c r="AB26"/>
    </row>
    <row r="27" spans="1:28" s="54" customFormat="1" ht="22.9" ph="1" x14ac:dyDescent="0.4">
      <c r="A27" s="168" t="s">
        <v>45</v>
      </c>
      <c r="B27" s="26"/>
      <c r="C27" s="26"/>
      <c r="D27" s="26"/>
      <c r="E27" s="26"/>
      <c r="F27" s="54"/>
      <c r="G27" s="54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9"/>
      <c r="T27" s="9"/>
      <c r="U27" s="9"/>
      <c r="V27" s="9"/>
      <c r="W27" s="9"/>
      <c r="X27" s="152"/>
      <c r="Y27"/>
      <c r="Z27"/>
      <c r="AA27"/>
      <c r="AB27"/>
    </row>
    <row r="28" spans="1:28" s="54" customFormat="1" ht="13.15" x14ac:dyDescent="0.4">
      <c r="A28" s="169"/>
      <c r="B28" s="28" t="s">
        <v>73</v>
      </c>
      <c r="C28" s="28"/>
      <c r="D28" s="26"/>
      <c r="E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9"/>
      <c r="T28" s="9"/>
      <c r="U28" s="9"/>
      <c r="V28" s="9"/>
      <c r="W28" s="9"/>
      <c r="X28" s="152"/>
      <c r="Y28"/>
      <c r="Z28"/>
      <c r="AA28"/>
      <c r="AB28"/>
    </row>
    <row r="29" spans="1:28" s="54" customFormat="1" ht="13.15" x14ac:dyDescent="0.4">
      <c r="A29" s="170"/>
      <c r="B29" s="171" t="s">
        <v>75</v>
      </c>
      <c r="C29" s="171"/>
      <c r="D29" s="172"/>
      <c r="E29" s="172"/>
      <c r="H29" s="172"/>
      <c r="I29" s="172"/>
      <c r="J29" s="172"/>
      <c r="K29" s="172"/>
      <c r="L29" s="172"/>
      <c r="M29" s="172"/>
      <c r="N29" s="172"/>
      <c r="O29" s="172"/>
      <c r="P29" s="172"/>
      <c r="Q29" s="172"/>
      <c r="R29" s="172"/>
      <c r="X29" s="152"/>
      <c r="Y29"/>
      <c r="Z29"/>
      <c r="AA29"/>
      <c r="AB29"/>
    </row>
    <row r="30" spans="1:28" s="9" customFormat="1" ht="13.15" x14ac:dyDescent="0.4">
      <c r="A30" s="153"/>
      <c r="B30" s="26"/>
      <c r="C30" s="26"/>
      <c r="O30" s="26"/>
      <c r="P30" s="26"/>
      <c r="Q30" s="26"/>
      <c r="R30" s="26"/>
      <c r="X30" s="152"/>
      <c r="Y30"/>
      <c r="Z30"/>
      <c r="AA30"/>
      <c r="AB30"/>
    </row>
    <row r="31" spans="1:28" s="9" customFormat="1" ht="20.65" customHeight="1" thickBot="1" x14ac:dyDescent="0.45">
      <c r="A31" s="181"/>
      <c r="B31" s="26" t="s">
        <v>49</v>
      </c>
      <c r="C31" s="55"/>
      <c r="D31" s="55"/>
      <c r="E31" s="55"/>
      <c r="I31" s="26"/>
      <c r="J31" s="26" t="s">
        <v>34</v>
      </c>
      <c r="K31" s="26"/>
      <c r="L31" s="22"/>
      <c r="M31" s="22"/>
      <c r="N31" s="22"/>
      <c r="O31" s="26"/>
      <c r="P31" s="26"/>
      <c r="Q31" s="26"/>
      <c r="R31" s="26"/>
      <c r="X31" s="152"/>
      <c r="Y31"/>
      <c r="Z31"/>
      <c r="AA31"/>
      <c r="AB31"/>
    </row>
    <row r="32" spans="1:28" s="9" customFormat="1" ht="13.9" customHeight="1" x14ac:dyDescent="0.4">
      <c r="A32" s="181"/>
      <c r="B32" s="26"/>
      <c r="C32" s="26"/>
      <c r="D32" s="26"/>
      <c r="E32" s="26"/>
      <c r="F32" s="184" t="s">
        <v>786</v>
      </c>
      <c r="G32" s="184"/>
      <c r="H32" s="184"/>
      <c r="I32" s="184"/>
      <c r="J32" s="184"/>
      <c r="K32" s="184"/>
      <c r="L32" s="184"/>
      <c r="M32" s="184"/>
      <c r="N32" s="184"/>
      <c r="O32" s="184"/>
      <c r="P32" s="184"/>
      <c r="Q32" s="184"/>
      <c r="R32" s="184"/>
      <c r="S32" s="184"/>
      <c r="T32" s="184"/>
      <c r="U32" s="184"/>
      <c r="V32" s="184"/>
      <c r="W32" s="184"/>
      <c r="X32" s="185"/>
      <c r="Y32"/>
      <c r="Z32"/>
      <c r="AA32"/>
      <c r="AB32"/>
    </row>
    <row r="33" spans="1:28" s="9" customFormat="1" ht="13.15" x14ac:dyDescent="0.4">
      <c r="A33" s="181"/>
      <c r="B33" s="26" t="s">
        <v>17</v>
      </c>
      <c r="C33" s="22"/>
      <c r="D33" s="22"/>
      <c r="E33" s="22"/>
      <c r="F33" s="188"/>
      <c r="G33" s="188"/>
      <c r="H33" s="188"/>
      <c r="I33" s="188"/>
      <c r="J33" s="188"/>
      <c r="K33" s="188"/>
      <c r="L33" s="188"/>
      <c r="M33" s="188"/>
      <c r="N33" s="188"/>
      <c r="O33" s="188"/>
      <c r="P33" s="188"/>
      <c r="Q33" s="188"/>
      <c r="R33" s="188"/>
      <c r="S33" s="188"/>
      <c r="T33" s="188"/>
      <c r="U33" s="188"/>
      <c r="V33" s="188"/>
      <c r="W33" s="188"/>
      <c r="X33" s="189"/>
      <c r="Y33"/>
      <c r="Z33"/>
      <c r="AA33"/>
      <c r="AB33"/>
    </row>
    <row r="34" spans="1:28" s="9" customFormat="1" ht="13.15" x14ac:dyDescent="0.4">
      <c r="A34" s="181"/>
      <c r="B34" s="26" t="s">
        <v>16</v>
      </c>
      <c r="C34" s="22"/>
      <c r="D34" s="22"/>
      <c r="E34" s="22"/>
      <c r="F34" s="188"/>
      <c r="G34" s="188"/>
      <c r="H34" s="188"/>
      <c r="I34" s="188"/>
      <c r="J34" s="188"/>
      <c r="K34" s="188"/>
      <c r="L34" s="188"/>
      <c r="M34" s="188"/>
      <c r="N34" s="188"/>
      <c r="O34" s="188"/>
      <c r="P34" s="188"/>
      <c r="Q34" s="188"/>
      <c r="R34" s="188"/>
      <c r="S34" s="188"/>
      <c r="T34" s="188"/>
      <c r="U34" s="188"/>
      <c r="V34" s="188"/>
      <c r="W34" s="188"/>
      <c r="X34" s="189"/>
      <c r="Y34"/>
      <c r="Z34"/>
      <c r="AA34"/>
      <c r="AB34"/>
    </row>
    <row r="35" spans="1:28" s="9" customFormat="1" ht="13.15" x14ac:dyDescent="0.4">
      <c r="A35" s="181"/>
      <c r="B35" s="26"/>
      <c r="C35" s="22"/>
      <c r="D35" s="25"/>
      <c r="E35" s="25"/>
      <c r="F35" s="188"/>
      <c r="G35" s="188"/>
      <c r="H35" s="188"/>
      <c r="I35" s="188"/>
      <c r="J35" s="188"/>
      <c r="K35" s="188"/>
      <c r="L35" s="188"/>
      <c r="M35" s="188"/>
      <c r="N35" s="188"/>
      <c r="O35" s="188"/>
      <c r="P35" s="188"/>
      <c r="Q35" s="188"/>
      <c r="R35" s="188"/>
      <c r="S35" s="188"/>
      <c r="T35" s="188"/>
      <c r="U35" s="188"/>
      <c r="V35" s="188"/>
      <c r="W35" s="188"/>
      <c r="X35" s="189"/>
      <c r="Y35"/>
      <c r="Z35"/>
      <c r="AA35"/>
      <c r="AB35"/>
    </row>
    <row r="36" spans="1:28" s="9" customFormat="1" ht="13.15" x14ac:dyDescent="0.4">
      <c r="A36" s="181"/>
      <c r="B36" s="26"/>
      <c r="C36" s="22"/>
      <c r="D36" s="25"/>
      <c r="E36" s="25"/>
      <c r="F36" s="188"/>
      <c r="G36" s="188"/>
      <c r="H36" s="188"/>
      <c r="I36" s="188"/>
      <c r="J36" s="188"/>
      <c r="K36" s="188"/>
      <c r="L36" s="188"/>
      <c r="M36" s="188"/>
      <c r="N36" s="188"/>
      <c r="O36" s="188"/>
      <c r="P36" s="188"/>
      <c r="Q36" s="188"/>
      <c r="R36" s="188"/>
      <c r="S36" s="188"/>
      <c r="T36" s="188"/>
      <c r="U36" s="188"/>
      <c r="V36" s="188"/>
      <c r="W36" s="188"/>
      <c r="X36" s="189"/>
      <c r="Y36"/>
      <c r="Z36"/>
      <c r="AA36"/>
      <c r="AB36"/>
    </row>
    <row r="37" spans="1:28" s="9" customFormat="1" ht="13.15" x14ac:dyDescent="0.4">
      <c r="A37" s="181"/>
      <c r="B37" s="26"/>
      <c r="C37" s="25"/>
      <c r="D37" s="25"/>
      <c r="E37" s="25"/>
      <c r="F37" s="188"/>
      <c r="G37" s="188"/>
      <c r="H37" s="188"/>
      <c r="I37" s="188"/>
      <c r="J37" s="188"/>
      <c r="K37" s="188"/>
      <c r="L37" s="188"/>
      <c r="M37" s="188"/>
      <c r="N37" s="188"/>
      <c r="O37" s="188"/>
      <c r="P37" s="188"/>
      <c r="Q37" s="188"/>
      <c r="R37" s="188"/>
      <c r="S37" s="188"/>
      <c r="T37" s="188"/>
      <c r="U37" s="188"/>
      <c r="V37" s="188"/>
      <c r="W37" s="188"/>
      <c r="X37" s="189"/>
      <c r="Y37"/>
      <c r="Z37"/>
      <c r="AA37"/>
      <c r="AB37"/>
    </row>
    <row r="38" spans="1:28" s="9" customFormat="1" ht="13.15" x14ac:dyDescent="0.4">
      <c r="A38" s="181"/>
      <c r="B38" s="26"/>
      <c r="C38" s="24"/>
      <c r="D38" s="24"/>
      <c r="E38" s="24"/>
      <c r="F38" s="188"/>
      <c r="G38" s="188"/>
      <c r="H38" s="188"/>
      <c r="I38" s="188"/>
      <c r="J38" s="188"/>
      <c r="K38" s="188"/>
      <c r="L38" s="188"/>
      <c r="M38" s="188"/>
      <c r="N38" s="188"/>
      <c r="O38" s="188"/>
      <c r="P38" s="188"/>
      <c r="Q38" s="188"/>
      <c r="R38" s="188"/>
      <c r="S38" s="188"/>
      <c r="T38" s="188"/>
      <c r="U38" s="188"/>
      <c r="V38" s="188"/>
      <c r="W38" s="188"/>
      <c r="X38" s="189"/>
      <c r="Y38"/>
      <c r="Z38"/>
      <c r="AA38"/>
      <c r="AB38"/>
    </row>
    <row r="39" spans="1:28" s="9" customFormat="1" ht="13.15" x14ac:dyDescent="0.4">
      <c r="A39" s="181"/>
      <c r="B39" s="26" t="s">
        <v>813</v>
      </c>
      <c r="C39" s="22"/>
      <c r="D39" s="22"/>
      <c r="E39" s="22"/>
      <c r="F39" s="188"/>
      <c r="G39" s="188"/>
      <c r="H39" s="188"/>
      <c r="I39" s="188"/>
      <c r="J39" s="188"/>
      <c r="K39" s="188"/>
      <c r="L39" s="188"/>
      <c r="M39" s="188"/>
      <c r="N39" s="188"/>
      <c r="O39" s="188"/>
      <c r="P39" s="188"/>
      <c r="Q39" s="188"/>
      <c r="R39" s="188"/>
      <c r="S39" s="188"/>
      <c r="T39" s="188"/>
      <c r="U39" s="188"/>
      <c r="V39" s="188"/>
      <c r="W39" s="188"/>
      <c r="X39" s="189"/>
      <c r="Y39"/>
      <c r="Z39"/>
      <c r="AA39"/>
      <c r="AB39"/>
    </row>
    <row r="40" spans="1:28" ht="13.5" thickBot="1" x14ac:dyDescent="0.45">
      <c r="A40" s="182"/>
      <c r="B40" s="139"/>
      <c r="C40" s="139"/>
      <c r="D40" s="139"/>
      <c r="E40" s="177"/>
      <c r="F40" s="190"/>
      <c r="G40" s="190"/>
      <c r="H40" s="190"/>
      <c r="I40" s="190"/>
      <c r="J40" s="190"/>
      <c r="K40" s="190"/>
      <c r="L40" s="190"/>
      <c r="M40" s="190"/>
      <c r="N40" s="190"/>
      <c r="O40" s="190"/>
      <c r="P40" s="190"/>
      <c r="Q40" s="190"/>
      <c r="R40" s="190"/>
      <c r="S40" s="190"/>
      <c r="T40" s="190"/>
      <c r="U40" s="190"/>
      <c r="V40" s="190"/>
      <c r="W40" s="190"/>
      <c r="X40" s="191"/>
    </row>
    <row r="41" spans="1:28" ht="13.15" x14ac:dyDescent="0.4">
      <c r="A41" s="180"/>
      <c r="B41" s="180"/>
      <c r="C41" s="180"/>
      <c r="D41" s="180"/>
      <c r="E41" s="180"/>
      <c r="F41" s="180"/>
      <c r="G41" s="180"/>
      <c r="H41" s="180"/>
      <c r="I41" s="180"/>
      <c r="J41" s="180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79" spans="1:4" hidden="1" x14ac:dyDescent="0.35">
      <c r="A79" t="s">
        <v>108</v>
      </c>
      <c r="B79" t="s">
        <v>275</v>
      </c>
      <c r="C79" s="183" t="s">
        <v>289</v>
      </c>
      <c r="D79" t="s">
        <v>40</v>
      </c>
    </row>
    <row r="80" spans="1:4" hidden="1" x14ac:dyDescent="0.35">
      <c r="A80" t="s">
        <v>109</v>
      </c>
      <c r="B80" t="s">
        <v>276</v>
      </c>
      <c r="C80">
        <v>1</v>
      </c>
      <c r="D80" t="s">
        <v>808</v>
      </c>
    </row>
    <row r="81" spans="1:4" hidden="1" x14ac:dyDescent="0.35">
      <c r="A81" t="s">
        <v>110</v>
      </c>
      <c r="B81" t="s">
        <v>106</v>
      </c>
      <c r="C81">
        <v>2</v>
      </c>
      <c r="D81" t="s">
        <v>196</v>
      </c>
    </row>
    <row r="82" spans="1:4" hidden="1" x14ac:dyDescent="0.35">
      <c r="A82" t="s">
        <v>111</v>
      </c>
      <c r="C82">
        <v>3</v>
      </c>
      <c r="D82" t="s">
        <v>184</v>
      </c>
    </row>
    <row r="83" spans="1:4" hidden="1" x14ac:dyDescent="0.35">
      <c r="A83" t="s">
        <v>112</v>
      </c>
      <c r="C83">
        <v>4</v>
      </c>
      <c r="D83" t="s">
        <v>797</v>
      </c>
    </row>
    <row r="84" spans="1:4" hidden="1" x14ac:dyDescent="0.35">
      <c r="A84" t="s">
        <v>113</v>
      </c>
      <c r="C84">
        <v>5</v>
      </c>
      <c r="D84" t="s">
        <v>194</v>
      </c>
    </row>
    <row r="85" spans="1:4" hidden="1" x14ac:dyDescent="0.35">
      <c r="A85" t="s">
        <v>114</v>
      </c>
      <c r="C85">
        <v>6</v>
      </c>
      <c r="D85" t="s">
        <v>182</v>
      </c>
    </row>
    <row r="86" spans="1:4" hidden="1" x14ac:dyDescent="0.35">
      <c r="A86" t="s">
        <v>115</v>
      </c>
      <c r="C86">
        <v>7</v>
      </c>
      <c r="D86" t="s">
        <v>795</v>
      </c>
    </row>
    <row r="87" spans="1:4" hidden="1" x14ac:dyDescent="0.35">
      <c r="A87" t="s">
        <v>116</v>
      </c>
      <c r="C87">
        <v>8</v>
      </c>
      <c r="D87" t="s">
        <v>193</v>
      </c>
    </row>
    <row r="88" spans="1:4" hidden="1" x14ac:dyDescent="0.35">
      <c r="A88" t="s">
        <v>117</v>
      </c>
      <c r="C88">
        <v>9</v>
      </c>
      <c r="D88" t="s">
        <v>181</v>
      </c>
    </row>
    <row r="89" spans="1:4" hidden="1" x14ac:dyDescent="0.35">
      <c r="A89" t="s">
        <v>118</v>
      </c>
      <c r="C89">
        <v>10</v>
      </c>
      <c r="D89" t="s">
        <v>794</v>
      </c>
    </row>
    <row r="90" spans="1:4" hidden="1" x14ac:dyDescent="0.35">
      <c r="A90" t="s">
        <v>119</v>
      </c>
      <c r="C90">
        <v>11</v>
      </c>
      <c r="D90" t="s">
        <v>189</v>
      </c>
    </row>
    <row r="91" spans="1:4" hidden="1" x14ac:dyDescent="0.35">
      <c r="A91" t="s">
        <v>120</v>
      </c>
      <c r="C91">
        <v>12</v>
      </c>
      <c r="D91" t="s">
        <v>177</v>
      </c>
    </row>
    <row r="92" spans="1:4" hidden="1" x14ac:dyDescent="0.35">
      <c r="A92" t="s">
        <v>121</v>
      </c>
      <c r="C92">
        <v>13</v>
      </c>
      <c r="D92" t="s">
        <v>790</v>
      </c>
    </row>
    <row r="93" spans="1:4" hidden="1" x14ac:dyDescent="0.35">
      <c r="A93" t="s">
        <v>122</v>
      </c>
      <c r="C93">
        <v>14</v>
      </c>
      <c r="D93" t="s">
        <v>199</v>
      </c>
    </row>
    <row r="94" spans="1:4" hidden="1" x14ac:dyDescent="0.35">
      <c r="A94" t="s">
        <v>123</v>
      </c>
      <c r="C94">
        <v>15</v>
      </c>
      <c r="D94" t="s">
        <v>187</v>
      </c>
    </row>
    <row r="95" spans="1:4" hidden="1" x14ac:dyDescent="0.35">
      <c r="A95" t="s">
        <v>124</v>
      </c>
      <c r="C95">
        <v>16</v>
      </c>
      <c r="D95" t="s">
        <v>800</v>
      </c>
    </row>
    <row r="96" spans="1:4" hidden="1" x14ac:dyDescent="0.35">
      <c r="A96" t="s">
        <v>125</v>
      </c>
      <c r="C96">
        <v>17</v>
      </c>
      <c r="D96" t="s">
        <v>198</v>
      </c>
    </row>
    <row r="97" spans="1:4" hidden="1" x14ac:dyDescent="0.35">
      <c r="A97" t="s">
        <v>126</v>
      </c>
      <c r="C97">
        <v>18</v>
      </c>
      <c r="D97" t="s">
        <v>186</v>
      </c>
    </row>
    <row r="98" spans="1:4" hidden="1" x14ac:dyDescent="0.35">
      <c r="A98" t="s">
        <v>127</v>
      </c>
      <c r="C98">
        <v>19</v>
      </c>
      <c r="D98" t="s">
        <v>799</v>
      </c>
    </row>
    <row r="99" spans="1:4" hidden="1" x14ac:dyDescent="0.35">
      <c r="A99" t="s">
        <v>128</v>
      </c>
      <c r="C99">
        <v>20</v>
      </c>
      <c r="D99" t="s">
        <v>809</v>
      </c>
    </row>
    <row r="100" spans="1:4" hidden="1" x14ac:dyDescent="0.35">
      <c r="A100" t="s">
        <v>129</v>
      </c>
      <c r="C100">
        <v>21</v>
      </c>
      <c r="D100" t="s">
        <v>197</v>
      </c>
    </row>
    <row r="101" spans="1:4" hidden="1" x14ac:dyDescent="0.35">
      <c r="A101" t="s">
        <v>130</v>
      </c>
      <c r="C101">
        <v>22</v>
      </c>
      <c r="D101" t="s">
        <v>185</v>
      </c>
    </row>
    <row r="102" spans="1:4" hidden="1" x14ac:dyDescent="0.35">
      <c r="A102" t="s">
        <v>131</v>
      </c>
      <c r="C102">
        <v>23</v>
      </c>
      <c r="D102" t="s">
        <v>798</v>
      </c>
    </row>
    <row r="103" spans="1:4" hidden="1" x14ac:dyDescent="0.35">
      <c r="A103" t="s">
        <v>132</v>
      </c>
      <c r="C103">
        <v>24</v>
      </c>
      <c r="D103" t="s">
        <v>190</v>
      </c>
    </row>
    <row r="104" spans="1:4" hidden="1" x14ac:dyDescent="0.35">
      <c r="A104" t="s">
        <v>133</v>
      </c>
      <c r="C104">
        <v>25</v>
      </c>
      <c r="D104" t="s">
        <v>178</v>
      </c>
    </row>
    <row r="105" spans="1:4" hidden="1" x14ac:dyDescent="0.35">
      <c r="A105" t="s">
        <v>134</v>
      </c>
      <c r="C105">
        <v>26</v>
      </c>
      <c r="D105" t="s">
        <v>791</v>
      </c>
    </row>
    <row r="106" spans="1:4" hidden="1" x14ac:dyDescent="0.35">
      <c r="A106" t="s">
        <v>135</v>
      </c>
      <c r="C106">
        <v>27</v>
      </c>
      <c r="D106" t="s">
        <v>192</v>
      </c>
    </row>
    <row r="107" spans="1:4" hidden="1" x14ac:dyDescent="0.35">
      <c r="A107" t="s">
        <v>136</v>
      </c>
      <c r="C107">
        <v>28</v>
      </c>
      <c r="D107" t="s">
        <v>180</v>
      </c>
    </row>
    <row r="108" spans="1:4" hidden="1" x14ac:dyDescent="0.35">
      <c r="A108" t="s">
        <v>137</v>
      </c>
      <c r="C108">
        <v>29</v>
      </c>
      <c r="D108" t="s">
        <v>793</v>
      </c>
    </row>
    <row r="109" spans="1:4" hidden="1" x14ac:dyDescent="0.35">
      <c r="A109" t="s">
        <v>138</v>
      </c>
      <c r="C109">
        <v>30</v>
      </c>
      <c r="D109" t="s">
        <v>191</v>
      </c>
    </row>
    <row r="110" spans="1:4" hidden="1" x14ac:dyDescent="0.35">
      <c r="A110" t="s">
        <v>139</v>
      </c>
      <c r="C110">
        <v>31</v>
      </c>
      <c r="D110" t="s">
        <v>179</v>
      </c>
    </row>
    <row r="111" spans="1:4" hidden="1" x14ac:dyDescent="0.35">
      <c r="A111" t="s">
        <v>140</v>
      </c>
      <c r="C111">
        <v>32</v>
      </c>
      <c r="D111" t="s">
        <v>792</v>
      </c>
    </row>
    <row r="112" spans="1:4" hidden="1" x14ac:dyDescent="0.35">
      <c r="A112" t="s">
        <v>141</v>
      </c>
      <c r="C112">
        <v>33</v>
      </c>
      <c r="D112" t="s">
        <v>195</v>
      </c>
    </row>
    <row r="113" spans="1:4" hidden="1" x14ac:dyDescent="0.35">
      <c r="A113" t="s">
        <v>142</v>
      </c>
      <c r="C113">
        <v>34</v>
      </c>
      <c r="D113" t="s">
        <v>183</v>
      </c>
    </row>
    <row r="114" spans="1:4" hidden="1" x14ac:dyDescent="0.35">
      <c r="A114" t="s">
        <v>143</v>
      </c>
      <c r="C114">
        <v>35</v>
      </c>
      <c r="D114" t="s">
        <v>796</v>
      </c>
    </row>
    <row r="115" spans="1:4" hidden="1" x14ac:dyDescent="0.35">
      <c r="A115" t="s">
        <v>144</v>
      </c>
      <c r="C115">
        <v>36</v>
      </c>
      <c r="D115" t="s">
        <v>188</v>
      </c>
    </row>
    <row r="116" spans="1:4" hidden="1" x14ac:dyDescent="0.35">
      <c r="A116" t="s">
        <v>145</v>
      </c>
      <c r="C116">
        <v>37</v>
      </c>
      <c r="D116" t="s">
        <v>176</v>
      </c>
    </row>
    <row r="117" spans="1:4" hidden="1" x14ac:dyDescent="0.35">
      <c r="A117" t="s">
        <v>146</v>
      </c>
      <c r="C117">
        <v>38</v>
      </c>
      <c r="D117" t="s">
        <v>789</v>
      </c>
    </row>
    <row r="118" spans="1:4" hidden="1" x14ac:dyDescent="0.35">
      <c r="A118" t="s">
        <v>147</v>
      </c>
      <c r="C118">
        <v>101</v>
      </c>
      <c r="D118" t="s">
        <v>290</v>
      </c>
    </row>
    <row r="119" spans="1:4" hidden="1" x14ac:dyDescent="0.35">
      <c r="A119" t="s">
        <v>148</v>
      </c>
      <c r="C119">
        <v>102</v>
      </c>
      <c r="D119" t="s">
        <v>291</v>
      </c>
    </row>
    <row r="120" spans="1:4" hidden="1" x14ac:dyDescent="0.35">
      <c r="A120" t="s">
        <v>149</v>
      </c>
      <c r="C120">
        <v>103</v>
      </c>
      <c r="D120" t="s">
        <v>292</v>
      </c>
    </row>
    <row r="121" spans="1:4" hidden="1" x14ac:dyDescent="0.35">
      <c r="A121" t="s">
        <v>150</v>
      </c>
      <c r="C121">
        <v>104</v>
      </c>
      <c r="D121" t="s">
        <v>293</v>
      </c>
    </row>
    <row r="122" spans="1:4" hidden="1" x14ac:dyDescent="0.35">
      <c r="A122" t="s">
        <v>151</v>
      </c>
      <c r="C122">
        <v>105</v>
      </c>
      <c r="D122" t="s">
        <v>294</v>
      </c>
    </row>
    <row r="123" spans="1:4" hidden="1" x14ac:dyDescent="0.35">
      <c r="A123" t="s">
        <v>152</v>
      </c>
      <c r="C123">
        <v>106</v>
      </c>
      <c r="D123" t="s">
        <v>295</v>
      </c>
    </row>
    <row r="124" spans="1:4" hidden="1" x14ac:dyDescent="0.35">
      <c r="A124" t="s">
        <v>153</v>
      </c>
      <c r="C124">
        <v>107</v>
      </c>
      <c r="D124" t="s">
        <v>296</v>
      </c>
    </row>
    <row r="125" spans="1:4" hidden="1" x14ac:dyDescent="0.35">
      <c r="A125" t="s">
        <v>154</v>
      </c>
      <c r="C125">
        <v>108</v>
      </c>
      <c r="D125" t="s">
        <v>297</v>
      </c>
    </row>
    <row r="126" spans="1:4" hidden="1" x14ac:dyDescent="0.35">
      <c r="A126" t="s">
        <v>155</v>
      </c>
      <c r="C126">
        <v>109</v>
      </c>
      <c r="D126" t="s">
        <v>298</v>
      </c>
    </row>
    <row r="127" spans="1:4" hidden="1" x14ac:dyDescent="0.35">
      <c r="A127" t="s">
        <v>156</v>
      </c>
      <c r="C127">
        <v>110</v>
      </c>
      <c r="D127" t="s">
        <v>299</v>
      </c>
    </row>
    <row r="128" spans="1:4" hidden="1" x14ac:dyDescent="0.35">
      <c r="A128" t="s">
        <v>157</v>
      </c>
      <c r="C128">
        <v>111</v>
      </c>
      <c r="D128" t="s">
        <v>300</v>
      </c>
    </row>
    <row r="129" spans="1:4" hidden="1" x14ac:dyDescent="0.35">
      <c r="A129" t="s">
        <v>158</v>
      </c>
      <c r="C129">
        <v>201</v>
      </c>
      <c r="D129" t="s">
        <v>301</v>
      </c>
    </row>
    <row r="130" spans="1:4" hidden="1" x14ac:dyDescent="0.35">
      <c r="A130" t="s">
        <v>159</v>
      </c>
      <c r="C130">
        <v>202</v>
      </c>
      <c r="D130" t="s">
        <v>302</v>
      </c>
    </row>
    <row r="131" spans="1:4" hidden="1" x14ac:dyDescent="0.35">
      <c r="A131" t="s">
        <v>160</v>
      </c>
      <c r="C131">
        <v>203</v>
      </c>
      <c r="D131" t="s">
        <v>303</v>
      </c>
    </row>
    <row r="132" spans="1:4" hidden="1" x14ac:dyDescent="0.35">
      <c r="A132" t="s">
        <v>161</v>
      </c>
      <c r="C132">
        <v>204</v>
      </c>
      <c r="D132" t="s">
        <v>304</v>
      </c>
    </row>
    <row r="133" spans="1:4" hidden="1" x14ac:dyDescent="0.35">
      <c r="A133" t="s">
        <v>162</v>
      </c>
      <c r="C133">
        <v>205</v>
      </c>
      <c r="D133" t="s">
        <v>305</v>
      </c>
    </row>
    <row r="134" spans="1:4" hidden="1" x14ac:dyDescent="0.35">
      <c r="A134" t="s">
        <v>163</v>
      </c>
      <c r="C134">
        <v>206</v>
      </c>
      <c r="D134" t="s">
        <v>306</v>
      </c>
    </row>
    <row r="135" spans="1:4" hidden="1" x14ac:dyDescent="0.35">
      <c r="A135" t="s">
        <v>164</v>
      </c>
      <c r="C135">
        <v>207</v>
      </c>
      <c r="D135" t="s">
        <v>307</v>
      </c>
    </row>
    <row r="136" spans="1:4" hidden="1" x14ac:dyDescent="0.35">
      <c r="A136" t="s">
        <v>165</v>
      </c>
      <c r="C136">
        <v>208</v>
      </c>
      <c r="D136" t="s">
        <v>308</v>
      </c>
    </row>
    <row r="137" spans="1:4" hidden="1" x14ac:dyDescent="0.35">
      <c r="A137" t="s">
        <v>166</v>
      </c>
      <c r="C137">
        <v>209</v>
      </c>
      <c r="D137" t="s">
        <v>309</v>
      </c>
    </row>
    <row r="138" spans="1:4" hidden="1" x14ac:dyDescent="0.35">
      <c r="A138" t="s">
        <v>167</v>
      </c>
      <c r="C138">
        <v>210</v>
      </c>
      <c r="D138" t="s">
        <v>310</v>
      </c>
    </row>
    <row r="139" spans="1:4" hidden="1" x14ac:dyDescent="0.35">
      <c r="A139" t="s">
        <v>168</v>
      </c>
      <c r="C139">
        <v>211</v>
      </c>
      <c r="D139" t="s">
        <v>311</v>
      </c>
    </row>
    <row r="140" spans="1:4" hidden="1" x14ac:dyDescent="0.35">
      <c r="A140" t="s">
        <v>169</v>
      </c>
      <c r="C140">
        <v>212</v>
      </c>
      <c r="D140" t="s">
        <v>312</v>
      </c>
    </row>
    <row r="141" spans="1:4" hidden="1" x14ac:dyDescent="0.35">
      <c r="A141" t="s">
        <v>170</v>
      </c>
      <c r="C141">
        <v>213</v>
      </c>
      <c r="D141" t="s">
        <v>313</v>
      </c>
    </row>
    <row r="142" spans="1:4" hidden="1" x14ac:dyDescent="0.35">
      <c r="A142" t="s">
        <v>171</v>
      </c>
      <c r="C142">
        <v>214</v>
      </c>
      <c r="D142" t="s">
        <v>314</v>
      </c>
    </row>
    <row r="143" spans="1:4" hidden="1" x14ac:dyDescent="0.35">
      <c r="A143" t="s">
        <v>172</v>
      </c>
      <c r="C143">
        <v>215</v>
      </c>
      <c r="D143" t="s">
        <v>315</v>
      </c>
    </row>
    <row r="144" spans="1:4" hidden="1" x14ac:dyDescent="0.35">
      <c r="A144" t="s">
        <v>173</v>
      </c>
      <c r="C144">
        <v>216</v>
      </c>
      <c r="D144" t="s">
        <v>316</v>
      </c>
    </row>
    <row r="145" spans="1:4" hidden="1" x14ac:dyDescent="0.35">
      <c r="A145" t="s">
        <v>174</v>
      </c>
      <c r="C145">
        <v>217</v>
      </c>
      <c r="D145" t="s">
        <v>317</v>
      </c>
    </row>
    <row r="146" spans="1:4" hidden="1" x14ac:dyDescent="0.35">
      <c r="A146" t="s">
        <v>175</v>
      </c>
      <c r="C146">
        <v>218</v>
      </c>
      <c r="D146" t="s">
        <v>318</v>
      </c>
    </row>
    <row r="147" spans="1:4" hidden="1" x14ac:dyDescent="0.35">
      <c r="A147" t="s">
        <v>176</v>
      </c>
      <c r="C147">
        <v>219</v>
      </c>
      <c r="D147" t="s">
        <v>319</v>
      </c>
    </row>
    <row r="148" spans="1:4" hidden="1" x14ac:dyDescent="0.35">
      <c r="A148" t="s">
        <v>177</v>
      </c>
      <c r="C148">
        <v>220</v>
      </c>
      <c r="D148" t="s">
        <v>320</v>
      </c>
    </row>
    <row r="149" spans="1:4" hidden="1" x14ac:dyDescent="0.35">
      <c r="A149" t="s">
        <v>178</v>
      </c>
      <c r="C149">
        <v>221</v>
      </c>
      <c r="D149" t="s">
        <v>321</v>
      </c>
    </row>
    <row r="150" spans="1:4" hidden="1" x14ac:dyDescent="0.35">
      <c r="A150" t="s">
        <v>179</v>
      </c>
      <c r="C150">
        <v>222</v>
      </c>
      <c r="D150" t="s">
        <v>322</v>
      </c>
    </row>
    <row r="151" spans="1:4" hidden="1" x14ac:dyDescent="0.35">
      <c r="A151" t="s">
        <v>180</v>
      </c>
      <c r="C151">
        <v>223</v>
      </c>
      <c r="D151" t="s">
        <v>323</v>
      </c>
    </row>
    <row r="152" spans="1:4" hidden="1" x14ac:dyDescent="0.35">
      <c r="A152" t="s">
        <v>181</v>
      </c>
      <c r="C152">
        <v>224</v>
      </c>
      <c r="D152" t="s">
        <v>324</v>
      </c>
    </row>
    <row r="153" spans="1:4" hidden="1" x14ac:dyDescent="0.35">
      <c r="A153" t="s">
        <v>182</v>
      </c>
      <c r="C153">
        <v>225</v>
      </c>
      <c r="D153" t="s">
        <v>325</v>
      </c>
    </row>
    <row r="154" spans="1:4" hidden="1" x14ac:dyDescent="0.35">
      <c r="A154" t="s">
        <v>183</v>
      </c>
      <c r="C154">
        <v>226</v>
      </c>
      <c r="D154" t="s">
        <v>326</v>
      </c>
    </row>
    <row r="155" spans="1:4" hidden="1" x14ac:dyDescent="0.35">
      <c r="A155" t="s">
        <v>184</v>
      </c>
      <c r="C155">
        <v>227</v>
      </c>
      <c r="D155" t="s">
        <v>327</v>
      </c>
    </row>
    <row r="156" spans="1:4" hidden="1" x14ac:dyDescent="0.35">
      <c r="A156" t="s">
        <v>185</v>
      </c>
      <c r="C156">
        <v>228</v>
      </c>
      <c r="D156" t="s">
        <v>328</v>
      </c>
    </row>
    <row r="157" spans="1:4" hidden="1" x14ac:dyDescent="0.35">
      <c r="A157" t="s">
        <v>186</v>
      </c>
      <c r="C157">
        <v>229</v>
      </c>
      <c r="D157" t="s">
        <v>329</v>
      </c>
    </row>
    <row r="158" spans="1:4" hidden="1" x14ac:dyDescent="0.35">
      <c r="A158" t="s">
        <v>187</v>
      </c>
      <c r="C158">
        <v>230</v>
      </c>
      <c r="D158" t="s">
        <v>330</v>
      </c>
    </row>
    <row r="159" spans="1:4" hidden="1" x14ac:dyDescent="0.35">
      <c r="A159" t="s">
        <v>188</v>
      </c>
      <c r="C159">
        <v>231</v>
      </c>
      <c r="D159" t="s">
        <v>331</v>
      </c>
    </row>
    <row r="160" spans="1:4" hidden="1" x14ac:dyDescent="0.35">
      <c r="A160" t="s">
        <v>189</v>
      </c>
      <c r="C160">
        <v>232</v>
      </c>
      <c r="D160" t="s">
        <v>332</v>
      </c>
    </row>
    <row r="161" spans="1:4" hidden="1" x14ac:dyDescent="0.35">
      <c r="A161" t="s">
        <v>190</v>
      </c>
      <c r="C161">
        <v>233</v>
      </c>
      <c r="D161" t="s">
        <v>333</v>
      </c>
    </row>
    <row r="162" spans="1:4" hidden="1" x14ac:dyDescent="0.35">
      <c r="A162" t="s">
        <v>191</v>
      </c>
      <c r="C162">
        <v>234</v>
      </c>
      <c r="D162" t="s">
        <v>334</v>
      </c>
    </row>
    <row r="163" spans="1:4" hidden="1" x14ac:dyDescent="0.35">
      <c r="A163" t="s">
        <v>192</v>
      </c>
      <c r="C163">
        <v>235</v>
      </c>
      <c r="D163" t="s">
        <v>335</v>
      </c>
    </row>
    <row r="164" spans="1:4" hidden="1" x14ac:dyDescent="0.35">
      <c r="A164" t="s">
        <v>193</v>
      </c>
      <c r="C164">
        <v>236</v>
      </c>
      <c r="D164" t="s">
        <v>336</v>
      </c>
    </row>
    <row r="165" spans="1:4" hidden="1" x14ac:dyDescent="0.35">
      <c r="A165" t="s">
        <v>194</v>
      </c>
      <c r="C165">
        <v>237</v>
      </c>
      <c r="D165" t="s">
        <v>337</v>
      </c>
    </row>
    <row r="166" spans="1:4" hidden="1" x14ac:dyDescent="0.35">
      <c r="A166" t="s">
        <v>195</v>
      </c>
      <c r="C166">
        <v>238</v>
      </c>
      <c r="D166" t="s">
        <v>338</v>
      </c>
    </row>
    <row r="167" spans="1:4" hidden="1" x14ac:dyDescent="0.35">
      <c r="A167" t="s">
        <v>196</v>
      </c>
      <c r="C167">
        <v>239</v>
      </c>
      <c r="D167" t="s">
        <v>339</v>
      </c>
    </row>
    <row r="168" spans="1:4" hidden="1" x14ac:dyDescent="0.35">
      <c r="A168" t="s">
        <v>197</v>
      </c>
      <c r="C168">
        <v>240</v>
      </c>
      <c r="D168" t="s">
        <v>340</v>
      </c>
    </row>
    <row r="169" spans="1:4" hidden="1" x14ac:dyDescent="0.35">
      <c r="A169" t="s">
        <v>198</v>
      </c>
      <c r="C169">
        <v>241</v>
      </c>
      <c r="D169" t="s">
        <v>341</v>
      </c>
    </row>
    <row r="170" spans="1:4" hidden="1" x14ac:dyDescent="0.35">
      <c r="A170" t="s">
        <v>199</v>
      </c>
      <c r="C170">
        <v>242</v>
      </c>
      <c r="D170" t="s">
        <v>342</v>
      </c>
    </row>
    <row r="171" spans="1:4" hidden="1" x14ac:dyDescent="0.35">
      <c r="A171" t="s">
        <v>200</v>
      </c>
      <c r="C171">
        <v>243</v>
      </c>
      <c r="D171" t="s">
        <v>343</v>
      </c>
    </row>
    <row r="172" spans="1:4" hidden="1" x14ac:dyDescent="0.35">
      <c r="A172" t="s">
        <v>201</v>
      </c>
      <c r="C172">
        <v>244</v>
      </c>
      <c r="D172" t="s">
        <v>344</v>
      </c>
    </row>
    <row r="173" spans="1:4" hidden="1" x14ac:dyDescent="0.35">
      <c r="A173" t="s">
        <v>789</v>
      </c>
      <c r="C173">
        <v>245</v>
      </c>
      <c r="D173" t="s">
        <v>345</v>
      </c>
    </row>
    <row r="174" spans="1:4" hidden="1" x14ac:dyDescent="0.35">
      <c r="A174" t="s">
        <v>790</v>
      </c>
      <c r="C174">
        <v>246</v>
      </c>
      <c r="D174" t="s">
        <v>346</v>
      </c>
    </row>
    <row r="175" spans="1:4" hidden="1" x14ac:dyDescent="0.35">
      <c r="A175" t="s">
        <v>791</v>
      </c>
      <c r="C175">
        <v>247</v>
      </c>
      <c r="D175" t="s">
        <v>347</v>
      </c>
    </row>
    <row r="176" spans="1:4" hidden="1" x14ac:dyDescent="0.35">
      <c r="A176" t="s">
        <v>792</v>
      </c>
      <c r="C176">
        <v>248</v>
      </c>
      <c r="D176" t="s">
        <v>348</v>
      </c>
    </row>
    <row r="177" spans="1:4" hidden="1" x14ac:dyDescent="0.35">
      <c r="A177" t="s">
        <v>793</v>
      </c>
      <c r="C177">
        <v>249</v>
      </c>
      <c r="D177" t="s">
        <v>349</v>
      </c>
    </row>
    <row r="178" spans="1:4" hidden="1" x14ac:dyDescent="0.35">
      <c r="A178" t="s">
        <v>794</v>
      </c>
      <c r="C178">
        <v>250</v>
      </c>
      <c r="D178" t="s">
        <v>350</v>
      </c>
    </row>
    <row r="179" spans="1:4" hidden="1" x14ac:dyDescent="0.35">
      <c r="A179" t="s">
        <v>795</v>
      </c>
      <c r="C179">
        <v>251</v>
      </c>
      <c r="D179" t="s">
        <v>351</v>
      </c>
    </row>
    <row r="180" spans="1:4" hidden="1" x14ac:dyDescent="0.35">
      <c r="A180" t="s">
        <v>796</v>
      </c>
      <c r="C180">
        <v>252</v>
      </c>
      <c r="D180" t="s">
        <v>352</v>
      </c>
    </row>
    <row r="181" spans="1:4" hidden="1" x14ac:dyDescent="0.35">
      <c r="A181" t="s">
        <v>797</v>
      </c>
      <c r="C181">
        <v>253</v>
      </c>
      <c r="D181" t="s">
        <v>353</v>
      </c>
    </row>
    <row r="182" spans="1:4" hidden="1" x14ac:dyDescent="0.35">
      <c r="A182" t="s">
        <v>798</v>
      </c>
      <c r="C182">
        <v>254</v>
      </c>
      <c r="D182" t="s">
        <v>354</v>
      </c>
    </row>
    <row r="183" spans="1:4" hidden="1" x14ac:dyDescent="0.35">
      <c r="A183" t="s">
        <v>799</v>
      </c>
      <c r="C183">
        <v>255</v>
      </c>
      <c r="D183" t="s">
        <v>355</v>
      </c>
    </row>
    <row r="184" spans="1:4" hidden="1" x14ac:dyDescent="0.35">
      <c r="A184" t="s">
        <v>800</v>
      </c>
      <c r="C184">
        <v>256</v>
      </c>
      <c r="D184" t="s">
        <v>356</v>
      </c>
    </row>
    <row r="185" spans="1:4" hidden="1" x14ac:dyDescent="0.35">
      <c r="A185" t="s">
        <v>202</v>
      </c>
      <c r="C185">
        <v>257</v>
      </c>
      <c r="D185" t="s">
        <v>357</v>
      </c>
    </row>
    <row r="186" spans="1:4" hidden="1" x14ac:dyDescent="0.35">
      <c r="A186" t="s">
        <v>203</v>
      </c>
      <c r="C186">
        <v>258</v>
      </c>
      <c r="D186" t="s">
        <v>358</v>
      </c>
    </row>
    <row r="187" spans="1:4" hidden="1" x14ac:dyDescent="0.35">
      <c r="A187" t="s">
        <v>204</v>
      </c>
      <c r="C187">
        <v>259</v>
      </c>
      <c r="D187" t="s">
        <v>359</v>
      </c>
    </row>
    <row r="188" spans="1:4" hidden="1" x14ac:dyDescent="0.35">
      <c r="A188" t="s">
        <v>205</v>
      </c>
      <c r="C188">
        <v>260</v>
      </c>
      <c r="D188" t="s">
        <v>360</v>
      </c>
    </row>
    <row r="189" spans="1:4" hidden="1" x14ac:dyDescent="0.35">
      <c r="A189" t="s">
        <v>206</v>
      </c>
      <c r="C189">
        <v>261</v>
      </c>
      <c r="D189" t="s">
        <v>361</v>
      </c>
    </row>
    <row r="190" spans="1:4" hidden="1" x14ac:dyDescent="0.35">
      <c r="A190" t="s">
        <v>207</v>
      </c>
      <c r="C190">
        <v>262</v>
      </c>
      <c r="D190" t="s">
        <v>362</v>
      </c>
    </row>
    <row r="191" spans="1:4" hidden="1" x14ac:dyDescent="0.35">
      <c r="A191" t="s">
        <v>208</v>
      </c>
      <c r="C191">
        <v>263</v>
      </c>
      <c r="D191" t="s">
        <v>363</v>
      </c>
    </row>
    <row r="192" spans="1:4" hidden="1" x14ac:dyDescent="0.35">
      <c r="A192" t="s">
        <v>209</v>
      </c>
      <c r="C192">
        <v>264</v>
      </c>
      <c r="D192" t="s">
        <v>364</v>
      </c>
    </row>
    <row r="193" spans="1:4" hidden="1" x14ac:dyDescent="0.35">
      <c r="A193" t="s">
        <v>210</v>
      </c>
      <c r="C193">
        <v>265</v>
      </c>
      <c r="D193" t="s">
        <v>365</v>
      </c>
    </row>
    <row r="194" spans="1:4" hidden="1" x14ac:dyDescent="0.35">
      <c r="A194" t="s">
        <v>211</v>
      </c>
      <c r="C194">
        <v>266</v>
      </c>
      <c r="D194" t="s">
        <v>366</v>
      </c>
    </row>
    <row r="195" spans="1:4" hidden="1" x14ac:dyDescent="0.35">
      <c r="A195" t="s">
        <v>212</v>
      </c>
      <c r="C195">
        <v>267</v>
      </c>
      <c r="D195" t="s">
        <v>367</v>
      </c>
    </row>
    <row r="196" spans="1:4" hidden="1" x14ac:dyDescent="0.35">
      <c r="A196" t="s">
        <v>213</v>
      </c>
      <c r="C196">
        <v>268</v>
      </c>
      <c r="D196" t="s">
        <v>368</v>
      </c>
    </row>
    <row r="197" spans="1:4" hidden="1" x14ac:dyDescent="0.35">
      <c r="A197" t="s">
        <v>214</v>
      </c>
      <c r="C197">
        <v>269</v>
      </c>
      <c r="D197" t="s">
        <v>369</v>
      </c>
    </row>
    <row r="198" spans="1:4" hidden="1" x14ac:dyDescent="0.35">
      <c r="A198" t="s">
        <v>215</v>
      </c>
      <c r="C198">
        <v>270</v>
      </c>
      <c r="D198" t="s">
        <v>370</v>
      </c>
    </row>
    <row r="199" spans="1:4" hidden="1" x14ac:dyDescent="0.35">
      <c r="A199" t="s">
        <v>216</v>
      </c>
      <c r="C199">
        <v>271</v>
      </c>
      <c r="D199" t="s">
        <v>371</v>
      </c>
    </row>
    <row r="200" spans="1:4" hidden="1" x14ac:dyDescent="0.35">
      <c r="A200" t="s">
        <v>217</v>
      </c>
      <c r="C200">
        <v>272</v>
      </c>
      <c r="D200" t="s">
        <v>372</v>
      </c>
    </row>
    <row r="201" spans="1:4" hidden="1" x14ac:dyDescent="0.35">
      <c r="A201" t="s">
        <v>801</v>
      </c>
      <c r="C201">
        <v>273</v>
      </c>
      <c r="D201" t="s">
        <v>373</v>
      </c>
    </row>
    <row r="202" spans="1:4" hidden="1" x14ac:dyDescent="0.35">
      <c r="A202" t="s">
        <v>802</v>
      </c>
      <c r="C202">
        <v>274</v>
      </c>
      <c r="D202" t="s">
        <v>374</v>
      </c>
    </row>
    <row r="203" spans="1:4" hidden="1" x14ac:dyDescent="0.35">
      <c r="A203" t="s">
        <v>218</v>
      </c>
      <c r="C203">
        <v>275</v>
      </c>
      <c r="D203" t="s">
        <v>375</v>
      </c>
    </row>
    <row r="204" spans="1:4" hidden="1" x14ac:dyDescent="0.35">
      <c r="A204" t="s">
        <v>219</v>
      </c>
      <c r="C204">
        <v>276</v>
      </c>
      <c r="D204" t="s">
        <v>376</v>
      </c>
    </row>
    <row r="205" spans="1:4" hidden="1" x14ac:dyDescent="0.35">
      <c r="A205" t="s">
        <v>220</v>
      </c>
      <c r="C205">
        <v>277</v>
      </c>
      <c r="D205" t="s">
        <v>377</v>
      </c>
    </row>
    <row r="206" spans="1:4" hidden="1" x14ac:dyDescent="0.35">
      <c r="A206" t="s">
        <v>221</v>
      </c>
      <c r="C206">
        <v>278</v>
      </c>
      <c r="D206" t="s">
        <v>378</v>
      </c>
    </row>
    <row r="207" spans="1:4" hidden="1" x14ac:dyDescent="0.35">
      <c r="A207" t="s">
        <v>222</v>
      </c>
      <c r="C207">
        <v>279</v>
      </c>
      <c r="D207" t="s">
        <v>379</v>
      </c>
    </row>
    <row r="208" spans="1:4" hidden="1" x14ac:dyDescent="0.35">
      <c r="A208" t="s">
        <v>223</v>
      </c>
      <c r="C208">
        <v>280</v>
      </c>
      <c r="D208" t="s">
        <v>380</v>
      </c>
    </row>
    <row r="209" spans="1:4" hidden="1" x14ac:dyDescent="0.35">
      <c r="A209" t="s">
        <v>224</v>
      </c>
      <c r="C209">
        <v>281</v>
      </c>
      <c r="D209" t="s">
        <v>381</v>
      </c>
    </row>
    <row r="210" spans="1:4" hidden="1" x14ac:dyDescent="0.35">
      <c r="A210" t="s">
        <v>225</v>
      </c>
      <c r="C210">
        <v>282</v>
      </c>
      <c r="D210" t="s">
        <v>382</v>
      </c>
    </row>
    <row r="211" spans="1:4" hidden="1" x14ac:dyDescent="0.35">
      <c r="A211" t="s">
        <v>226</v>
      </c>
      <c r="C211">
        <v>283</v>
      </c>
      <c r="D211" t="s">
        <v>383</v>
      </c>
    </row>
    <row r="212" spans="1:4" hidden="1" x14ac:dyDescent="0.35">
      <c r="A212" t="s">
        <v>227</v>
      </c>
      <c r="C212">
        <v>284</v>
      </c>
      <c r="D212" t="s">
        <v>384</v>
      </c>
    </row>
    <row r="213" spans="1:4" hidden="1" x14ac:dyDescent="0.35">
      <c r="A213" t="s">
        <v>228</v>
      </c>
      <c r="C213">
        <v>285</v>
      </c>
      <c r="D213" t="s">
        <v>385</v>
      </c>
    </row>
    <row r="214" spans="1:4" hidden="1" x14ac:dyDescent="0.35">
      <c r="A214" t="s">
        <v>229</v>
      </c>
      <c r="C214">
        <v>286</v>
      </c>
      <c r="D214" t="s">
        <v>386</v>
      </c>
    </row>
    <row r="215" spans="1:4" hidden="1" x14ac:dyDescent="0.35">
      <c r="A215" t="s">
        <v>230</v>
      </c>
      <c r="C215">
        <v>287</v>
      </c>
      <c r="D215" t="s">
        <v>387</v>
      </c>
    </row>
    <row r="216" spans="1:4" hidden="1" x14ac:dyDescent="0.35">
      <c r="A216" t="s">
        <v>231</v>
      </c>
      <c r="C216">
        <v>301</v>
      </c>
      <c r="D216" t="s">
        <v>388</v>
      </c>
    </row>
    <row r="217" spans="1:4" hidden="1" x14ac:dyDescent="0.35">
      <c r="A217" t="s">
        <v>232</v>
      </c>
      <c r="C217">
        <v>302</v>
      </c>
      <c r="D217" t="s">
        <v>389</v>
      </c>
    </row>
    <row r="218" spans="1:4" hidden="1" x14ac:dyDescent="0.35">
      <c r="A218" t="s">
        <v>233</v>
      </c>
      <c r="C218">
        <v>303</v>
      </c>
      <c r="D218" t="s">
        <v>390</v>
      </c>
    </row>
    <row r="219" spans="1:4" hidden="1" x14ac:dyDescent="0.35">
      <c r="A219" t="s">
        <v>234</v>
      </c>
      <c r="C219">
        <v>304</v>
      </c>
      <c r="D219" t="s">
        <v>391</v>
      </c>
    </row>
    <row r="220" spans="1:4" hidden="1" x14ac:dyDescent="0.35">
      <c r="A220" t="s">
        <v>235</v>
      </c>
      <c r="C220">
        <v>305</v>
      </c>
      <c r="D220" t="s">
        <v>392</v>
      </c>
    </row>
    <row r="221" spans="1:4" hidden="1" x14ac:dyDescent="0.35">
      <c r="A221" t="s">
        <v>236</v>
      </c>
      <c r="C221">
        <v>306</v>
      </c>
      <c r="D221" t="s">
        <v>393</v>
      </c>
    </row>
    <row r="222" spans="1:4" hidden="1" x14ac:dyDescent="0.35">
      <c r="A222" t="s">
        <v>237</v>
      </c>
      <c r="C222">
        <v>307</v>
      </c>
      <c r="D222" t="s">
        <v>394</v>
      </c>
    </row>
    <row r="223" spans="1:4" hidden="1" x14ac:dyDescent="0.35">
      <c r="A223" t="s">
        <v>238</v>
      </c>
      <c r="C223">
        <v>308</v>
      </c>
      <c r="D223" t="s">
        <v>395</v>
      </c>
    </row>
    <row r="224" spans="1:4" hidden="1" x14ac:dyDescent="0.35">
      <c r="A224" t="s">
        <v>239</v>
      </c>
      <c r="C224">
        <v>309</v>
      </c>
      <c r="D224" t="s">
        <v>396</v>
      </c>
    </row>
    <row r="225" spans="1:4" hidden="1" x14ac:dyDescent="0.35">
      <c r="A225" t="s">
        <v>240</v>
      </c>
      <c r="C225">
        <v>310</v>
      </c>
      <c r="D225" t="s">
        <v>397</v>
      </c>
    </row>
    <row r="226" spans="1:4" hidden="1" x14ac:dyDescent="0.35">
      <c r="A226" t="s">
        <v>241</v>
      </c>
      <c r="C226">
        <v>311</v>
      </c>
      <c r="D226" t="s">
        <v>398</v>
      </c>
    </row>
    <row r="227" spans="1:4" hidden="1" x14ac:dyDescent="0.35">
      <c r="A227" t="s">
        <v>242</v>
      </c>
      <c r="C227">
        <v>312</v>
      </c>
      <c r="D227" t="s">
        <v>399</v>
      </c>
    </row>
    <row r="228" spans="1:4" hidden="1" x14ac:dyDescent="0.35">
      <c r="A228" t="s">
        <v>243</v>
      </c>
      <c r="C228">
        <v>313</v>
      </c>
      <c r="D228" t="s">
        <v>400</v>
      </c>
    </row>
    <row r="229" spans="1:4" hidden="1" x14ac:dyDescent="0.35">
      <c r="A229" t="s">
        <v>244</v>
      </c>
      <c r="C229">
        <v>314</v>
      </c>
      <c r="D229" t="s">
        <v>401</v>
      </c>
    </row>
    <row r="230" spans="1:4" hidden="1" x14ac:dyDescent="0.35">
      <c r="A230" t="s">
        <v>245</v>
      </c>
      <c r="C230">
        <v>315</v>
      </c>
      <c r="D230" t="s">
        <v>402</v>
      </c>
    </row>
    <row r="231" spans="1:4" hidden="1" x14ac:dyDescent="0.35">
      <c r="A231" t="s">
        <v>246</v>
      </c>
      <c r="C231">
        <v>316</v>
      </c>
      <c r="D231" t="s">
        <v>403</v>
      </c>
    </row>
    <row r="232" spans="1:4" hidden="1" x14ac:dyDescent="0.35">
      <c r="A232" t="s">
        <v>247</v>
      </c>
      <c r="C232">
        <v>401</v>
      </c>
      <c r="D232" t="s">
        <v>404</v>
      </c>
    </row>
    <row r="233" spans="1:4" hidden="1" x14ac:dyDescent="0.35">
      <c r="A233" t="s">
        <v>248</v>
      </c>
      <c r="C233">
        <v>402</v>
      </c>
      <c r="D233" t="s">
        <v>405</v>
      </c>
    </row>
    <row r="234" spans="1:4" hidden="1" x14ac:dyDescent="0.35">
      <c r="A234" t="s">
        <v>249</v>
      </c>
      <c r="C234">
        <v>403</v>
      </c>
      <c r="D234" t="s">
        <v>406</v>
      </c>
    </row>
    <row r="235" spans="1:4" hidden="1" x14ac:dyDescent="0.35">
      <c r="A235" t="s">
        <v>250</v>
      </c>
      <c r="C235">
        <v>404</v>
      </c>
      <c r="D235" t="s">
        <v>407</v>
      </c>
    </row>
    <row r="236" spans="1:4" hidden="1" x14ac:dyDescent="0.35">
      <c r="A236" t="s">
        <v>251</v>
      </c>
      <c r="C236">
        <v>405</v>
      </c>
      <c r="D236" t="s">
        <v>408</v>
      </c>
    </row>
    <row r="237" spans="1:4" hidden="1" x14ac:dyDescent="0.35">
      <c r="A237" t="s">
        <v>252</v>
      </c>
      <c r="C237">
        <v>406</v>
      </c>
      <c r="D237" t="s">
        <v>409</v>
      </c>
    </row>
    <row r="238" spans="1:4" hidden="1" x14ac:dyDescent="0.35">
      <c r="A238" t="s">
        <v>253</v>
      </c>
      <c r="C238">
        <v>407</v>
      </c>
      <c r="D238" t="s">
        <v>410</v>
      </c>
    </row>
    <row r="239" spans="1:4" hidden="1" x14ac:dyDescent="0.35">
      <c r="A239" t="s">
        <v>254</v>
      </c>
      <c r="C239">
        <v>501</v>
      </c>
      <c r="D239" t="s">
        <v>411</v>
      </c>
    </row>
    <row r="240" spans="1:4" hidden="1" x14ac:dyDescent="0.35">
      <c r="A240" t="s">
        <v>255</v>
      </c>
      <c r="C240">
        <v>502</v>
      </c>
      <c r="D240" t="s">
        <v>412</v>
      </c>
    </row>
    <row r="241" spans="1:4" hidden="1" x14ac:dyDescent="0.35">
      <c r="A241" t="s">
        <v>256</v>
      </c>
      <c r="C241">
        <v>503</v>
      </c>
      <c r="D241" t="s">
        <v>413</v>
      </c>
    </row>
    <row r="242" spans="1:4" hidden="1" x14ac:dyDescent="0.35">
      <c r="A242" t="s">
        <v>257</v>
      </c>
      <c r="C242">
        <v>504</v>
      </c>
      <c r="D242" t="s">
        <v>414</v>
      </c>
    </row>
    <row r="243" spans="1:4" hidden="1" x14ac:dyDescent="0.35">
      <c r="A243" t="s">
        <v>258</v>
      </c>
      <c r="C243">
        <v>505</v>
      </c>
      <c r="D243" t="s">
        <v>415</v>
      </c>
    </row>
    <row r="244" spans="1:4" hidden="1" x14ac:dyDescent="0.35">
      <c r="A244" t="s">
        <v>259</v>
      </c>
      <c r="C244">
        <v>506</v>
      </c>
      <c r="D244" t="s">
        <v>416</v>
      </c>
    </row>
    <row r="245" spans="1:4" hidden="1" x14ac:dyDescent="0.35">
      <c r="A245" t="s">
        <v>260</v>
      </c>
      <c r="C245">
        <v>507</v>
      </c>
      <c r="D245" t="s">
        <v>417</v>
      </c>
    </row>
    <row r="246" spans="1:4" hidden="1" x14ac:dyDescent="0.35">
      <c r="A246" t="s">
        <v>261</v>
      </c>
      <c r="C246">
        <v>508</v>
      </c>
      <c r="D246" t="s">
        <v>418</v>
      </c>
    </row>
    <row r="247" spans="1:4" hidden="1" x14ac:dyDescent="0.35">
      <c r="A247" t="s">
        <v>262</v>
      </c>
      <c r="C247">
        <v>509</v>
      </c>
      <c r="D247" t="s">
        <v>419</v>
      </c>
    </row>
    <row r="248" spans="1:4" hidden="1" x14ac:dyDescent="0.35">
      <c r="A248" t="s">
        <v>263</v>
      </c>
      <c r="C248">
        <v>510</v>
      </c>
      <c r="D248" t="s">
        <v>420</v>
      </c>
    </row>
    <row r="249" spans="1:4" hidden="1" x14ac:dyDescent="0.35">
      <c r="A249" t="s">
        <v>264</v>
      </c>
      <c r="C249">
        <v>511</v>
      </c>
      <c r="D249" t="s">
        <v>421</v>
      </c>
    </row>
    <row r="250" spans="1:4" hidden="1" x14ac:dyDescent="0.35">
      <c r="A250" t="s">
        <v>265</v>
      </c>
      <c r="C250">
        <v>512</v>
      </c>
      <c r="D250" t="s">
        <v>422</v>
      </c>
    </row>
    <row r="251" spans="1:4" hidden="1" x14ac:dyDescent="0.35">
      <c r="A251" t="s">
        <v>266</v>
      </c>
      <c r="C251">
        <v>513</v>
      </c>
      <c r="D251" t="s">
        <v>423</v>
      </c>
    </row>
    <row r="252" spans="1:4" hidden="1" x14ac:dyDescent="0.35">
      <c r="A252" t="s">
        <v>267</v>
      </c>
      <c r="C252">
        <v>514</v>
      </c>
      <c r="D252" t="s">
        <v>424</v>
      </c>
    </row>
    <row r="253" spans="1:4" hidden="1" x14ac:dyDescent="0.35">
      <c r="A253" t="s">
        <v>268</v>
      </c>
      <c r="C253">
        <v>515</v>
      </c>
      <c r="D253" t="s">
        <v>425</v>
      </c>
    </row>
    <row r="254" spans="1:4" hidden="1" x14ac:dyDescent="0.35">
      <c r="A254" t="s">
        <v>269</v>
      </c>
      <c r="C254">
        <v>516</v>
      </c>
      <c r="D254" t="s">
        <v>426</v>
      </c>
    </row>
    <row r="255" spans="1:4" hidden="1" x14ac:dyDescent="0.35">
      <c r="A255" t="s">
        <v>270</v>
      </c>
      <c r="C255">
        <v>517</v>
      </c>
      <c r="D255" t="s">
        <v>427</v>
      </c>
    </row>
    <row r="256" spans="1:4" hidden="1" x14ac:dyDescent="0.35">
      <c r="A256" t="s">
        <v>271</v>
      </c>
      <c r="C256">
        <v>518</v>
      </c>
      <c r="D256" t="s">
        <v>428</v>
      </c>
    </row>
    <row r="257" spans="1:4" hidden="1" x14ac:dyDescent="0.35">
      <c r="A257" t="s">
        <v>272</v>
      </c>
      <c r="C257">
        <v>519</v>
      </c>
      <c r="D257" t="s">
        <v>429</v>
      </c>
    </row>
    <row r="258" spans="1:4" hidden="1" x14ac:dyDescent="0.35">
      <c r="A258" t="s">
        <v>273</v>
      </c>
      <c r="C258">
        <v>520</v>
      </c>
      <c r="D258" t="s">
        <v>430</v>
      </c>
    </row>
    <row r="259" spans="1:4" hidden="1" x14ac:dyDescent="0.35">
      <c r="A259" t="s">
        <v>274</v>
      </c>
      <c r="C259">
        <v>521</v>
      </c>
      <c r="D259" t="s">
        <v>431</v>
      </c>
    </row>
    <row r="260" spans="1:4" hidden="1" x14ac:dyDescent="0.35">
      <c r="C260">
        <v>522</v>
      </c>
      <c r="D260" t="s">
        <v>432</v>
      </c>
    </row>
    <row r="261" spans="1:4" hidden="1" x14ac:dyDescent="0.35">
      <c r="C261">
        <v>523</v>
      </c>
      <c r="D261" t="s">
        <v>433</v>
      </c>
    </row>
    <row r="262" spans="1:4" hidden="1" x14ac:dyDescent="0.35">
      <c r="C262">
        <v>524</v>
      </c>
      <c r="D262" t="s">
        <v>434</v>
      </c>
    </row>
    <row r="263" spans="1:4" hidden="1" x14ac:dyDescent="0.35">
      <c r="C263">
        <v>525</v>
      </c>
      <c r="D263" t="s">
        <v>435</v>
      </c>
    </row>
    <row r="264" spans="1:4" hidden="1" x14ac:dyDescent="0.35">
      <c r="C264">
        <v>526</v>
      </c>
      <c r="D264" t="s">
        <v>436</v>
      </c>
    </row>
    <row r="265" spans="1:4" hidden="1" x14ac:dyDescent="0.35">
      <c r="C265">
        <v>527</v>
      </c>
      <c r="D265" t="s">
        <v>437</v>
      </c>
    </row>
    <row r="266" spans="1:4" hidden="1" x14ac:dyDescent="0.35">
      <c r="C266">
        <v>528</v>
      </c>
      <c r="D266" t="s">
        <v>438</v>
      </c>
    </row>
    <row r="267" spans="1:4" hidden="1" x14ac:dyDescent="0.35">
      <c r="C267">
        <v>529</v>
      </c>
      <c r="D267" t="s">
        <v>439</v>
      </c>
    </row>
    <row r="268" spans="1:4" hidden="1" x14ac:dyDescent="0.35">
      <c r="C268">
        <v>530</v>
      </c>
      <c r="D268" t="s">
        <v>440</v>
      </c>
    </row>
    <row r="269" spans="1:4" hidden="1" x14ac:dyDescent="0.35">
      <c r="C269">
        <v>531</v>
      </c>
      <c r="D269" t="s">
        <v>441</v>
      </c>
    </row>
    <row r="270" spans="1:4" hidden="1" x14ac:dyDescent="0.35">
      <c r="C270">
        <v>532</v>
      </c>
      <c r="D270" t="s">
        <v>442</v>
      </c>
    </row>
    <row r="271" spans="1:4" hidden="1" x14ac:dyDescent="0.35">
      <c r="C271">
        <v>601</v>
      </c>
      <c r="D271" t="s">
        <v>443</v>
      </c>
    </row>
    <row r="272" spans="1:4" hidden="1" x14ac:dyDescent="0.35">
      <c r="C272">
        <v>602</v>
      </c>
      <c r="D272" t="s">
        <v>444</v>
      </c>
    </row>
    <row r="273" spans="3:4" hidden="1" x14ac:dyDescent="0.35">
      <c r="C273">
        <v>701</v>
      </c>
      <c r="D273" t="s">
        <v>445</v>
      </c>
    </row>
    <row r="274" spans="3:4" hidden="1" x14ac:dyDescent="0.35">
      <c r="C274">
        <v>702</v>
      </c>
      <c r="D274" t="s">
        <v>446</v>
      </c>
    </row>
    <row r="275" spans="3:4" hidden="1" x14ac:dyDescent="0.35">
      <c r="C275">
        <v>721</v>
      </c>
      <c r="D275" t="s">
        <v>447</v>
      </c>
    </row>
    <row r="276" spans="3:4" hidden="1" x14ac:dyDescent="0.35">
      <c r="C276">
        <v>800</v>
      </c>
      <c r="D276" t="s">
        <v>448</v>
      </c>
    </row>
    <row r="277" spans="3:4" hidden="1" x14ac:dyDescent="0.35">
      <c r="C277">
        <v>900</v>
      </c>
      <c r="D277" t="s">
        <v>449</v>
      </c>
    </row>
    <row r="278" spans="3:4" hidden="1" x14ac:dyDescent="0.35">
      <c r="C278">
        <v>951</v>
      </c>
      <c r="D278" t="s">
        <v>450</v>
      </c>
    </row>
    <row r="279" spans="3:4" hidden="1" x14ac:dyDescent="0.35">
      <c r="C279">
        <v>961</v>
      </c>
      <c r="D279" t="s">
        <v>451</v>
      </c>
    </row>
    <row r="280" spans="3:4" hidden="1" x14ac:dyDescent="0.35">
      <c r="C280">
        <v>981</v>
      </c>
      <c r="D280" t="s">
        <v>452</v>
      </c>
    </row>
    <row r="281" spans="3:4" hidden="1" x14ac:dyDescent="0.35">
      <c r="C281">
        <v>991</v>
      </c>
      <c r="D281" t="s">
        <v>453</v>
      </c>
    </row>
    <row r="282" spans="3:4" hidden="1" x14ac:dyDescent="0.35">
      <c r="C282">
        <v>1001</v>
      </c>
      <c r="D282" t="s">
        <v>454</v>
      </c>
    </row>
    <row r="283" spans="3:4" hidden="1" x14ac:dyDescent="0.35">
      <c r="C283">
        <v>1002</v>
      </c>
      <c r="D283" t="s">
        <v>455</v>
      </c>
    </row>
    <row r="284" spans="3:4" hidden="1" x14ac:dyDescent="0.35">
      <c r="C284">
        <v>1003</v>
      </c>
      <c r="D284" t="s">
        <v>456</v>
      </c>
    </row>
    <row r="285" spans="3:4" hidden="1" x14ac:dyDescent="0.35">
      <c r="C285">
        <v>1004</v>
      </c>
      <c r="D285" t="s">
        <v>457</v>
      </c>
    </row>
    <row r="286" spans="3:4" hidden="1" x14ac:dyDescent="0.35">
      <c r="C286">
        <v>23512</v>
      </c>
      <c r="D286" t="s">
        <v>458</v>
      </c>
    </row>
    <row r="287" spans="3:4" hidden="1" x14ac:dyDescent="0.35">
      <c r="C287">
        <v>23513</v>
      </c>
      <c r="D287" t="s">
        <v>459</v>
      </c>
    </row>
    <row r="288" spans="3:4" hidden="1" x14ac:dyDescent="0.35">
      <c r="C288">
        <v>23514</v>
      </c>
      <c r="D288" t="s">
        <v>460</v>
      </c>
    </row>
    <row r="289" spans="3:4" hidden="1" x14ac:dyDescent="0.35">
      <c r="C289">
        <v>23515</v>
      </c>
      <c r="D289" t="s">
        <v>461</v>
      </c>
    </row>
    <row r="290" spans="3:4" hidden="1" x14ac:dyDescent="0.35">
      <c r="C290">
        <v>23516</v>
      </c>
      <c r="D290" t="s">
        <v>462</v>
      </c>
    </row>
    <row r="291" spans="3:4" hidden="1" x14ac:dyDescent="0.35">
      <c r="C291">
        <v>23517</v>
      </c>
      <c r="D291" t="s">
        <v>463</v>
      </c>
    </row>
    <row r="292" spans="3:4" hidden="1" x14ac:dyDescent="0.35">
      <c r="C292">
        <v>23518</v>
      </c>
      <c r="D292" t="s">
        <v>464</v>
      </c>
    </row>
    <row r="293" spans="3:4" hidden="1" x14ac:dyDescent="0.35">
      <c r="C293">
        <v>23519</v>
      </c>
      <c r="D293" t="s">
        <v>465</v>
      </c>
    </row>
    <row r="294" spans="3:4" hidden="1" x14ac:dyDescent="0.35">
      <c r="C294">
        <v>23520</v>
      </c>
      <c r="D294" t="s">
        <v>466</v>
      </c>
    </row>
    <row r="295" spans="3:4" hidden="1" x14ac:dyDescent="0.35">
      <c r="C295">
        <v>23522</v>
      </c>
      <c r="D295" t="s">
        <v>467</v>
      </c>
    </row>
    <row r="296" spans="3:4" hidden="1" x14ac:dyDescent="0.35">
      <c r="C296">
        <v>23523</v>
      </c>
      <c r="D296" t="s">
        <v>468</v>
      </c>
    </row>
    <row r="297" spans="3:4" hidden="1" x14ac:dyDescent="0.35">
      <c r="C297">
        <v>23524</v>
      </c>
      <c r="D297" t="s">
        <v>469</v>
      </c>
    </row>
    <row r="298" spans="3:4" hidden="1" x14ac:dyDescent="0.35">
      <c r="C298">
        <v>23526</v>
      </c>
      <c r="D298" t="s">
        <v>470</v>
      </c>
    </row>
    <row r="299" spans="3:4" hidden="1" x14ac:dyDescent="0.35">
      <c r="C299">
        <v>23527</v>
      </c>
      <c r="D299" t="s">
        <v>471</v>
      </c>
    </row>
    <row r="300" spans="3:4" hidden="1" x14ac:dyDescent="0.35">
      <c r="C300">
        <v>23528</v>
      </c>
      <c r="D300" t="s">
        <v>472</v>
      </c>
    </row>
    <row r="301" spans="3:4" hidden="1" x14ac:dyDescent="0.35">
      <c r="C301">
        <v>23530</v>
      </c>
      <c r="D301" t="s">
        <v>473</v>
      </c>
    </row>
    <row r="302" spans="3:4" hidden="1" x14ac:dyDescent="0.35">
      <c r="C302">
        <v>23531</v>
      </c>
      <c r="D302" t="s">
        <v>474</v>
      </c>
    </row>
    <row r="303" spans="3:4" hidden="1" x14ac:dyDescent="0.35">
      <c r="C303">
        <v>23533</v>
      </c>
      <c r="D303" t="s">
        <v>475</v>
      </c>
    </row>
    <row r="304" spans="3:4" hidden="1" x14ac:dyDescent="0.35">
      <c r="C304">
        <v>23534</v>
      </c>
      <c r="D304" t="s">
        <v>476</v>
      </c>
    </row>
    <row r="305" spans="3:4" hidden="1" x14ac:dyDescent="0.35">
      <c r="C305">
        <v>23535</v>
      </c>
      <c r="D305" t="s">
        <v>477</v>
      </c>
    </row>
    <row r="306" spans="3:4" hidden="1" x14ac:dyDescent="0.35">
      <c r="C306">
        <v>23538</v>
      </c>
      <c r="D306" t="s">
        <v>478</v>
      </c>
    </row>
    <row r="307" spans="3:4" hidden="1" x14ac:dyDescent="0.35">
      <c r="C307">
        <v>23540</v>
      </c>
      <c r="D307" t="s">
        <v>479</v>
      </c>
    </row>
    <row r="308" spans="3:4" hidden="1" x14ac:dyDescent="0.35">
      <c r="C308">
        <v>23541</v>
      </c>
      <c r="D308" t="s">
        <v>480</v>
      </c>
    </row>
    <row r="309" spans="3:4" hidden="1" x14ac:dyDescent="0.35">
      <c r="C309">
        <v>23543</v>
      </c>
      <c r="D309" t="s">
        <v>481</v>
      </c>
    </row>
    <row r="310" spans="3:4" hidden="1" x14ac:dyDescent="0.35">
      <c r="C310">
        <v>23545</v>
      </c>
      <c r="D310" t="s">
        <v>482</v>
      </c>
    </row>
    <row r="311" spans="3:4" hidden="1" x14ac:dyDescent="0.35">
      <c r="C311">
        <v>23546</v>
      </c>
      <c r="D311" t="s">
        <v>483</v>
      </c>
    </row>
    <row r="312" spans="3:4" hidden="1" x14ac:dyDescent="0.35">
      <c r="C312">
        <v>23547</v>
      </c>
      <c r="D312" t="s">
        <v>484</v>
      </c>
    </row>
    <row r="313" spans="3:4" hidden="1" x14ac:dyDescent="0.35">
      <c r="C313">
        <v>23548</v>
      </c>
      <c r="D313" t="s">
        <v>485</v>
      </c>
    </row>
    <row r="314" spans="3:4" hidden="1" x14ac:dyDescent="0.35">
      <c r="C314">
        <v>23550</v>
      </c>
      <c r="D314" t="s">
        <v>486</v>
      </c>
    </row>
    <row r="315" spans="3:4" hidden="1" x14ac:dyDescent="0.35">
      <c r="C315">
        <v>23551</v>
      </c>
      <c r="D315" t="s">
        <v>487</v>
      </c>
    </row>
    <row r="316" spans="3:4" hidden="1" x14ac:dyDescent="0.35">
      <c r="C316">
        <v>23552</v>
      </c>
      <c r="D316" t="s">
        <v>488</v>
      </c>
    </row>
    <row r="317" spans="3:4" hidden="1" x14ac:dyDescent="0.35">
      <c r="C317">
        <v>23553</v>
      </c>
      <c r="D317" t="s">
        <v>489</v>
      </c>
    </row>
    <row r="318" spans="3:4" hidden="1" x14ac:dyDescent="0.35">
      <c r="C318">
        <v>23555</v>
      </c>
      <c r="D318" t="s">
        <v>490</v>
      </c>
    </row>
    <row r="319" spans="3:4" hidden="1" x14ac:dyDescent="0.35">
      <c r="C319">
        <v>23557</v>
      </c>
      <c r="D319" t="s">
        <v>491</v>
      </c>
    </row>
    <row r="320" spans="3:4" hidden="1" x14ac:dyDescent="0.35">
      <c r="C320">
        <v>23558</v>
      </c>
      <c r="D320" t="s">
        <v>492</v>
      </c>
    </row>
    <row r="321" spans="3:4" hidden="1" x14ac:dyDescent="0.35">
      <c r="C321">
        <v>23559</v>
      </c>
      <c r="D321" t="s">
        <v>493</v>
      </c>
    </row>
    <row r="322" spans="3:4" hidden="1" x14ac:dyDescent="0.35">
      <c r="C322">
        <v>23560</v>
      </c>
      <c r="D322" t="s">
        <v>494</v>
      </c>
    </row>
    <row r="323" spans="3:4" hidden="1" x14ac:dyDescent="0.35">
      <c r="C323">
        <v>23561</v>
      </c>
      <c r="D323" t="s">
        <v>495</v>
      </c>
    </row>
    <row r="324" spans="3:4" hidden="1" x14ac:dyDescent="0.35">
      <c r="C324">
        <v>23562</v>
      </c>
      <c r="D324" t="s">
        <v>496</v>
      </c>
    </row>
    <row r="325" spans="3:4" hidden="1" x14ac:dyDescent="0.35">
      <c r="C325">
        <v>23563</v>
      </c>
      <c r="D325" t="s">
        <v>497</v>
      </c>
    </row>
    <row r="326" spans="3:4" hidden="1" x14ac:dyDescent="0.35">
      <c r="C326">
        <v>23564</v>
      </c>
      <c r="D326" t="s">
        <v>498</v>
      </c>
    </row>
    <row r="327" spans="3:4" hidden="1" x14ac:dyDescent="0.35">
      <c r="C327">
        <v>23565</v>
      </c>
      <c r="D327" t="s">
        <v>499</v>
      </c>
    </row>
    <row r="328" spans="3:4" hidden="1" x14ac:dyDescent="0.35">
      <c r="C328">
        <v>23566</v>
      </c>
      <c r="D328" t="s">
        <v>500</v>
      </c>
    </row>
    <row r="329" spans="3:4" hidden="1" x14ac:dyDescent="0.35">
      <c r="C329">
        <v>23567</v>
      </c>
      <c r="D329" t="s">
        <v>501</v>
      </c>
    </row>
    <row r="330" spans="3:4" hidden="1" x14ac:dyDescent="0.35">
      <c r="C330">
        <v>23571</v>
      </c>
      <c r="D330" t="s">
        <v>502</v>
      </c>
    </row>
    <row r="331" spans="3:4" hidden="1" x14ac:dyDescent="0.35">
      <c r="C331">
        <v>23572</v>
      </c>
      <c r="D331" t="s">
        <v>503</v>
      </c>
    </row>
    <row r="332" spans="3:4" hidden="1" x14ac:dyDescent="0.35">
      <c r="C332">
        <v>23573</v>
      </c>
      <c r="D332" t="s">
        <v>504</v>
      </c>
    </row>
    <row r="333" spans="3:4" hidden="1" x14ac:dyDescent="0.35">
      <c r="C333">
        <v>23574</v>
      </c>
      <c r="D333" t="s">
        <v>505</v>
      </c>
    </row>
    <row r="334" spans="3:4" hidden="1" x14ac:dyDescent="0.35">
      <c r="C334">
        <v>23575</v>
      </c>
      <c r="D334" t="s">
        <v>506</v>
      </c>
    </row>
    <row r="335" spans="3:4" hidden="1" x14ac:dyDescent="0.35">
      <c r="C335">
        <v>23579</v>
      </c>
      <c r="D335" t="s">
        <v>507</v>
      </c>
    </row>
    <row r="336" spans="3:4" hidden="1" x14ac:dyDescent="0.35">
      <c r="C336">
        <v>23580</v>
      </c>
      <c r="D336" t="s">
        <v>508</v>
      </c>
    </row>
    <row r="337" spans="3:4" hidden="1" x14ac:dyDescent="0.35">
      <c r="C337">
        <v>23582</v>
      </c>
      <c r="D337" t="s">
        <v>509</v>
      </c>
    </row>
    <row r="338" spans="3:4" hidden="1" x14ac:dyDescent="0.35">
      <c r="C338">
        <v>23583</v>
      </c>
      <c r="D338" t="s">
        <v>510</v>
      </c>
    </row>
    <row r="339" spans="3:4" hidden="1" x14ac:dyDescent="0.35">
      <c r="C339">
        <v>23584</v>
      </c>
      <c r="D339" t="s">
        <v>511</v>
      </c>
    </row>
    <row r="340" spans="3:4" hidden="1" x14ac:dyDescent="0.35">
      <c r="C340">
        <v>23585</v>
      </c>
      <c r="D340" t="s">
        <v>512</v>
      </c>
    </row>
    <row r="341" spans="3:4" hidden="1" x14ac:dyDescent="0.35">
      <c r="C341">
        <v>23586</v>
      </c>
      <c r="D341" t="s">
        <v>513</v>
      </c>
    </row>
    <row r="342" spans="3:4" hidden="1" x14ac:dyDescent="0.35">
      <c r="C342">
        <v>23587</v>
      </c>
      <c r="D342" t="s">
        <v>514</v>
      </c>
    </row>
    <row r="343" spans="3:4" hidden="1" x14ac:dyDescent="0.35">
      <c r="C343">
        <v>23588</v>
      </c>
      <c r="D343" t="s">
        <v>515</v>
      </c>
    </row>
    <row r="344" spans="3:4" hidden="1" x14ac:dyDescent="0.35">
      <c r="C344">
        <v>23589</v>
      </c>
      <c r="D344" t="s">
        <v>516</v>
      </c>
    </row>
    <row r="345" spans="3:4" hidden="1" x14ac:dyDescent="0.35">
      <c r="C345">
        <v>23590</v>
      </c>
      <c r="D345" t="s">
        <v>517</v>
      </c>
    </row>
    <row r="346" spans="3:4" hidden="1" x14ac:dyDescent="0.35">
      <c r="C346">
        <v>23591</v>
      </c>
      <c r="D346" t="s">
        <v>518</v>
      </c>
    </row>
    <row r="347" spans="3:4" hidden="1" x14ac:dyDescent="0.35">
      <c r="C347">
        <v>23592</v>
      </c>
      <c r="D347" t="s">
        <v>519</v>
      </c>
    </row>
    <row r="348" spans="3:4" hidden="1" x14ac:dyDescent="0.35">
      <c r="C348">
        <v>23593</v>
      </c>
      <c r="D348" t="s">
        <v>520</v>
      </c>
    </row>
    <row r="349" spans="3:4" hidden="1" x14ac:dyDescent="0.35">
      <c r="C349">
        <v>23595</v>
      </c>
      <c r="D349" t="s">
        <v>521</v>
      </c>
    </row>
    <row r="350" spans="3:4" hidden="1" x14ac:dyDescent="0.35">
      <c r="C350">
        <v>23598</v>
      </c>
      <c r="D350" t="s">
        <v>522</v>
      </c>
    </row>
    <row r="351" spans="3:4" hidden="1" x14ac:dyDescent="0.35">
      <c r="C351">
        <v>23600</v>
      </c>
      <c r="D351" t="s">
        <v>523</v>
      </c>
    </row>
    <row r="352" spans="3:4" hidden="1" x14ac:dyDescent="0.35">
      <c r="C352">
        <v>23601</v>
      </c>
      <c r="D352" t="s">
        <v>524</v>
      </c>
    </row>
    <row r="353" spans="3:4" hidden="1" x14ac:dyDescent="0.35">
      <c r="C353">
        <v>23603</v>
      </c>
      <c r="D353" t="s">
        <v>525</v>
      </c>
    </row>
    <row r="354" spans="3:4" hidden="1" x14ac:dyDescent="0.35">
      <c r="C354">
        <v>23604</v>
      </c>
      <c r="D354" t="s">
        <v>526</v>
      </c>
    </row>
    <row r="355" spans="3:4" hidden="1" x14ac:dyDescent="0.35">
      <c r="C355">
        <v>23606</v>
      </c>
      <c r="D355" t="s">
        <v>527</v>
      </c>
    </row>
    <row r="356" spans="3:4" hidden="1" x14ac:dyDescent="0.35">
      <c r="C356">
        <v>23607</v>
      </c>
      <c r="D356" t="s">
        <v>528</v>
      </c>
    </row>
    <row r="357" spans="3:4" hidden="1" x14ac:dyDescent="0.35">
      <c r="C357">
        <v>23608</v>
      </c>
      <c r="D357" t="s">
        <v>529</v>
      </c>
    </row>
    <row r="358" spans="3:4" hidden="1" x14ac:dyDescent="0.35">
      <c r="C358">
        <v>23609</v>
      </c>
      <c r="D358" t="s">
        <v>530</v>
      </c>
    </row>
    <row r="359" spans="3:4" hidden="1" x14ac:dyDescent="0.35">
      <c r="C359">
        <v>23610</v>
      </c>
      <c r="D359" t="s">
        <v>531</v>
      </c>
    </row>
    <row r="360" spans="3:4" hidden="1" x14ac:dyDescent="0.35">
      <c r="C360">
        <v>23611</v>
      </c>
      <c r="D360" t="s">
        <v>532</v>
      </c>
    </row>
    <row r="361" spans="3:4" hidden="1" x14ac:dyDescent="0.35">
      <c r="C361">
        <v>23612</v>
      </c>
      <c r="D361" t="s">
        <v>533</v>
      </c>
    </row>
    <row r="362" spans="3:4" hidden="1" x14ac:dyDescent="0.35">
      <c r="C362">
        <v>23613</v>
      </c>
      <c r="D362" t="s">
        <v>534</v>
      </c>
    </row>
    <row r="363" spans="3:4" hidden="1" x14ac:dyDescent="0.35">
      <c r="C363">
        <v>23614</v>
      </c>
      <c r="D363" t="s">
        <v>535</v>
      </c>
    </row>
    <row r="364" spans="3:4" hidden="1" x14ac:dyDescent="0.35">
      <c r="C364">
        <v>23616</v>
      </c>
      <c r="D364" t="s">
        <v>536</v>
      </c>
    </row>
    <row r="365" spans="3:4" hidden="1" x14ac:dyDescent="0.35">
      <c r="C365">
        <v>23619</v>
      </c>
      <c r="D365" t="s">
        <v>537</v>
      </c>
    </row>
    <row r="366" spans="3:4" hidden="1" x14ac:dyDescent="0.35">
      <c r="C366">
        <v>23620</v>
      </c>
      <c r="D366" t="s">
        <v>538</v>
      </c>
    </row>
    <row r="367" spans="3:4" hidden="1" x14ac:dyDescent="0.35">
      <c r="C367">
        <v>23621</v>
      </c>
      <c r="D367" t="s">
        <v>539</v>
      </c>
    </row>
    <row r="368" spans="3:4" hidden="1" x14ac:dyDescent="0.35">
      <c r="C368">
        <v>23622</v>
      </c>
      <c r="D368" t="s">
        <v>540</v>
      </c>
    </row>
    <row r="369" spans="3:4" hidden="1" x14ac:dyDescent="0.35">
      <c r="C369">
        <v>23625</v>
      </c>
      <c r="D369" t="s">
        <v>541</v>
      </c>
    </row>
    <row r="370" spans="3:4" hidden="1" x14ac:dyDescent="0.35">
      <c r="C370">
        <v>23626</v>
      </c>
      <c r="D370" t="s">
        <v>542</v>
      </c>
    </row>
    <row r="371" spans="3:4" hidden="1" x14ac:dyDescent="0.35">
      <c r="C371">
        <v>23627</v>
      </c>
      <c r="D371" t="s">
        <v>543</v>
      </c>
    </row>
    <row r="372" spans="3:4" hidden="1" x14ac:dyDescent="0.35">
      <c r="C372">
        <v>23628</v>
      </c>
      <c r="D372" t="s">
        <v>544</v>
      </c>
    </row>
    <row r="373" spans="3:4" hidden="1" x14ac:dyDescent="0.35">
      <c r="C373">
        <v>23629</v>
      </c>
      <c r="D373" t="s">
        <v>545</v>
      </c>
    </row>
    <row r="374" spans="3:4" hidden="1" x14ac:dyDescent="0.35">
      <c r="C374">
        <v>23632</v>
      </c>
      <c r="D374" t="s">
        <v>546</v>
      </c>
    </row>
    <row r="375" spans="3:4" hidden="1" x14ac:dyDescent="0.35">
      <c r="C375">
        <v>23639</v>
      </c>
      <c r="D375" t="s">
        <v>547</v>
      </c>
    </row>
    <row r="376" spans="3:4" hidden="1" x14ac:dyDescent="0.35">
      <c r="C376">
        <v>23640</v>
      </c>
      <c r="D376" t="s">
        <v>548</v>
      </c>
    </row>
    <row r="377" spans="3:4" hidden="1" x14ac:dyDescent="0.35">
      <c r="C377">
        <v>23641</v>
      </c>
      <c r="D377" t="s">
        <v>549</v>
      </c>
    </row>
    <row r="378" spans="3:4" hidden="1" x14ac:dyDescent="0.35">
      <c r="C378">
        <v>23642</v>
      </c>
      <c r="D378" t="s">
        <v>550</v>
      </c>
    </row>
    <row r="379" spans="3:4" hidden="1" x14ac:dyDescent="0.35">
      <c r="C379">
        <v>23644</v>
      </c>
      <c r="D379" t="s">
        <v>551</v>
      </c>
    </row>
    <row r="380" spans="3:4" hidden="1" x14ac:dyDescent="0.35">
      <c r="C380">
        <v>23645</v>
      </c>
      <c r="D380" t="s">
        <v>552</v>
      </c>
    </row>
    <row r="381" spans="3:4" hidden="1" x14ac:dyDescent="0.35">
      <c r="C381">
        <v>23646</v>
      </c>
      <c r="D381" t="s">
        <v>553</v>
      </c>
    </row>
    <row r="382" spans="3:4" hidden="1" x14ac:dyDescent="0.35">
      <c r="C382">
        <v>23647</v>
      </c>
      <c r="D382" t="s">
        <v>554</v>
      </c>
    </row>
    <row r="383" spans="3:4" hidden="1" x14ac:dyDescent="0.35">
      <c r="C383">
        <v>23650</v>
      </c>
      <c r="D383" t="s">
        <v>555</v>
      </c>
    </row>
    <row r="384" spans="3:4" hidden="1" x14ac:dyDescent="0.35">
      <c r="C384">
        <v>23651</v>
      </c>
      <c r="D384" t="s">
        <v>556</v>
      </c>
    </row>
    <row r="385" spans="3:4" hidden="1" x14ac:dyDescent="0.35">
      <c r="C385">
        <v>23652</v>
      </c>
      <c r="D385" t="s">
        <v>557</v>
      </c>
    </row>
    <row r="386" spans="3:4" hidden="1" x14ac:dyDescent="0.35">
      <c r="C386">
        <v>23653</v>
      </c>
      <c r="D386" t="s">
        <v>558</v>
      </c>
    </row>
    <row r="387" spans="3:4" hidden="1" x14ac:dyDescent="0.35">
      <c r="C387">
        <v>23654</v>
      </c>
      <c r="D387" t="s">
        <v>559</v>
      </c>
    </row>
    <row r="388" spans="3:4" hidden="1" x14ac:dyDescent="0.35">
      <c r="C388">
        <v>23655</v>
      </c>
      <c r="D388" t="s">
        <v>560</v>
      </c>
    </row>
    <row r="389" spans="3:4" hidden="1" x14ac:dyDescent="0.35">
      <c r="C389">
        <v>23656</v>
      </c>
      <c r="D389" t="s">
        <v>561</v>
      </c>
    </row>
    <row r="390" spans="3:4" hidden="1" x14ac:dyDescent="0.35">
      <c r="C390">
        <v>23657</v>
      </c>
      <c r="D390" t="s">
        <v>562</v>
      </c>
    </row>
    <row r="391" spans="3:4" hidden="1" x14ac:dyDescent="0.35">
      <c r="C391">
        <v>23659</v>
      </c>
      <c r="D391" t="s">
        <v>563</v>
      </c>
    </row>
    <row r="392" spans="3:4" hidden="1" x14ac:dyDescent="0.35">
      <c r="C392">
        <v>23660</v>
      </c>
      <c r="D392" t="s">
        <v>564</v>
      </c>
    </row>
    <row r="393" spans="3:4" hidden="1" x14ac:dyDescent="0.35">
      <c r="C393">
        <v>23663</v>
      </c>
      <c r="D393" t="s">
        <v>565</v>
      </c>
    </row>
    <row r="394" spans="3:4" hidden="1" x14ac:dyDescent="0.35">
      <c r="C394">
        <v>23687</v>
      </c>
      <c r="D394" t="s">
        <v>566</v>
      </c>
    </row>
    <row r="395" spans="3:4" hidden="1" x14ac:dyDescent="0.35">
      <c r="C395">
        <v>23688</v>
      </c>
      <c r="D395" t="s">
        <v>567</v>
      </c>
    </row>
    <row r="396" spans="3:4" hidden="1" x14ac:dyDescent="0.35">
      <c r="C396">
        <v>23689</v>
      </c>
      <c r="D396" t="s">
        <v>568</v>
      </c>
    </row>
    <row r="397" spans="3:4" hidden="1" x14ac:dyDescent="0.35">
      <c r="C397">
        <v>23690</v>
      </c>
      <c r="D397" t="s">
        <v>569</v>
      </c>
    </row>
    <row r="398" spans="3:4" hidden="1" x14ac:dyDescent="0.35">
      <c r="C398">
        <v>23691</v>
      </c>
      <c r="D398" t="s">
        <v>570</v>
      </c>
    </row>
    <row r="399" spans="3:4" hidden="1" x14ac:dyDescent="0.35">
      <c r="C399">
        <v>23692</v>
      </c>
      <c r="D399" t="s">
        <v>571</v>
      </c>
    </row>
    <row r="400" spans="3:4" hidden="1" x14ac:dyDescent="0.35">
      <c r="C400">
        <v>23693</v>
      </c>
      <c r="D400" t="s">
        <v>572</v>
      </c>
    </row>
    <row r="401" spans="3:4" hidden="1" x14ac:dyDescent="0.35">
      <c r="C401">
        <v>23694</v>
      </c>
      <c r="D401" t="s">
        <v>573</v>
      </c>
    </row>
    <row r="402" spans="3:4" hidden="1" x14ac:dyDescent="0.35">
      <c r="C402">
        <v>23695</v>
      </c>
      <c r="D402" t="s">
        <v>574</v>
      </c>
    </row>
    <row r="403" spans="3:4" hidden="1" x14ac:dyDescent="0.35">
      <c r="C403">
        <v>23696</v>
      </c>
      <c r="D403" t="s">
        <v>575</v>
      </c>
    </row>
    <row r="404" spans="3:4" hidden="1" x14ac:dyDescent="0.35">
      <c r="C404">
        <v>23697</v>
      </c>
      <c r="D404" t="s">
        <v>576</v>
      </c>
    </row>
    <row r="405" spans="3:4" hidden="1" x14ac:dyDescent="0.35">
      <c r="C405">
        <v>23698</v>
      </c>
      <c r="D405" t="s">
        <v>577</v>
      </c>
    </row>
    <row r="406" spans="3:4" hidden="1" x14ac:dyDescent="0.35">
      <c r="C406">
        <v>23699</v>
      </c>
      <c r="D406" t="s">
        <v>578</v>
      </c>
    </row>
    <row r="407" spans="3:4" hidden="1" x14ac:dyDescent="0.35">
      <c r="C407">
        <v>23700</v>
      </c>
      <c r="D407" t="s">
        <v>579</v>
      </c>
    </row>
    <row r="408" spans="3:4" hidden="1" x14ac:dyDescent="0.35">
      <c r="C408">
        <v>23701</v>
      </c>
      <c r="D408" t="s">
        <v>580</v>
      </c>
    </row>
    <row r="409" spans="3:4" hidden="1" x14ac:dyDescent="0.35">
      <c r="C409">
        <v>23702</v>
      </c>
      <c r="D409" t="s">
        <v>581</v>
      </c>
    </row>
    <row r="410" spans="3:4" hidden="1" x14ac:dyDescent="0.35">
      <c r="C410">
        <v>23703</v>
      </c>
      <c r="D410" t="s">
        <v>582</v>
      </c>
    </row>
    <row r="411" spans="3:4" hidden="1" x14ac:dyDescent="0.35">
      <c r="C411">
        <v>23704</v>
      </c>
      <c r="D411" t="s">
        <v>583</v>
      </c>
    </row>
    <row r="412" spans="3:4" hidden="1" x14ac:dyDescent="0.35">
      <c r="C412">
        <v>23705</v>
      </c>
      <c r="D412" t="s">
        <v>584</v>
      </c>
    </row>
    <row r="413" spans="3:4" hidden="1" x14ac:dyDescent="0.35">
      <c r="C413">
        <v>23706</v>
      </c>
      <c r="D413" t="s">
        <v>585</v>
      </c>
    </row>
    <row r="414" spans="3:4" hidden="1" x14ac:dyDescent="0.35">
      <c r="C414">
        <v>23707</v>
      </c>
      <c r="D414" t="s">
        <v>586</v>
      </c>
    </row>
    <row r="415" spans="3:4" hidden="1" x14ac:dyDescent="0.35">
      <c r="C415">
        <v>23708</v>
      </c>
      <c r="D415" t="s">
        <v>587</v>
      </c>
    </row>
    <row r="416" spans="3:4" hidden="1" x14ac:dyDescent="0.35">
      <c r="C416">
        <v>23709</v>
      </c>
      <c r="D416" t="s">
        <v>588</v>
      </c>
    </row>
    <row r="417" spans="3:4" hidden="1" x14ac:dyDescent="0.35">
      <c r="C417">
        <v>23710</v>
      </c>
      <c r="D417" t="s">
        <v>589</v>
      </c>
    </row>
    <row r="418" spans="3:4" hidden="1" x14ac:dyDescent="0.35">
      <c r="C418">
        <v>23711</v>
      </c>
      <c r="D418" t="s">
        <v>590</v>
      </c>
    </row>
    <row r="419" spans="3:4" hidden="1" x14ac:dyDescent="0.35">
      <c r="C419">
        <v>23712</v>
      </c>
      <c r="D419" t="s">
        <v>591</v>
      </c>
    </row>
    <row r="420" spans="3:4" hidden="1" x14ac:dyDescent="0.35">
      <c r="C420">
        <v>23713</v>
      </c>
      <c r="D420" t="s">
        <v>592</v>
      </c>
    </row>
    <row r="421" spans="3:4" hidden="1" x14ac:dyDescent="0.35">
      <c r="C421">
        <v>23714</v>
      </c>
      <c r="D421" t="s">
        <v>593</v>
      </c>
    </row>
    <row r="422" spans="3:4" hidden="1" x14ac:dyDescent="0.35">
      <c r="C422">
        <v>23715</v>
      </c>
      <c r="D422" t="s">
        <v>594</v>
      </c>
    </row>
    <row r="423" spans="3:4" hidden="1" x14ac:dyDescent="0.35">
      <c r="C423">
        <v>23716</v>
      </c>
      <c r="D423" t="s">
        <v>595</v>
      </c>
    </row>
    <row r="424" spans="3:4" hidden="1" x14ac:dyDescent="0.35">
      <c r="C424">
        <v>23717</v>
      </c>
      <c r="D424" t="s">
        <v>596</v>
      </c>
    </row>
    <row r="425" spans="3:4" hidden="1" x14ac:dyDescent="0.35">
      <c r="C425">
        <v>23718</v>
      </c>
      <c r="D425" t="s">
        <v>597</v>
      </c>
    </row>
    <row r="426" spans="3:4" hidden="1" x14ac:dyDescent="0.35">
      <c r="C426">
        <v>23719</v>
      </c>
      <c r="D426" t="s">
        <v>598</v>
      </c>
    </row>
    <row r="427" spans="3:4" hidden="1" x14ac:dyDescent="0.35">
      <c r="C427">
        <v>23720</v>
      </c>
      <c r="D427" t="s">
        <v>599</v>
      </c>
    </row>
    <row r="428" spans="3:4" hidden="1" x14ac:dyDescent="0.35">
      <c r="C428">
        <v>23721</v>
      </c>
      <c r="D428" t="s">
        <v>600</v>
      </c>
    </row>
    <row r="429" spans="3:4" hidden="1" x14ac:dyDescent="0.35">
      <c r="C429">
        <v>23722</v>
      </c>
      <c r="D429" t="s">
        <v>601</v>
      </c>
    </row>
    <row r="430" spans="3:4" hidden="1" x14ac:dyDescent="0.35">
      <c r="C430">
        <v>23729</v>
      </c>
      <c r="D430" t="s">
        <v>602</v>
      </c>
    </row>
    <row r="431" spans="3:4" hidden="1" x14ac:dyDescent="0.35">
      <c r="C431">
        <v>23743</v>
      </c>
      <c r="D431" t="s">
        <v>603</v>
      </c>
    </row>
    <row r="432" spans="3:4" hidden="1" x14ac:dyDescent="0.35">
      <c r="C432">
        <v>23744</v>
      </c>
      <c r="D432" t="s">
        <v>604</v>
      </c>
    </row>
    <row r="433" spans="3:4" hidden="1" x14ac:dyDescent="0.35">
      <c r="C433">
        <v>23754</v>
      </c>
      <c r="D433" t="s">
        <v>605</v>
      </c>
    </row>
    <row r="434" spans="3:4" hidden="1" x14ac:dyDescent="0.35">
      <c r="C434">
        <v>23756</v>
      </c>
      <c r="D434" t="s">
        <v>606</v>
      </c>
    </row>
    <row r="435" spans="3:4" hidden="1" x14ac:dyDescent="0.35">
      <c r="C435">
        <v>23757</v>
      </c>
      <c r="D435" t="s">
        <v>607</v>
      </c>
    </row>
    <row r="436" spans="3:4" hidden="1" x14ac:dyDescent="0.35">
      <c r="C436">
        <v>23758</v>
      </c>
      <c r="D436" t="s">
        <v>608</v>
      </c>
    </row>
    <row r="437" spans="3:4" hidden="1" x14ac:dyDescent="0.35">
      <c r="C437">
        <v>23759</v>
      </c>
      <c r="D437" t="s">
        <v>609</v>
      </c>
    </row>
    <row r="438" spans="3:4" hidden="1" x14ac:dyDescent="0.35">
      <c r="C438">
        <v>23760</v>
      </c>
      <c r="D438" t="s">
        <v>610</v>
      </c>
    </row>
    <row r="439" spans="3:4" hidden="1" x14ac:dyDescent="0.35">
      <c r="C439">
        <v>23765</v>
      </c>
      <c r="D439" t="s">
        <v>611</v>
      </c>
    </row>
    <row r="440" spans="3:4" hidden="1" x14ac:dyDescent="0.35">
      <c r="C440">
        <v>23766</v>
      </c>
      <c r="D440" t="s">
        <v>612</v>
      </c>
    </row>
    <row r="441" spans="3:4" hidden="1" x14ac:dyDescent="0.35">
      <c r="C441">
        <v>23767</v>
      </c>
      <c r="D441" t="s">
        <v>613</v>
      </c>
    </row>
    <row r="442" spans="3:4" hidden="1" x14ac:dyDescent="0.35">
      <c r="C442">
        <v>23768</v>
      </c>
      <c r="D442" t="s">
        <v>614</v>
      </c>
    </row>
    <row r="443" spans="3:4" hidden="1" x14ac:dyDescent="0.35">
      <c r="C443">
        <v>23769</v>
      </c>
      <c r="D443" t="s">
        <v>615</v>
      </c>
    </row>
    <row r="444" spans="3:4" hidden="1" x14ac:dyDescent="0.35">
      <c r="C444">
        <v>23770</v>
      </c>
      <c r="D444" t="s">
        <v>616</v>
      </c>
    </row>
    <row r="445" spans="3:4" hidden="1" x14ac:dyDescent="0.35">
      <c r="C445">
        <v>23776</v>
      </c>
      <c r="D445" t="s">
        <v>617</v>
      </c>
    </row>
    <row r="446" spans="3:4" hidden="1" x14ac:dyDescent="0.35">
      <c r="C446">
        <v>23777</v>
      </c>
      <c r="D446" t="s">
        <v>618</v>
      </c>
    </row>
    <row r="447" spans="3:4" hidden="1" x14ac:dyDescent="0.35">
      <c r="C447">
        <v>23778</v>
      </c>
      <c r="D447" t="s">
        <v>619</v>
      </c>
    </row>
    <row r="448" spans="3:4" hidden="1" x14ac:dyDescent="0.35">
      <c r="C448">
        <v>23779</v>
      </c>
      <c r="D448" t="s">
        <v>620</v>
      </c>
    </row>
    <row r="449" spans="3:4" hidden="1" x14ac:dyDescent="0.35">
      <c r="C449">
        <v>23780</v>
      </c>
      <c r="D449" t="s">
        <v>621</v>
      </c>
    </row>
    <row r="450" spans="3:4" hidden="1" x14ac:dyDescent="0.35">
      <c r="C450">
        <v>23780</v>
      </c>
      <c r="D450" t="s">
        <v>622</v>
      </c>
    </row>
    <row r="451" spans="3:4" hidden="1" x14ac:dyDescent="0.35">
      <c r="C451">
        <v>23781</v>
      </c>
      <c r="D451" t="s">
        <v>623</v>
      </c>
    </row>
    <row r="452" spans="3:4" hidden="1" x14ac:dyDescent="0.35">
      <c r="C452">
        <v>23783</v>
      </c>
      <c r="D452" t="s">
        <v>624</v>
      </c>
    </row>
    <row r="453" spans="3:4" hidden="1" x14ac:dyDescent="0.35">
      <c r="C453">
        <v>23786</v>
      </c>
      <c r="D453" t="s">
        <v>625</v>
      </c>
    </row>
    <row r="454" spans="3:4" hidden="1" x14ac:dyDescent="0.35">
      <c r="C454">
        <v>23790</v>
      </c>
      <c r="D454" t="s">
        <v>626</v>
      </c>
    </row>
    <row r="455" spans="3:4" hidden="1" x14ac:dyDescent="0.35">
      <c r="C455">
        <v>23791</v>
      </c>
      <c r="D455" t="s">
        <v>627</v>
      </c>
    </row>
    <row r="456" spans="3:4" hidden="1" x14ac:dyDescent="0.35">
      <c r="C456">
        <v>23792</v>
      </c>
      <c r="D456" t="s">
        <v>628</v>
      </c>
    </row>
    <row r="457" spans="3:4" hidden="1" x14ac:dyDescent="0.35">
      <c r="C457">
        <v>23793</v>
      </c>
      <c r="D457" t="s">
        <v>629</v>
      </c>
    </row>
    <row r="458" spans="3:4" hidden="1" x14ac:dyDescent="0.35">
      <c r="C458">
        <v>23794</v>
      </c>
      <c r="D458" t="s">
        <v>630</v>
      </c>
    </row>
    <row r="459" spans="3:4" hidden="1" x14ac:dyDescent="0.35">
      <c r="C459">
        <v>23796</v>
      </c>
      <c r="D459" t="s">
        <v>631</v>
      </c>
    </row>
    <row r="460" spans="3:4" hidden="1" x14ac:dyDescent="0.35">
      <c r="C460">
        <v>23797</v>
      </c>
      <c r="D460" t="s">
        <v>632</v>
      </c>
    </row>
    <row r="461" spans="3:4" hidden="1" x14ac:dyDescent="0.35">
      <c r="C461">
        <v>23798</v>
      </c>
      <c r="D461" t="s">
        <v>633</v>
      </c>
    </row>
    <row r="462" spans="3:4" hidden="1" x14ac:dyDescent="0.35">
      <c r="C462">
        <v>23799</v>
      </c>
      <c r="D462" t="s">
        <v>634</v>
      </c>
    </row>
    <row r="463" spans="3:4" hidden="1" x14ac:dyDescent="0.35">
      <c r="C463">
        <v>23800</v>
      </c>
      <c r="D463" t="s">
        <v>635</v>
      </c>
    </row>
    <row r="464" spans="3:4" hidden="1" x14ac:dyDescent="0.35">
      <c r="C464">
        <v>23801</v>
      </c>
      <c r="D464" t="s">
        <v>636</v>
      </c>
    </row>
    <row r="465" spans="3:4" hidden="1" x14ac:dyDescent="0.35">
      <c r="C465">
        <v>23802</v>
      </c>
      <c r="D465" t="s">
        <v>637</v>
      </c>
    </row>
    <row r="466" spans="3:4" hidden="1" x14ac:dyDescent="0.35">
      <c r="C466">
        <v>23803</v>
      </c>
      <c r="D466" t="s">
        <v>638</v>
      </c>
    </row>
    <row r="467" spans="3:4" hidden="1" x14ac:dyDescent="0.35">
      <c r="C467">
        <v>23805</v>
      </c>
      <c r="D467" t="s">
        <v>639</v>
      </c>
    </row>
    <row r="468" spans="3:4" hidden="1" x14ac:dyDescent="0.35">
      <c r="C468">
        <v>23807</v>
      </c>
      <c r="D468" t="s">
        <v>640</v>
      </c>
    </row>
    <row r="469" spans="3:4" hidden="1" x14ac:dyDescent="0.35">
      <c r="C469">
        <v>23808</v>
      </c>
      <c r="D469" t="s">
        <v>641</v>
      </c>
    </row>
    <row r="470" spans="3:4" hidden="1" x14ac:dyDescent="0.35">
      <c r="C470">
        <v>23810</v>
      </c>
      <c r="D470" t="s">
        <v>642</v>
      </c>
    </row>
    <row r="471" spans="3:4" hidden="1" x14ac:dyDescent="0.35">
      <c r="C471">
        <v>23811</v>
      </c>
      <c r="D471" t="s">
        <v>643</v>
      </c>
    </row>
    <row r="472" spans="3:4" hidden="1" x14ac:dyDescent="0.35">
      <c r="C472">
        <v>23856</v>
      </c>
      <c r="D472" t="s">
        <v>644</v>
      </c>
    </row>
    <row r="473" spans="3:4" hidden="1" x14ac:dyDescent="0.35">
      <c r="C473">
        <v>23857</v>
      </c>
      <c r="D473" t="s">
        <v>645</v>
      </c>
    </row>
    <row r="474" spans="3:4" hidden="1" x14ac:dyDescent="0.35">
      <c r="C474">
        <v>23858</v>
      </c>
      <c r="D474" t="s">
        <v>646</v>
      </c>
    </row>
    <row r="475" spans="3:4" hidden="1" x14ac:dyDescent="0.35">
      <c r="C475">
        <v>23895</v>
      </c>
      <c r="D475" t="s">
        <v>647</v>
      </c>
    </row>
    <row r="476" spans="3:4" hidden="1" x14ac:dyDescent="0.35">
      <c r="C476">
        <v>23900</v>
      </c>
      <c r="D476" t="s">
        <v>648</v>
      </c>
    </row>
    <row r="477" spans="3:4" hidden="1" x14ac:dyDescent="0.35">
      <c r="C477">
        <v>23901</v>
      </c>
      <c r="D477" t="s">
        <v>649</v>
      </c>
    </row>
    <row r="478" spans="3:4" hidden="1" x14ac:dyDescent="0.35">
      <c r="C478">
        <v>23902</v>
      </c>
      <c r="D478" t="s">
        <v>650</v>
      </c>
    </row>
    <row r="479" spans="3:4" hidden="1" x14ac:dyDescent="0.35">
      <c r="C479">
        <v>23903</v>
      </c>
      <c r="D479" t="s">
        <v>651</v>
      </c>
    </row>
    <row r="480" spans="3:4" hidden="1" x14ac:dyDescent="0.35">
      <c r="C480">
        <v>23913</v>
      </c>
      <c r="D480" t="s">
        <v>652</v>
      </c>
    </row>
    <row r="481" spans="3:4" hidden="1" x14ac:dyDescent="0.35">
      <c r="C481">
        <v>23914</v>
      </c>
      <c r="D481" t="s">
        <v>653</v>
      </c>
    </row>
    <row r="482" spans="3:4" hidden="1" x14ac:dyDescent="0.35">
      <c r="C482">
        <v>23915</v>
      </c>
      <c r="D482" t="s">
        <v>654</v>
      </c>
    </row>
    <row r="483" spans="3:4" hidden="1" x14ac:dyDescent="0.35">
      <c r="C483">
        <v>23982</v>
      </c>
      <c r="D483" t="s">
        <v>655</v>
      </c>
    </row>
    <row r="484" spans="3:4" hidden="1" x14ac:dyDescent="0.35">
      <c r="C484">
        <v>23983</v>
      </c>
      <c r="D484" t="s">
        <v>656</v>
      </c>
    </row>
    <row r="485" spans="3:4" hidden="1" x14ac:dyDescent="0.35">
      <c r="C485">
        <v>23985</v>
      </c>
      <c r="D485" t="s">
        <v>657</v>
      </c>
    </row>
    <row r="486" spans="3:4" hidden="1" x14ac:dyDescent="0.35">
      <c r="C486">
        <v>23986</v>
      </c>
      <c r="D486" t="s">
        <v>658</v>
      </c>
    </row>
    <row r="487" spans="3:4" hidden="1" x14ac:dyDescent="0.35">
      <c r="C487">
        <v>23987</v>
      </c>
      <c r="D487" t="s">
        <v>659</v>
      </c>
    </row>
    <row r="488" spans="3:4" hidden="1" x14ac:dyDescent="0.35">
      <c r="C488">
        <v>23988</v>
      </c>
      <c r="D488" t="s">
        <v>660</v>
      </c>
    </row>
    <row r="489" spans="3:4" hidden="1" x14ac:dyDescent="0.35">
      <c r="C489">
        <v>23990</v>
      </c>
      <c r="D489" t="s">
        <v>661</v>
      </c>
    </row>
    <row r="490" spans="3:4" hidden="1" x14ac:dyDescent="0.35">
      <c r="C490">
        <v>24000</v>
      </c>
      <c r="D490" t="s">
        <v>662</v>
      </c>
    </row>
    <row r="491" spans="3:4" hidden="1" x14ac:dyDescent="0.35">
      <c r="C491">
        <v>24008</v>
      </c>
      <c r="D491" t="s">
        <v>663</v>
      </c>
    </row>
    <row r="492" spans="3:4" hidden="1" x14ac:dyDescent="0.35">
      <c r="C492">
        <v>24010</v>
      </c>
      <c r="D492" t="s">
        <v>664</v>
      </c>
    </row>
    <row r="493" spans="3:4" hidden="1" x14ac:dyDescent="0.35">
      <c r="C493">
        <v>24011</v>
      </c>
      <c r="D493" t="s">
        <v>665</v>
      </c>
    </row>
    <row r="494" spans="3:4" hidden="1" x14ac:dyDescent="0.35">
      <c r="C494">
        <v>24013</v>
      </c>
      <c r="D494" t="s">
        <v>666</v>
      </c>
    </row>
    <row r="495" spans="3:4" hidden="1" x14ac:dyDescent="0.35">
      <c r="C495">
        <v>24014</v>
      </c>
      <c r="D495" t="s">
        <v>667</v>
      </c>
    </row>
    <row r="496" spans="3:4" hidden="1" x14ac:dyDescent="0.35">
      <c r="C496">
        <v>24015</v>
      </c>
      <c r="D496" t="s">
        <v>668</v>
      </c>
    </row>
    <row r="497" spans="3:4" hidden="1" x14ac:dyDescent="0.35">
      <c r="C497">
        <v>24016</v>
      </c>
      <c r="D497" t="s">
        <v>669</v>
      </c>
    </row>
    <row r="498" spans="3:4" hidden="1" x14ac:dyDescent="0.35">
      <c r="C498">
        <v>24017</v>
      </c>
      <c r="D498" t="s">
        <v>670</v>
      </c>
    </row>
    <row r="499" spans="3:4" hidden="1" x14ac:dyDescent="0.35">
      <c r="C499">
        <v>24018</v>
      </c>
      <c r="D499" t="s">
        <v>671</v>
      </c>
    </row>
    <row r="500" spans="3:4" hidden="1" x14ac:dyDescent="0.35">
      <c r="C500">
        <v>24019</v>
      </c>
      <c r="D500" t="s">
        <v>672</v>
      </c>
    </row>
    <row r="501" spans="3:4" hidden="1" x14ac:dyDescent="0.35">
      <c r="C501">
        <v>24020</v>
      </c>
      <c r="D501" t="s">
        <v>673</v>
      </c>
    </row>
    <row r="502" spans="3:4" hidden="1" x14ac:dyDescent="0.35">
      <c r="C502">
        <v>24021</v>
      </c>
      <c r="D502" t="s">
        <v>674</v>
      </c>
    </row>
    <row r="503" spans="3:4" hidden="1" x14ac:dyDescent="0.35">
      <c r="C503">
        <v>24023</v>
      </c>
      <c r="D503" t="s">
        <v>675</v>
      </c>
    </row>
    <row r="504" spans="3:4" hidden="1" x14ac:dyDescent="0.35">
      <c r="C504">
        <v>24024</v>
      </c>
      <c r="D504" t="s">
        <v>676</v>
      </c>
    </row>
    <row r="505" spans="3:4" hidden="1" x14ac:dyDescent="0.35">
      <c r="C505">
        <v>24026</v>
      </c>
      <c r="D505" t="s">
        <v>677</v>
      </c>
    </row>
    <row r="506" spans="3:4" hidden="1" x14ac:dyDescent="0.35">
      <c r="C506">
        <v>24028</v>
      </c>
      <c r="D506" t="s">
        <v>678</v>
      </c>
    </row>
    <row r="507" spans="3:4" hidden="1" x14ac:dyDescent="0.35">
      <c r="C507">
        <v>24039</v>
      </c>
      <c r="D507" t="s">
        <v>679</v>
      </c>
    </row>
    <row r="508" spans="3:4" hidden="1" x14ac:dyDescent="0.35">
      <c r="C508">
        <v>24041</v>
      </c>
      <c r="D508" t="s">
        <v>680</v>
      </c>
    </row>
    <row r="509" spans="3:4" hidden="1" x14ac:dyDescent="0.35">
      <c r="C509">
        <v>24042</v>
      </c>
      <c r="D509" t="s">
        <v>681</v>
      </c>
    </row>
    <row r="510" spans="3:4" hidden="1" x14ac:dyDescent="0.35">
      <c r="C510">
        <v>24043</v>
      </c>
      <c r="D510" t="s">
        <v>682</v>
      </c>
    </row>
    <row r="511" spans="3:4" hidden="1" x14ac:dyDescent="0.35">
      <c r="C511">
        <v>24044</v>
      </c>
      <c r="D511" t="s">
        <v>683</v>
      </c>
    </row>
    <row r="512" spans="3:4" hidden="1" x14ac:dyDescent="0.35">
      <c r="C512">
        <v>24046</v>
      </c>
      <c r="D512" t="s">
        <v>684</v>
      </c>
    </row>
    <row r="513" spans="3:4" hidden="1" x14ac:dyDescent="0.35">
      <c r="C513">
        <v>24047</v>
      </c>
      <c r="D513" t="s">
        <v>685</v>
      </c>
    </row>
    <row r="514" spans="3:4" hidden="1" x14ac:dyDescent="0.35">
      <c r="C514">
        <v>24048</v>
      </c>
      <c r="D514" t="s">
        <v>686</v>
      </c>
    </row>
    <row r="515" spans="3:4" hidden="1" x14ac:dyDescent="0.35">
      <c r="C515">
        <v>24049</v>
      </c>
      <c r="D515" t="s">
        <v>687</v>
      </c>
    </row>
    <row r="516" spans="3:4" hidden="1" x14ac:dyDescent="0.35">
      <c r="C516">
        <v>24050</v>
      </c>
      <c r="D516" t="s">
        <v>688</v>
      </c>
    </row>
    <row r="517" spans="3:4" hidden="1" x14ac:dyDescent="0.35">
      <c r="C517">
        <v>24051</v>
      </c>
      <c r="D517" t="s">
        <v>689</v>
      </c>
    </row>
    <row r="518" spans="3:4" hidden="1" x14ac:dyDescent="0.35">
      <c r="C518">
        <v>24053</v>
      </c>
      <c r="D518" t="s">
        <v>690</v>
      </c>
    </row>
    <row r="519" spans="3:4" hidden="1" x14ac:dyDescent="0.35">
      <c r="C519">
        <v>24054</v>
      </c>
      <c r="D519" t="s">
        <v>691</v>
      </c>
    </row>
    <row r="520" spans="3:4" hidden="1" x14ac:dyDescent="0.35">
      <c r="C520">
        <v>24056</v>
      </c>
      <c r="D520" t="s">
        <v>692</v>
      </c>
    </row>
    <row r="521" spans="3:4" hidden="1" x14ac:dyDescent="0.35">
      <c r="C521">
        <v>24057</v>
      </c>
      <c r="D521" t="s">
        <v>693</v>
      </c>
    </row>
    <row r="522" spans="3:4" hidden="1" x14ac:dyDescent="0.35">
      <c r="C522">
        <v>24058</v>
      </c>
      <c r="D522" t="s">
        <v>694</v>
      </c>
    </row>
    <row r="523" spans="3:4" hidden="1" x14ac:dyDescent="0.35">
      <c r="C523">
        <v>24059</v>
      </c>
      <c r="D523" t="s">
        <v>695</v>
      </c>
    </row>
    <row r="524" spans="3:4" hidden="1" x14ac:dyDescent="0.35">
      <c r="C524">
        <v>24060</v>
      </c>
      <c r="D524" t="s">
        <v>696</v>
      </c>
    </row>
    <row r="525" spans="3:4" hidden="1" x14ac:dyDescent="0.35">
      <c r="C525">
        <v>24062</v>
      </c>
      <c r="D525" t="s">
        <v>697</v>
      </c>
    </row>
    <row r="526" spans="3:4" hidden="1" x14ac:dyDescent="0.35">
      <c r="C526">
        <v>24063</v>
      </c>
      <c r="D526" t="s">
        <v>698</v>
      </c>
    </row>
    <row r="527" spans="3:4" hidden="1" x14ac:dyDescent="0.35">
      <c r="C527">
        <v>24065</v>
      </c>
      <c r="D527" t="s">
        <v>699</v>
      </c>
    </row>
    <row r="528" spans="3:4" hidden="1" x14ac:dyDescent="0.35">
      <c r="C528">
        <v>24077</v>
      </c>
      <c r="D528" t="s">
        <v>700</v>
      </c>
    </row>
    <row r="529" spans="3:4" hidden="1" x14ac:dyDescent="0.35">
      <c r="C529">
        <v>24078</v>
      </c>
      <c r="D529" t="s">
        <v>701</v>
      </c>
    </row>
    <row r="530" spans="3:4" hidden="1" x14ac:dyDescent="0.35">
      <c r="C530">
        <v>24079</v>
      </c>
      <c r="D530" t="s">
        <v>702</v>
      </c>
    </row>
    <row r="531" spans="3:4" hidden="1" x14ac:dyDescent="0.35">
      <c r="C531">
        <v>24080</v>
      </c>
      <c r="D531" t="s">
        <v>703</v>
      </c>
    </row>
    <row r="532" spans="3:4" hidden="1" x14ac:dyDescent="0.35">
      <c r="C532">
        <v>24084</v>
      </c>
      <c r="D532" t="s">
        <v>704</v>
      </c>
    </row>
    <row r="533" spans="3:4" hidden="1" x14ac:dyDescent="0.35">
      <c r="C533">
        <v>24094</v>
      </c>
      <c r="D533" t="s">
        <v>705</v>
      </c>
    </row>
    <row r="534" spans="3:4" hidden="1" x14ac:dyDescent="0.35">
      <c r="C534">
        <v>24095</v>
      </c>
      <c r="D534" t="s">
        <v>706</v>
      </c>
    </row>
    <row r="535" spans="3:4" hidden="1" x14ac:dyDescent="0.35">
      <c r="C535">
        <v>24096</v>
      </c>
      <c r="D535" t="s">
        <v>707</v>
      </c>
    </row>
    <row r="536" spans="3:4" hidden="1" x14ac:dyDescent="0.35">
      <c r="C536">
        <v>24097</v>
      </c>
      <c r="D536" t="s">
        <v>708</v>
      </c>
    </row>
    <row r="537" spans="3:4" hidden="1" x14ac:dyDescent="0.35">
      <c r="C537">
        <v>24098</v>
      </c>
      <c r="D537" t="s">
        <v>709</v>
      </c>
    </row>
    <row r="538" spans="3:4" hidden="1" x14ac:dyDescent="0.35">
      <c r="C538">
        <v>24099</v>
      </c>
      <c r="D538" t="s">
        <v>710</v>
      </c>
    </row>
    <row r="539" spans="3:4" hidden="1" x14ac:dyDescent="0.35">
      <c r="C539">
        <v>24100</v>
      </c>
      <c r="D539" t="s">
        <v>711</v>
      </c>
    </row>
    <row r="540" spans="3:4" hidden="1" x14ac:dyDescent="0.35">
      <c r="C540">
        <v>24101</v>
      </c>
      <c r="D540" t="s">
        <v>712</v>
      </c>
    </row>
    <row r="541" spans="3:4" hidden="1" x14ac:dyDescent="0.35">
      <c r="C541">
        <v>24102</v>
      </c>
      <c r="D541" t="s">
        <v>713</v>
      </c>
    </row>
    <row r="542" spans="3:4" hidden="1" x14ac:dyDescent="0.35">
      <c r="C542">
        <v>24103</v>
      </c>
      <c r="D542" t="s">
        <v>714</v>
      </c>
    </row>
    <row r="543" spans="3:4" hidden="1" x14ac:dyDescent="0.35">
      <c r="C543">
        <v>24104</v>
      </c>
      <c r="D543" t="s">
        <v>715</v>
      </c>
    </row>
    <row r="544" spans="3:4" hidden="1" x14ac:dyDescent="0.35">
      <c r="C544">
        <v>24105</v>
      </c>
      <c r="D544" t="s">
        <v>716</v>
      </c>
    </row>
    <row r="545" spans="3:4" hidden="1" x14ac:dyDescent="0.35">
      <c r="C545">
        <v>24106</v>
      </c>
      <c r="D545" t="s">
        <v>717</v>
      </c>
    </row>
    <row r="546" spans="3:4" hidden="1" x14ac:dyDescent="0.35">
      <c r="C546">
        <v>24107</v>
      </c>
      <c r="D546" t="s">
        <v>718</v>
      </c>
    </row>
    <row r="547" spans="3:4" hidden="1" x14ac:dyDescent="0.35">
      <c r="C547">
        <v>24108</v>
      </c>
      <c r="D547" t="s">
        <v>719</v>
      </c>
    </row>
    <row r="548" spans="3:4" hidden="1" x14ac:dyDescent="0.35">
      <c r="C548">
        <v>24109</v>
      </c>
      <c r="D548" t="s">
        <v>720</v>
      </c>
    </row>
    <row r="549" spans="3:4" hidden="1" x14ac:dyDescent="0.35">
      <c r="C549">
        <v>24110</v>
      </c>
      <c r="D549" t="s">
        <v>721</v>
      </c>
    </row>
    <row r="550" spans="3:4" hidden="1" x14ac:dyDescent="0.35">
      <c r="C550">
        <v>24111</v>
      </c>
      <c r="D550" t="s">
        <v>722</v>
      </c>
    </row>
    <row r="551" spans="3:4" hidden="1" x14ac:dyDescent="0.35">
      <c r="C551">
        <v>24112</v>
      </c>
      <c r="D551" t="s">
        <v>723</v>
      </c>
    </row>
    <row r="552" spans="3:4" hidden="1" x14ac:dyDescent="0.35">
      <c r="C552">
        <v>24113</v>
      </c>
      <c r="D552" t="s">
        <v>724</v>
      </c>
    </row>
    <row r="553" spans="3:4" hidden="1" x14ac:dyDescent="0.35">
      <c r="C553">
        <v>24114</v>
      </c>
      <c r="D553" t="s">
        <v>725</v>
      </c>
    </row>
    <row r="554" spans="3:4" hidden="1" x14ac:dyDescent="0.35">
      <c r="C554">
        <v>24115</v>
      </c>
      <c r="D554" t="s">
        <v>726</v>
      </c>
    </row>
    <row r="555" spans="3:4" hidden="1" x14ac:dyDescent="0.35">
      <c r="C555">
        <v>24116</v>
      </c>
      <c r="D555" t="s">
        <v>727</v>
      </c>
    </row>
    <row r="556" spans="3:4" hidden="1" x14ac:dyDescent="0.35">
      <c r="C556">
        <v>24117</v>
      </c>
      <c r="D556" t="s">
        <v>728</v>
      </c>
    </row>
    <row r="557" spans="3:4" hidden="1" x14ac:dyDescent="0.35">
      <c r="C557">
        <v>24118</v>
      </c>
      <c r="D557" t="s">
        <v>729</v>
      </c>
    </row>
    <row r="558" spans="3:4" hidden="1" x14ac:dyDescent="0.35">
      <c r="C558">
        <v>24119</v>
      </c>
      <c r="D558" t="s">
        <v>730</v>
      </c>
    </row>
    <row r="559" spans="3:4" hidden="1" x14ac:dyDescent="0.35">
      <c r="C559">
        <v>24120</v>
      </c>
      <c r="D559" t="s">
        <v>731</v>
      </c>
    </row>
    <row r="560" spans="3:4" hidden="1" x14ac:dyDescent="0.35">
      <c r="C560">
        <v>24121</v>
      </c>
      <c r="D560" t="s">
        <v>732</v>
      </c>
    </row>
    <row r="561" spans="3:4" hidden="1" x14ac:dyDescent="0.35">
      <c r="C561">
        <v>24122</v>
      </c>
      <c r="D561" t="s">
        <v>733</v>
      </c>
    </row>
    <row r="562" spans="3:4" hidden="1" x14ac:dyDescent="0.35">
      <c r="C562">
        <v>24123</v>
      </c>
      <c r="D562" t="s">
        <v>734</v>
      </c>
    </row>
    <row r="563" spans="3:4" hidden="1" x14ac:dyDescent="0.35">
      <c r="C563">
        <v>24124</v>
      </c>
      <c r="D563" t="s">
        <v>735</v>
      </c>
    </row>
    <row r="564" spans="3:4" hidden="1" x14ac:dyDescent="0.35">
      <c r="C564">
        <v>24125</v>
      </c>
      <c r="D564" t="s">
        <v>736</v>
      </c>
    </row>
    <row r="565" spans="3:4" hidden="1" x14ac:dyDescent="0.35">
      <c r="C565">
        <v>24126</v>
      </c>
      <c r="D565" t="s">
        <v>737</v>
      </c>
    </row>
    <row r="566" spans="3:4" hidden="1" x14ac:dyDescent="0.35">
      <c r="C566">
        <v>24127</v>
      </c>
      <c r="D566" t="s">
        <v>738</v>
      </c>
    </row>
    <row r="567" spans="3:4" hidden="1" x14ac:dyDescent="0.35">
      <c r="C567">
        <v>24128</v>
      </c>
      <c r="D567" t="s">
        <v>739</v>
      </c>
    </row>
    <row r="568" spans="3:4" hidden="1" x14ac:dyDescent="0.35">
      <c r="C568">
        <v>24129</v>
      </c>
      <c r="D568" t="s">
        <v>740</v>
      </c>
    </row>
    <row r="569" spans="3:4" hidden="1" x14ac:dyDescent="0.35">
      <c r="C569">
        <v>24130</v>
      </c>
      <c r="D569" t="s">
        <v>741</v>
      </c>
    </row>
    <row r="570" spans="3:4" hidden="1" x14ac:dyDescent="0.35">
      <c r="C570">
        <v>24131</v>
      </c>
      <c r="D570" t="s">
        <v>742</v>
      </c>
    </row>
    <row r="571" spans="3:4" hidden="1" x14ac:dyDescent="0.35">
      <c r="C571">
        <v>24132</v>
      </c>
      <c r="D571" t="s">
        <v>743</v>
      </c>
    </row>
    <row r="572" spans="3:4" hidden="1" x14ac:dyDescent="0.35">
      <c r="C572">
        <v>24133</v>
      </c>
      <c r="D572" t="s">
        <v>744</v>
      </c>
    </row>
    <row r="573" spans="3:4" hidden="1" x14ac:dyDescent="0.35">
      <c r="C573">
        <v>24134</v>
      </c>
      <c r="D573" t="s">
        <v>745</v>
      </c>
    </row>
    <row r="574" spans="3:4" hidden="1" x14ac:dyDescent="0.35">
      <c r="C574">
        <v>24135</v>
      </c>
      <c r="D574" t="s">
        <v>746</v>
      </c>
    </row>
    <row r="575" spans="3:4" hidden="1" x14ac:dyDescent="0.35">
      <c r="C575">
        <v>24136</v>
      </c>
      <c r="D575" t="s">
        <v>747</v>
      </c>
    </row>
    <row r="576" spans="3:4" hidden="1" x14ac:dyDescent="0.35">
      <c r="C576">
        <v>24137</v>
      </c>
      <c r="D576" t="s">
        <v>748</v>
      </c>
    </row>
    <row r="577" spans="3:4" hidden="1" x14ac:dyDescent="0.35">
      <c r="C577">
        <v>24138</v>
      </c>
      <c r="D577" t="s">
        <v>749</v>
      </c>
    </row>
    <row r="578" spans="3:4" hidden="1" x14ac:dyDescent="0.35">
      <c r="C578">
        <v>24139</v>
      </c>
      <c r="D578" t="s">
        <v>750</v>
      </c>
    </row>
    <row r="579" spans="3:4" hidden="1" x14ac:dyDescent="0.35">
      <c r="C579">
        <v>24147</v>
      </c>
      <c r="D579" t="s">
        <v>751</v>
      </c>
    </row>
    <row r="580" spans="3:4" hidden="1" x14ac:dyDescent="0.35">
      <c r="C580">
        <v>24167</v>
      </c>
      <c r="D580" t="s">
        <v>787</v>
      </c>
    </row>
    <row r="581" spans="3:4" hidden="1" x14ac:dyDescent="0.35">
      <c r="C581">
        <v>24225</v>
      </c>
      <c r="D581" t="s">
        <v>752</v>
      </c>
    </row>
    <row r="582" spans="3:4" hidden="1" x14ac:dyDescent="0.35">
      <c r="C582">
        <v>24226</v>
      </c>
      <c r="D582" t="s">
        <v>753</v>
      </c>
    </row>
    <row r="583" spans="3:4" hidden="1" x14ac:dyDescent="0.35">
      <c r="C583">
        <v>24227</v>
      </c>
      <c r="D583" t="s">
        <v>754</v>
      </c>
    </row>
    <row r="584" spans="3:4" hidden="1" x14ac:dyDescent="0.35">
      <c r="C584">
        <v>24228</v>
      </c>
      <c r="D584" t="s">
        <v>755</v>
      </c>
    </row>
    <row r="585" spans="3:4" hidden="1" x14ac:dyDescent="0.35">
      <c r="C585">
        <v>24229</v>
      </c>
      <c r="D585" t="s">
        <v>756</v>
      </c>
    </row>
    <row r="586" spans="3:4" hidden="1" x14ac:dyDescent="0.35">
      <c r="C586">
        <v>24230</v>
      </c>
      <c r="D586" t="s">
        <v>757</v>
      </c>
    </row>
    <row r="587" spans="3:4" hidden="1" x14ac:dyDescent="0.35">
      <c r="C587">
        <v>24231</v>
      </c>
      <c r="D587" t="s">
        <v>758</v>
      </c>
    </row>
    <row r="588" spans="3:4" hidden="1" x14ac:dyDescent="0.35">
      <c r="C588">
        <v>24232</v>
      </c>
      <c r="D588" t="s">
        <v>759</v>
      </c>
    </row>
    <row r="589" spans="3:4" hidden="1" x14ac:dyDescent="0.35">
      <c r="C589">
        <v>24233</v>
      </c>
      <c r="D589" t="s">
        <v>760</v>
      </c>
    </row>
    <row r="590" spans="3:4" hidden="1" x14ac:dyDescent="0.35">
      <c r="C590">
        <v>24234</v>
      </c>
      <c r="D590" t="s">
        <v>761</v>
      </c>
    </row>
    <row r="591" spans="3:4" hidden="1" x14ac:dyDescent="0.35">
      <c r="C591">
        <v>24235</v>
      </c>
      <c r="D591" t="s">
        <v>762</v>
      </c>
    </row>
    <row r="592" spans="3:4" hidden="1" x14ac:dyDescent="0.35">
      <c r="C592">
        <v>24236</v>
      </c>
      <c r="D592" t="s">
        <v>763</v>
      </c>
    </row>
    <row r="593" spans="3:4" hidden="1" x14ac:dyDescent="0.35">
      <c r="C593">
        <v>24237</v>
      </c>
      <c r="D593" t="s">
        <v>764</v>
      </c>
    </row>
    <row r="594" spans="3:4" hidden="1" x14ac:dyDescent="0.35">
      <c r="C594">
        <v>24238</v>
      </c>
      <c r="D594" t="s">
        <v>765</v>
      </c>
    </row>
    <row r="595" spans="3:4" hidden="1" x14ac:dyDescent="0.35">
      <c r="C595">
        <v>24239</v>
      </c>
      <c r="D595" t="s">
        <v>766</v>
      </c>
    </row>
    <row r="596" spans="3:4" hidden="1" x14ac:dyDescent="0.35">
      <c r="C596">
        <v>24240</v>
      </c>
      <c r="D596" t="s">
        <v>767</v>
      </c>
    </row>
    <row r="597" spans="3:4" hidden="1" x14ac:dyDescent="0.35">
      <c r="C597">
        <v>24241</v>
      </c>
      <c r="D597" t="s">
        <v>768</v>
      </c>
    </row>
    <row r="598" spans="3:4" hidden="1" x14ac:dyDescent="0.35">
      <c r="C598">
        <v>24242</v>
      </c>
      <c r="D598" t="s">
        <v>769</v>
      </c>
    </row>
    <row r="599" spans="3:4" hidden="1" x14ac:dyDescent="0.35">
      <c r="C599">
        <v>24243</v>
      </c>
      <c r="D599" t="s">
        <v>770</v>
      </c>
    </row>
    <row r="600" spans="3:4" hidden="1" x14ac:dyDescent="0.35">
      <c r="C600">
        <v>24244</v>
      </c>
      <c r="D600" t="s">
        <v>810</v>
      </c>
    </row>
    <row r="601" spans="3:4" hidden="1" x14ac:dyDescent="0.35">
      <c r="C601">
        <v>24245</v>
      </c>
      <c r="D601" t="s">
        <v>771</v>
      </c>
    </row>
    <row r="602" spans="3:4" hidden="1" x14ac:dyDescent="0.35">
      <c r="C602">
        <v>24246</v>
      </c>
      <c r="D602" t="s">
        <v>772</v>
      </c>
    </row>
    <row r="603" spans="3:4" hidden="1" x14ac:dyDescent="0.35">
      <c r="C603">
        <v>24247</v>
      </c>
      <c r="D603" t="s">
        <v>773</v>
      </c>
    </row>
    <row r="604" spans="3:4" hidden="1" x14ac:dyDescent="0.35">
      <c r="C604">
        <v>24248</v>
      </c>
      <c r="D604" t="s">
        <v>811</v>
      </c>
    </row>
    <row r="605" spans="3:4" hidden="1" x14ac:dyDescent="0.35">
      <c r="C605">
        <v>24249</v>
      </c>
      <c r="D605" t="s">
        <v>774</v>
      </c>
    </row>
    <row r="606" spans="3:4" hidden="1" x14ac:dyDescent="0.35">
      <c r="C606">
        <v>24250</v>
      </c>
      <c r="D606" t="s">
        <v>775</v>
      </c>
    </row>
    <row r="607" spans="3:4" hidden="1" x14ac:dyDescent="0.35">
      <c r="C607">
        <v>24251</v>
      </c>
      <c r="D607" t="s">
        <v>776</v>
      </c>
    </row>
    <row r="608" spans="3:4" hidden="1" x14ac:dyDescent="0.35">
      <c r="C608">
        <v>24252</v>
      </c>
      <c r="D608" t="s">
        <v>777</v>
      </c>
    </row>
    <row r="609" spans="3:4" hidden="1" x14ac:dyDescent="0.35">
      <c r="C609">
        <v>24253</v>
      </c>
      <c r="D609" t="s">
        <v>779</v>
      </c>
    </row>
    <row r="610" spans="3:4" hidden="1" x14ac:dyDescent="0.35">
      <c r="C610">
        <v>24254</v>
      </c>
      <c r="D610" t="s">
        <v>778</v>
      </c>
    </row>
    <row r="611" spans="3:4" hidden="1" x14ac:dyDescent="0.35">
      <c r="C611">
        <v>24255</v>
      </c>
      <c r="D611" t="s">
        <v>780</v>
      </c>
    </row>
    <row r="612" spans="3:4" hidden="1" x14ac:dyDescent="0.35">
      <c r="C612">
        <v>24256</v>
      </c>
      <c r="D612" t="s">
        <v>812</v>
      </c>
    </row>
    <row r="613" spans="3:4" hidden="1" x14ac:dyDescent="0.35">
      <c r="C613">
        <v>24257</v>
      </c>
      <c r="D613" t="s">
        <v>781</v>
      </c>
    </row>
    <row r="614" spans="3:4" hidden="1" x14ac:dyDescent="0.35">
      <c r="C614">
        <v>24258</v>
      </c>
      <c r="D614" t="s">
        <v>782</v>
      </c>
    </row>
    <row r="615" spans="3:4" hidden="1" x14ac:dyDescent="0.35">
      <c r="C615">
        <v>24259</v>
      </c>
      <c r="D615" t="s">
        <v>783</v>
      </c>
    </row>
    <row r="616" spans="3:4" hidden="1" x14ac:dyDescent="0.35">
      <c r="C616">
        <v>24260</v>
      </c>
      <c r="D616" t="s">
        <v>784</v>
      </c>
    </row>
    <row r="617" spans="3:4" hidden="1" x14ac:dyDescent="0.35">
      <c r="C617">
        <v>24261</v>
      </c>
      <c r="D617" t="s">
        <v>785</v>
      </c>
    </row>
    <row r="618" spans="3:4" hidden="1" x14ac:dyDescent="0.35">
      <c r="C618">
        <v>999999</v>
      </c>
      <c r="D618" t="s">
        <v>788</v>
      </c>
    </row>
    <row r="619" spans="3:4" hidden="1" x14ac:dyDescent="0.35"/>
    <row r="620" spans="3:4" hidden="1" x14ac:dyDescent="0.35"/>
    <row r="621" spans="3:4" hidden="1" x14ac:dyDescent="0.35"/>
    <row r="622" spans="3:4" hidden="1" x14ac:dyDescent="0.35"/>
    <row r="623" spans="3:4" hidden="1" x14ac:dyDescent="0.35"/>
    <row r="624" spans="3:4" hidden="1" x14ac:dyDescent="0.35"/>
    <row r="625" hidden="1" x14ac:dyDescent="0.35"/>
    <row r="626" hidden="1" x14ac:dyDescent="0.35"/>
    <row r="627" hidden="1" x14ac:dyDescent="0.35"/>
    <row r="628" hidden="1" x14ac:dyDescent="0.35"/>
    <row r="629" hidden="1" x14ac:dyDescent="0.35"/>
    <row r="630" hidden="1" x14ac:dyDescent="0.35"/>
    <row r="631" hidden="1" x14ac:dyDescent="0.35"/>
    <row r="632" hidden="1" x14ac:dyDescent="0.35"/>
    <row r="633" hidden="1" x14ac:dyDescent="0.35"/>
    <row r="634" hidden="1" x14ac:dyDescent="0.35"/>
    <row r="635" hidden="1" x14ac:dyDescent="0.35"/>
    <row r="636" hidden="1" x14ac:dyDescent="0.35"/>
    <row r="637" hidden="1" x14ac:dyDescent="0.35"/>
    <row r="638" hidden="1" x14ac:dyDescent="0.35"/>
    <row r="639" hidden="1" x14ac:dyDescent="0.35"/>
    <row r="640" hidden="1" x14ac:dyDescent="0.35"/>
    <row r="641" hidden="1" x14ac:dyDescent="0.35"/>
    <row r="642" hidden="1" x14ac:dyDescent="0.35"/>
    <row r="643" hidden="1" x14ac:dyDescent="0.35"/>
    <row r="644" hidden="1" x14ac:dyDescent="0.35"/>
    <row r="645" hidden="1" x14ac:dyDescent="0.35"/>
    <row r="646" hidden="1" x14ac:dyDescent="0.35"/>
    <row r="647" hidden="1" x14ac:dyDescent="0.35"/>
    <row r="648" hidden="1" x14ac:dyDescent="0.35"/>
    <row r="649" hidden="1" x14ac:dyDescent="0.35"/>
    <row r="650" hidden="1" x14ac:dyDescent="0.35"/>
    <row r="651" hidden="1" x14ac:dyDescent="0.35"/>
    <row r="652" hidden="1" x14ac:dyDescent="0.35"/>
    <row r="653" hidden="1" x14ac:dyDescent="0.35"/>
    <row r="654" hidden="1" x14ac:dyDescent="0.35"/>
    <row r="655" hidden="1" x14ac:dyDescent="0.35"/>
    <row r="656" hidden="1" x14ac:dyDescent="0.35"/>
    <row r="657" hidden="1" x14ac:dyDescent="0.35"/>
    <row r="658" hidden="1" x14ac:dyDescent="0.35"/>
    <row r="659" hidden="1" x14ac:dyDescent="0.35"/>
    <row r="660" hidden="1" x14ac:dyDescent="0.35"/>
    <row r="661" hidden="1" x14ac:dyDescent="0.35"/>
    <row r="662" hidden="1" x14ac:dyDescent="0.35"/>
    <row r="663" hidden="1" x14ac:dyDescent="0.35"/>
    <row r="664" hidden="1" x14ac:dyDescent="0.35"/>
    <row r="665" hidden="1" x14ac:dyDescent="0.35"/>
    <row r="666" hidden="1" x14ac:dyDescent="0.35"/>
    <row r="667" hidden="1" x14ac:dyDescent="0.35"/>
    <row r="668" hidden="1" x14ac:dyDescent="0.35"/>
    <row r="669" hidden="1" x14ac:dyDescent="0.35"/>
    <row r="670" hidden="1" x14ac:dyDescent="0.35"/>
    <row r="671" hidden="1" x14ac:dyDescent="0.35"/>
    <row r="672" hidden="1" x14ac:dyDescent="0.35"/>
    <row r="673" hidden="1" x14ac:dyDescent="0.35"/>
    <row r="674" hidden="1" x14ac:dyDescent="0.35"/>
    <row r="675" hidden="1" x14ac:dyDescent="0.35"/>
    <row r="676" hidden="1" x14ac:dyDescent="0.35"/>
    <row r="677" hidden="1" x14ac:dyDescent="0.35"/>
    <row r="678" hidden="1" x14ac:dyDescent="0.35"/>
    <row r="679" hidden="1" x14ac:dyDescent="0.35"/>
    <row r="680" hidden="1" x14ac:dyDescent="0.35"/>
    <row r="681" hidden="1" x14ac:dyDescent="0.35"/>
    <row r="682" hidden="1" x14ac:dyDescent="0.35"/>
    <row r="683" hidden="1" x14ac:dyDescent="0.35"/>
    <row r="684" hidden="1" x14ac:dyDescent="0.35"/>
    <row r="685" hidden="1" x14ac:dyDescent="0.35"/>
    <row r="686" hidden="1" x14ac:dyDescent="0.35"/>
    <row r="687" hidden="1" x14ac:dyDescent="0.35"/>
    <row r="688" hidden="1" x14ac:dyDescent="0.35"/>
    <row r="689" hidden="1" x14ac:dyDescent="0.35"/>
    <row r="690" hidden="1" x14ac:dyDescent="0.35"/>
    <row r="691" hidden="1" x14ac:dyDescent="0.35"/>
    <row r="692" hidden="1" x14ac:dyDescent="0.35"/>
    <row r="693" hidden="1" x14ac:dyDescent="0.35"/>
    <row r="694" hidden="1" x14ac:dyDescent="0.35"/>
    <row r="695" hidden="1" x14ac:dyDescent="0.35"/>
    <row r="696" hidden="1" x14ac:dyDescent="0.35"/>
    <row r="697" hidden="1" x14ac:dyDescent="0.35"/>
    <row r="698" hidden="1" x14ac:dyDescent="0.35"/>
    <row r="699" hidden="1" x14ac:dyDescent="0.35"/>
    <row r="700" hidden="1" x14ac:dyDescent="0.35"/>
  </sheetData>
  <mergeCells count="2">
    <mergeCell ref="J26:X26"/>
    <mergeCell ref="F33:X40"/>
  </mergeCells>
  <phoneticPr fontId="26" type="noConversion"/>
  <dataValidations count="3">
    <dataValidation type="list" allowBlank="1" showInputMessage="1" showErrorMessage="1" errorTitle="Registrant Name" error="You have entered your Registrant Name incorrectly" sqref="E11" xr:uid="{C8706953-B7C3-424B-A598-477D7934BD26}">
      <formula1>$A$80:$A$300</formula1>
    </dataValidation>
    <dataValidation type="list" allowBlank="1" showInputMessage="1" showErrorMessage="1" errorTitle="Mitigated" error="NYC mitigated units must enter Y._x000a_All other units enter N." sqref="C17:C24" xr:uid="{B100E7AF-4CF2-4114-B816-17FF4E27E303}">
      <formula1>$B$80:$B$81</formula1>
    </dataValidation>
    <dataValidation type="list" allowBlank="1" showInputMessage="1" showErrorMessage="1" errorTitle="PTID Number" error="Please enter the correct PTID number from the list provided." sqref="D17:D24" xr:uid="{0845C272-2395-4BE0-BF47-BE55AB48EC17}">
      <formula1>$C$80:$C$700</formula1>
    </dataValidation>
  </dataValidations>
  <pageMargins left="0.75" right="0.75" top="1" bottom="1" header="0.5" footer="0.5"/>
  <pageSetup scale="65" orientation="landscape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9" r:id="rId4" name="CommandButton1">
          <controlPr autoLine="0" r:id="rId5">
            <anchor moveWithCells="1">
              <from>
                <xdr:col>13</xdr:col>
                <xdr:colOff>71438</xdr:colOff>
                <xdr:row>9</xdr:row>
                <xdr:rowOff>147638</xdr:rowOff>
              </from>
              <to>
                <xdr:col>23</xdr:col>
                <xdr:colOff>414338</xdr:colOff>
                <xdr:row>11</xdr:row>
                <xdr:rowOff>109538</xdr:rowOff>
              </to>
            </anchor>
          </controlPr>
        </control>
      </mc:Choice>
      <mc:Fallback>
        <control shapeId="1029" r:id="rId4" name="CommandButton1"/>
      </mc:Fallback>
    </mc:AlternateContent>
    <mc:AlternateContent xmlns:mc="http://schemas.openxmlformats.org/markup-compatibility/2006">
      <mc:Choice Requires="x14">
        <control shapeId="1028" r:id="rId6" name="CommandButton4">
          <controlPr defaultSize="0" autoLine="0" autoPict="0" r:id="rId7">
            <anchor moveWithCells="1">
              <from>
                <xdr:col>11</xdr:col>
                <xdr:colOff>195263</xdr:colOff>
                <xdr:row>9</xdr:row>
                <xdr:rowOff>76200</xdr:rowOff>
              </from>
              <to>
                <xdr:col>12</xdr:col>
                <xdr:colOff>490538</xdr:colOff>
                <xdr:row>12</xdr:row>
                <xdr:rowOff>38100</xdr:rowOff>
              </to>
            </anchor>
          </controlPr>
        </control>
      </mc:Choice>
      <mc:Fallback>
        <control shapeId="1028" r:id="rId6" name="CommandButton4"/>
      </mc:Fallback>
    </mc:AlternateContent>
    <mc:AlternateContent xmlns:mc="http://schemas.openxmlformats.org/markup-compatibility/2006">
      <mc:Choice Requires="x14">
        <control shapeId="1027" r:id="rId8" name="CommandButton3">
          <controlPr defaultSize="0" autoLine="0" autoPict="0" r:id="rId9">
            <anchor moveWithCells="1">
              <from>
                <xdr:col>9</xdr:col>
                <xdr:colOff>133350</xdr:colOff>
                <xdr:row>9</xdr:row>
                <xdr:rowOff>90488</xdr:rowOff>
              </from>
              <to>
                <xdr:col>10</xdr:col>
                <xdr:colOff>500063</xdr:colOff>
                <xdr:row>12</xdr:row>
                <xdr:rowOff>47625</xdr:rowOff>
              </to>
            </anchor>
          </controlPr>
        </control>
      </mc:Choice>
      <mc:Fallback>
        <control shapeId="1027" r:id="rId8" name="CommandButton3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574BF-6192-4461-B77D-03B1518C0CF9}">
  <sheetPr codeName="Sheet4">
    <pageSetUpPr fitToPage="1"/>
  </sheetPr>
  <dimension ref="A1:X700"/>
  <sheetViews>
    <sheetView showGridLines="0" showOutlineSymbols="0" topLeftCell="A3" zoomScale="75" workbookViewId="0">
      <selection activeCell="C73" sqref="C73"/>
    </sheetView>
  </sheetViews>
  <sheetFormatPr defaultRowHeight="12.75" x14ac:dyDescent="0.35"/>
  <cols>
    <col min="1" max="1" width="7" customWidth="1"/>
    <col min="2" max="2" width="27.1328125" bestFit="1" customWidth="1"/>
    <col min="3" max="3" width="10.86328125" bestFit="1" customWidth="1"/>
    <col min="4" max="4" width="20.86328125" bestFit="1" customWidth="1"/>
    <col min="5" max="5" width="17.1328125" bestFit="1" customWidth="1"/>
    <col min="6" max="6" width="20.1328125" bestFit="1" customWidth="1"/>
    <col min="7" max="7" width="15" bestFit="1" customWidth="1"/>
    <col min="8" max="13" width="7.73046875" customWidth="1"/>
    <col min="14" max="14" width="7.86328125" customWidth="1"/>
    <col min="15" max="18" width="7.73046875" hidden="1" customWidth="1"/>
    <col min="19" max="19" width="6" hidden="1" customWidth="1"/>
    <col min="20" max="20" width="6.265625" hidden="1" customWidth="1"/>
    <col min="21" max="21" width="6.73046875" hidden="1" customWidth="1"/>
    <col min="22" max="23" width="9.1328125" hidden="1" customWidth="1"/>
  </cols>
  <sheetData>
    <row r="1" spans="1:24" hidden="1" x14ac:dyDescent="0.35"/>
    <row r="2" spans="1:24" hidden="1" x14ac:dyDescent="0.35"/>
    <row r="3" spans="1:24" ht="19.899999999999999" x14ac:dyDescent="0.5">
      <c r="A3" s="140"/>
      <c r="B3" s="141"/>
      <c r="C3" s="141"/>
      <c r="D3" s="142" t="s">
        <v>37</v>
      </c>
      <c r="E3" s="143"/>
      <c r="F3" s="143"/>
      <c r="G3" s="143"/>
      <c r="H3" s="143"/>
      <c r="I3" s="144" t="s">
        <v>9</v>
      </c>
      <c r="J3" s="143"/>
      <c r="K3" s="143"/>
      <c r="L3" s="143"/>
      <c r="M3" s="143"/>
      <c r="N3" s="145"/>
      <c r="O3" s="145"/>
      <c r="P3" s="145"/>
      <c r="Q3" s="145"/>
      <c r="R3" s="145"/>
      <c r="S3" s="146"/>
      <c r="T3" s="146"/>
      <c r="U3" s="146"/>
      <c r="V3" s="146"/>
      <c r="W3" s="146"/>
      <c r="X3" s="147"/>
    </row>
    <row r="4" spans="1:24" ht="15" x14ac:dyDescent="0.4">
      <c r="A4" s="148"/>
      <c r="B4" s="149"/>
      <c r="C4" s="149"/>
      <c r="D4" s="150" t="s">
        <v>38</v>
      </c>
      <c r="E4" s="26"/>
      <c r="F4" s="26"/>
      <c r="G4" s="26"/>
      <c r="H4" s="151"/>
      <c r="I4" s="104" t="s">
        <v>288</v>
      </c>
      <c r="J4" s="26"/>
      <c r="K4" s="26"/>
      <c r="L4" s="26"/>
      <c r="M4" s="26"/>
      <c r="N4" s="26"/>
      <c r="O4" s="26"/>
      <c r="P4" s="26"/>
      <c r="Q4" s="26"/>
      <c r="R4" s="26"/>
      <c r="S4" s="9"/>
      <c r="T4" s="9"/>
      <c r="U4" s="9"/>
      <c r="V4" s="9"/>
      <c r="W4" s="9"/>
      <c r="X4" s="152"/>
    </row>
    <row r="5" spans="1:24" ht="13.15" x14ac:dyDescent="0.4">
      <c r="A5" s="153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9"/>
      <c r="T5" s="9"/>
      <c r="U5" s="9"/>
      <c r="V5" s="9"/>
      <c r="W5" s="9"/>
      <c r="X5" s="152"/>
    </row>
    <row r="6" spans="1:24" ht="15" x14ac:dyDescent="0.4">
      <c r="A6" s="153"/>
      <c r="B6" s="26"/>
      <c r="C6" s="26"/>
      <c r="D6" s="154"/>
      <c r="E6" s="154"/>
      <c r="F6" s="154"/>
      <c r="G6" s="154"/>
      <c r="H6" s="154"/>
      <c r="I6" s="154" t="s">
        <v>7</v>
      </c>
      <c r="J6" s="154"/>
      <c r="K6" s="154"/>
      <c r="L6" s="154"/>
      <c r="M6" s="154"/>
      <c r="N6" s="26"/>
      <c r="O6" s="26"/>
      <c r="P6" s="26"/>
      <c r="Q6" s="26"/>
      <c r="R6" s="26"/>
      <c r="S6" s="9"/>
      <c r="T6" s="9"/>
      <c r="U6" s="9"/>
      <c r="V6" s="9"/>
      <c r="W6" s="9"/>
      <c r="X6" s="152"/>
    </row>
    <row r="7" spans="1:24" ht="15" x14ac:dyDescent="0.4">
      <c r="A7" s="153"/>
      <c r="B7" s="26"/>
      <c r="C7" s="26"/>
      <c r="D7" s="154"/>
      <c r="E7" s="154"/>
      <c r="F7" s="154"/>
      <c r="G7" s="154"/>
      <c r="H7" s="86" t="s">
        <v>103</v>
      </c>
      <c r="I7" s="154"/>
      <c r="J7" s="154"/>
      <c r="K7" s="154"/>
      <c r="L7" s="154"/>
      <c r="M7" s="154"/>
      <c r="N7" s="26"/>
      <c r="O7" s="26"/>
      <c r="P7" s="26"/>
      <c r="Q7" s="26"/>
      <c r="R7" s="26"/>
      <c r="S7" s="9"/>
      <c r="T7" s="9"/>
      <c r="U7" s="9"/>
      <c r="V7" s="9"/>
      <c r="W7" s="9"/>
      <c r="X7" s="152"/>
    </row>
    <row r="8" spans="1:24" ht="13.15" x14ac:dyDescent="0.4">
      <c r="A8" s="153"/>
      <c r="B8" s="26"/>
      <c r="C8" s="26"/>
      <c r="D8" s="28" t="s">
        <v>27</v>
      </c>
      <c r="E8" s="21" t="s">
        <v>282</v>
      </c>
      <c r="F8" s="9"/>
      <c r="G8" s="21">
        <v>1</v>
      </c>
      <c r="H8" s="26"/>
      <c r="I8" s="26"/>
      <c r="J8" s="26"/>
      <c r="K8" s="28" t="s">
        <v>25</v>
      </c>
      <c r="L8" s="26"/>
      <c r="M8" s="87">
        <v>36526</v>
      </c>
      <c r="N8" s="22"/>
      <c r="O8" s="26"/>
      <c r="P8" s="26"/>
      <c r="Q8" s="26"/>
      <c r="R8" s="26"/>
      <c r="S8" s="9"/>
      <c r="T8" s="9"/>
      <c r="U8" s="9"/>
      <c r="V8" s="9"/>
      <c r="W8" s="9"/>
      <c r="X8" s="152"/>
    </row>
    <row r="9" spans="1:24" ht="13.15" x14ac:dyDescent="0.4">
      <c r="A9" s="153"/>
      <c r="B9" s="26"/>
      <c r="C9" s="26"/>
      <c r="D9" s="75"/>
      <c r="E9" s="28"/>
      <c r="F9" s="26"/>
      <c r="G9" s="24" t="s">
        <v>104</v>
      </c>
      <c r="H9" s="26"/>
      <c r="I9" s="26"/>
      <c r="J9" s="26"/>
      <c r="K9" s="28" t="s">
        <v>26</v>
      </c>
      <c r="L9" s="26"/>
      <c r="M9" s="88">
        <v>0.625</v>
      </c>
      <c r="N9" s="25"/>
      <c r="O9" s="26"/>
      <c r="P9" s="26"/>
      <c r="Q9" s="26"/>
      <c r="R9" s="26"/>
      <c r="S9" s="9"/>
      <c r="T9" s="9"/>
      <c r="U9" s="9"/>
      <c r="V9" s="9"/>
      <c r="W9" s="9"/>
      <c r="X9" s="152"/>
    </row>
    <row r="10" spans="1:24" ht="13.15" x14ac:dyDescent="0.4">
      <c r="A10" s="153"/>
      <c r="B10" s="26"/>
      <c r="C10" s="26"/>
      <c r="D10" s="75"/>
      <c r="E10" s="28"/>
      <c r="F10" s="26"/>
      <c r="G10" s="26"/>
      <c r="H10" s="26"/>
      <c r="I10" s="26"/>
      <c r="J10" s="28"/>
      <c r="K10" s="26"/>
      <c r="L10" s="26"/>
      <c r="M10" s="26"/>
      <c r="N10" s="26"/>
      <c r="O10" s="26"/>
      <c r="P10" s="26"/>
      <c r="Q10" s="26"/>
      <c r="R10" s="26"/>
      <c r="S10" s="9"/>
      <c r="T10" s="155"/>
      <c r="U10" s="155"/>
      <c r="V10" s="155"/>
      <c r="W10" s="9"/>
      <c r="X10" s="152"/>
    </row>
    <row r="11" spans="1:24" ht="13.15" x14ac:dyDescent="0.4">
      <c r="A11" s="153"/>
      <c r="B11" s="26"/>
      <c r="C11" s="26"/>
      <c r="D11" s="28" t="s">
        <v>20</v>
      </c>
      <c r="E11" s="27"/>
      <c r="F11" s="9"/>
      <c r="G11" s="28"/>
      <c r="H11" s="26"/>
      <c r="I11" s="26"/>
      <c r="J11" s="26"/>
      <c r="K11" s="28"/>
      <c r="L11" s="26"/>
      <c r="M11" s="28"/>
      <c r="N11" s="156"/>
      <c r="O11" s="156"/>
      <c r="P11" s="156"/>
      <c r="Q11" s="156"/>
      <c r="R11" s="156"/>
      <c r="S11" s="155"/>
      <c r="T11" s="9"/>
      <c r="U11" s="9"/>
      <c r="V11" s="9"/>
      <c r="W11" s="9"/>
      <c r="X11" s="152"/>
    </row>
    <row r="12" spans="1:24" ht="13.15" x14ac:dyDescent="0.4">
      <c r="A12" s="153"/>
      <c r="B12" s="26"/>
      <c r="C12" s="26"/>
      <c r="D12" s="26"/>
      <c r="E12" s="26"/>
      <c r="F12" s="26"/>
      <c r="G12" s="26"/>
      <c r="H12" s="26"/>
      <c r="I12" s="26"/>
      <c r="J12" s="28"/>
      <c r="K12" s="86"/>
      <c r="L12" s="26"/>
      <c r="M12" s="28"/>
      <c r="N12" s="26"/>
      <c r="O12" s="26"/>
      <c r="P12" s="26"/>
      <c r="Q12" s="26"/>
      <c r="R12" s="26"/>
      <c r="S12" s="9"/>
      <c r="T12" s="155"/>
      <c r="U12" s="9"/>
      <c r="V12" s="9"/>
      <c r="W12" s="9"/>
      <c r="X12" s="152"/>
    </row>
    <row r="13" spans="1:24" ht="13.5" thickBot="1" x14ac:dyDescent="0.45">
      <c r="A13" s="153"/>
      <c r="B13" s="26"/>
      <c r="C13" s="26"/>
      <c r="D13" s="26"/>
      <c r="E13" s="104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9"/>
      <c r="T13" s="9"/>
      <c r="U13" s="9"/>
      <c r="V13" s="9"/>
      <c r="W13" s="9"/>
      <c r="X13" s="152"/>
    </row>
    <row r="14" spans="1:24" ht="13.15" x14ac:dyDescent="0.4">
      <c r="A14" s="39"/>
      <c r="B14" s="41" t="s">
        <v>43</v>
      </c>
      <c r="C14" s="41"/>
      <c r="D14" s="40"/>
      <c r="E14" s="41"/>
      <c r="F14" s="41" t="s">
        <v>33</v>
      </c>
      <c r="G14" s="42" t="s">
        <v>31</v>
      </c>
      <c r="H14" s="52" t="s">
        <v>46</v>
      </c>
      <c r="I14" s="43"/>
      <c r="J14" s="44"/>
      <c r="K14" s="43"/>
      <c r="L14" s="43"/>
      <c r="M14" s="43"/>
      <c r="N14" s="45"/>
      <c r="O14" s="26"/>
      <c r="P14" s="26"/>
      <c r="Q14" s="26"/>
      <c r="R14" s="26"/>
      <c r="S14" s="9"/>
      <c r="T14" s="9"/>
      <c r="U14" s="9"/>
      <c r="V14" s="9"/>
      <c r="W14" s="9"/>
      <c r="X14" s="152"/>
    </row>
    <row r="15" spans="1:24" ht="13.15" x14ac:dyDescent="0.4">
      <c r="A15" s="46" t="s">
        <v>39</v>
      </c>
      <c r="B15" s="30" t="s">
        <v>44</v>
      </c>
      <c r="C15" s="30" t="s">
        <v>2</v>
      </c>
      <c r="D15" s="30" t="s">
        <v>41</v>
      </c>
      <c r="E15" s="30" t="s">
        <v>40</v>
      </c>
      <c r="F15" s="36" t="s">
        <v>53</v>
      </c>
      <c r="G15" s="37" t="s">
        <v>35</v>
      </c>
      <c r="H15" s="29" t="s">
        <v>2</v>
      </c>
      <c r="I15" s="29" t="s">
        <v>3</v>
      </c>
      <c r="J15" s="29" t="s">
        <v>28</v>
      </c>
      <c r="K15" s="29" t="s">
        <v>4</v>
      </c>
      <c r="L15" s="29" t="s">
        <v>29</v>
      </c>
      <c r="M15" s="29" t="s">
        <v>5</v>
      </c>
      <c r="N15" s="47" t="s">
        <v>30</v>
      </c>
      <c r="O15" s="104"/>
      <c r="P15" s="104"/>
      <c r="Q15" s="104"/>
      <c r="R15" s="104"/>
      <c r="S15" s="9"/>
      <c r="T15" s="9"/>
      <c r="U15" s="9"/>
      <c r="V15" s="9"/>
      <c r="W15" s="9"/>
      <c r="X15" s="152"/>
    </row>
    <row r="16" spans="1:24" ht="13.5" thickBot="1" x14ac:dyDescent="0.45">
      <c r="A16" s="48"/>
      <c r="B16" s="31"/>
      <c r="C16" s="32" t="s">
        <v>105</v>
      </c>
      <c r="D16" s="31"/>
      <c r="E16" s="31"/>
      <c r="F16" s="38" t="s">
        <v>48</v>
      </c>
      <c r="G16" s="51" t="s">
        <v>36</v>
      </c>
      <c r="H16" s="31"/>
      <c r="I16" s="31"/>
      <c r="J16" s="31"/>
      <c r="K16" s="31"/>
      <c r="L16" s="32"/>
      <c r="M16" s="32"/>
      <c r="N16" s="49"/>
      <c r="O16" s="104"/>
      <c r="P16" s="104"/>
      <c r="Q16" s="104"/>
      <c r="R16" s="104"/>
      <c r="S16" s="9"/>
      <c r="T16" s="9"/>
      <c r="U16" s="9"/>
      <c r="V16" s="9"/>
      <c r="W16" s="9"/>
      <c r="X16" s="152"/>
    </row>
    <row r="17" spans="1:24" s="34" customFormat="1" ht="13.15" x14ac:dyDescent="0.4">
      <c r="A17" s="158">
        <v>1</v>
      </c>
      <c r="B17" s="85" t="str">
        <f t="shared" ref="B17:B24" si="0">IF(D17=0," ",+$E$11)</f>
        <v xml:space="preserve"> </v>
      </c>
      <c r="C17" s="35" t="s">
        <v>106</v>
      </c>
      <c r="D17" s="35"/>
      <c r="E17" s="85" t="str">
        <f>IF(ISERROR(VLOOKUP(D17,$C$80:$D$700,2)),"",VLOOKUP(D17,$C$80:$D$700,2))</f>
        <v/>
      </c>
      <c r="F17" s="61"/>
      <c r="G17" s="62"/>
      <c r="H17" s="58">
        <v>0</v>
      </c>
      <c r="I17" s="58">
        <v>0</v>
      </c>
      <c r="J17" s="58">
        <v>0</v>
      </c>
      <c r="K17" s="58">
        <v>0</v>
      </c>
      <c r="L17" s="58">
        <v>0</v>
      </c>
      <c r="M17" s="58">
        <v>0</v>
      </c>
      <c r="N17" s="58">
        <v>0</v>
      </c>
      <c r="O17" s="53" t="str">
        <f>+$E$8</f>
        <v>November</v>
      </c>
      <c r="P17" s="53">
        <f>+$G$8</f>
        <v>1</v>
      </c>
      <c r="Q17" s="105">
        <f>+$M$8</f>
        <v>36526</v>
      </c>
      <c r="R17" s="106">
        <f>+$M$9</f>
        <v>0.625</v>
      </c>
      <c r="S17" s="175">
        <f t="shared" ref="S17:S24" si="1">IF(AND(OR(H17=0,H17=1),OR(I17=0,I17=1),OR(J17=0,J17=1),OR(K17=0,K17=1),OR(L17=0,L17=1),OR(N17=0,N17=1),OR(M17=0,M17=1)),0,1)</f>
        <v>0</v>
      </c>
      <c r="T17" s="175">
        <f t="shared" ref="T17:T24" si="2">IF(L17+N17&gt;0,1,0)</f>
        <v>0</v>
      </c>
      <c r="U17" s="54">
        <f t="shared" ref="U17:U24" si="3">IF(SUM(H17:N17)&gt;1,1,0)</f>
        <v>0</v>
      </c>
      <c r="V17" s="54">
        <f t="shared" ref="V17:V24" si="4">IF(AND(G17&gt;0,SUM(H17:N17)=0),1,0)</f>
        <v>0</v>
      </c>
      <c r="W17" s="175">
        <f t="shared" ref="W17:W24" si="5">IF(H17&gt;0,1,0)</f>
        <v>0</v>
      </c>
      <c r="X17" s="176"/>
    </row>
    <row r="18" spans="1:24" s="34" customFormat="1" ht="13.15" x14ac:dyDescent="0.4">
      <c r="A18" s="158">
        <f>COUNT($A$17:A17)+1</f>
        <v>2</v>
      </c>
      <c r="B18" s="85" t="str">
        <f t="shared" si="0"/>
        <v xml:space="preserve"> </v>
      </c>
      <c r="C18" s="35" t="s">
        <v>106</v>
      </c>
      <c r="D18" s="35"/>
      <c r="E18" s="85" t="str">
        <f t="shared" ref="E18:E24" si="6">IF(ISERROR(VLOOKUP(D18,$C$80:$D$700,2)),"",VLOOKUP(D18,$C$80:$D$700,2))</f>
        <v/>
      </c>
      <c r="F18" s="61"/>
      <c r="G18" s="62"/>
      <c r="H18" s="58">
        <v>0</v>
      </c>
      <c r="I18" s="58">
        <v>0</v>
      </c>
      <c r="J18" s="58">
        <v>0</v>
      </c>
      <c r="K18" s="58">
        <v>0</v>
      </c>
      <c r="L18" s="58">
        <v>0</v>
      </c>
      <c r="M18" s="58">
        <v>0</v>
      </c>
      <c r="N18" s="58">
        <v>0</v>
      </c>
      <c r="O18" s="53" t="str">
        <f t="shared" ref="O18:O24" si="7">+$E$8</f>
        <v>November</v>
      </c>
      <c r="P18" s="53">
        <f t="shared" ref="P18:P24" si="8">+$G$8</f>
        <v>1</v>
      </c>
      <c r="Q18" s="105">
        <f t="shared" ref="Q18:Q24" si="9">+$M$8</f>
        <v>36526</v>
      </c>
      <c r="R18" s="106">
        <f t="shared" ref="R18:R24" si="10">+$M$9</f>
        <v>0.625</v>
      </c>
      <c r="S18" s="175">
        <f>IF(AND(OR(H18=0,H18=1),OR(I18=0,I18=1),OR(J18=0,J18=1),OR(K18=0,K18=1),OR(L18=0,L18=1),OR(N18=0,N18=1),OR(M18=0,M18=1)),0,1)</f>
        <v>0</v>
      </c>
      <c r="T18" s="175">
        <f>IF(L18+N18&gt;0,1,0)</f>
        <v>0</v>
      </c>
      <c r="U18" s="54">
        <f>IF(SUM(H18:N18)&gt;1,1,0)</f>
        <v>0</v>
      </c>
      <c r="V18" s="54">
        <f>IF(AND(G18&gt;0,SUM(H18:N18)=0),1,0)</f>
        <v>0</v>
      </c>
      <c r="W18" s="175">
        <f>IF(H18&gt;0,1,0)</f>
        <v>0</v>
      </c>
      <c r="X18" s="176"/>
    </row>
    <row r="19" spans="1:24" s="34" customFormat="1" ht="13.15" x14ac:dyDescent="0.4">
      <c r="A19" s="158">
        <f>COUNT($A$17:A18)+1</f>
        <v>3</v>
      </c>
      <c r="B19" s="85" t="str">
        <f t="shared" si="0"/>
        <v xml:space="preserve"> </v>
      </c>
      <c r="C19" s="35" t="s">
        <v>106</v>
      </c>
      <c r="D19" s="35"/>
      <c r="E19" s="85" t="str">
        <f t="shared" si="6"/>
        <v/>
      </c>
      <c r="F19" s="61"/>
      <c r="G19" s="62"/>
      <c r="H19" s="58">
        <v>0</v>
      </c>
      <c r="I19" s="58">
        <v>0</v>
      </c>
      <c r="J19" s="58">
        <v>0</v>
      </c>
      <c r="K19" s="58">
        <v>0</v>
      </c>
      <c r="L19" s="58">
        <v>0</v>
      </c>
      <c r="M19" s="58">
        <v>0</v>
      </c>
      <c r="N19" s="58">
        <v>0</v>
      </c>
      <c r="O19" s="53" t="str">
        <f t="shared" si="7"/>
        <v>November</v>
      </c>
      <c r="P19" s="53">
        <f t="shared" si="8"/>
        <v>1</v>
      </c>
      <c r="Q19" s="105">
        <f t="shared" si="9"/>
        <v>36526</v>
      </c>
      <c r="R19" s="106">
        <f t="shared" si="10"/>
        <v>0.625</v>
      </c>
      <c r="S19" s="175">
        <f>IF(AND(OR(H19=0,H19=1),OR(I19=0,I19=1),OR(J19=0,J19=1),OR(K19=0,K19=1),OR(L19=0,L19=1),OR(N19=0,N19=1),OR(M19=0,M19=1)),0,1)</f>
        <v>0</v>
      </c>
      <c r="T19" s="175">
        <f>IF(L19+N19&gt;0,1,0)</f>
        <v>0</v>
      </c>
      <c r="U19" s="54">
        <f>IF(SUM(H19:N19)&gt;1,1,0)</f>
        <v>0</v>
      </c>
      <c r="V19" s="54">
        <f>IF(AND(G19&gt;0,SUM(H19:N19)=0),1,0)</f>
        <v>0</v>
      </c>
      <c r="W19" s="175">
        <f>IF(H19&gt;0,1,0)</f>
        <v>0</v>
      </c>
      <c r="X19" s="176"/>
    </row>
    <row r="20" spans="1:24" s="34" customFormat="1" ht="13.15" x14ac:dyDescent="0.4">
      <c r="A20" s="158">
        <f>COUNT($A$17:A19)+1</f>
        <v>4</v>
      </c>
      <c r="B20" s="85" t="str">
        <f t="shared" si="0"/>
        <v xml:space="preserve"> </v>
      </c>
      <c r="C20" s="35" t="s">
        <v>106</v>
      </c>
      <c r="D20" s="35"/>
      <c r="E20" s="85" t="str">
        <f t="shared" si="6"/>
        <v/>
      </c>
      <c r="F20" s="61"/>
      <c r="G20" s="62"/>
      <c r="H20" s="58">
        <v>0</v>
      </c>
      <c r="I20" s="58">
        <v>0</v>
      </c>
      <c r="J20" s="58">
        <v>0</v>
      </c>
      <c r="K20" s="58">
        <v>0</v>
      </c>
      <c r="L20" s="58">
        <v>0</v>
      </c>
      <c r="M20" s="58">
        <v>0</v>
      </c>
      <c r="N20" s="58">
        <v>0</v>
      </c>
      <c r="O20" s="53" t="str">
        <f t="shared" si="7"/>
        <v>November</v>
      </c>
      <c r="P20" s="53">
        <f t="shared" si="8"/>
        <v>1</v>
      </c>
      <c r="Q20" s="105">
        <f t="shared" si="9"/>
        <v>36526</v>
      </c>
      <c r="R20" s="106">
        <f t="shared" si="10"/>
        <v>0.625</v>
      </c>
      <c r="S20" s="175">
        <f t="shared" si="1"/>
        <v>0</v>
      </c>
      <c r="T20" s="175">
        <f t="shared" si="2"/>
        <v>0</v>
      </c>
      <c r="U20" s="54">
        <f t="shared" si="3"/>
        <v>0</v>
      </c>
      <c r="V20" s="54">
        <f t="shared" si="4"/>
        <v>0</v>
      </c>
      <c r="W20" s="175">
        <f t="shared" si="5"/>
        <v>0</v>
      </c>
      <c r="X20" s="176"/>
    </row>
    <row r="21" spans="1:24" ht="13.15" x14ac:dyDescent="0.4">
      <c r="A21" s="158">
        <f>COUNT($A$17:A20)+1</f>
        <v>5</v>
      </c>
      <c r="B21" s="85" t="str">
        <f t="shared" si="0"/>
        <v xml:space="preserve"> </v>
      </c>
      <c r="C21" s="35" t="s">
        <v>106</v>
      </c>
      <c r="D21" s="35"/>
      <c r="E21" s="85" t="str">
        <f t="shared" si="6"/>
        <v/>
      </c>
      <c r="F21" s="61"/>
      <c r="G21" s="62"/>
      <c r="H21" s="58">
        <v>0</v>
      </c>
      <c r="I21" s="58">
        <v>0</v>
      </c>
      <c r="J21" s="58">
        <v>0</v>
      </c>
      <c r="K21" s="58">
        <v>0</v>
      </c>
      <c r="L21" s="58">
        <v>0</v>
      </c>
      <c r="M21" s="58">
        <v>0</v>
      </c>
      <c r="N21" s="58">
        <v>0</v>
      </c>
      <c r="O21" s="53" t="str">
        <f t="shared" si="7"/>
        <v>November</v>
      </c>
      <c r="P21" s="53">
        <f t="shared" si="8"/>
        <v>1</v>
      </c>
      <c r="Q21" s="105">
        <f t="shared" si="9"/>
        <v>36526</v>
      </c>
      <c r="R21" s="106">
        <f t="shared" si="10"/>
        <v>0.625</v>
      </c>
      <c r="S21" s="160">
        <f t="shared" si="1"/>
        <v>0</v>
      </c>
      <c r="T21" s="160">
        <f t="shared" si="2"/>
        <v>0</v>
      </c>
      <c r="U21" s="9">
        <f t="shared" si="3"/>
        <v>0</v>
      </c>
      <c r="V21" s="9">
        <f t="shared" si="4"/>
        <v>0</v>
      </c>
      <c r="W21" s="160">
        <f t="shared" si="5"/>
        <v>0</v>
      </c>
      <c r="X21" s="152"/>
    </row>
    <row r="22" spans="1:24" ht="13.15" x14ac:dyDescent="0.4">
      <c r="A22" s="158">
        <f>COUNT($A$17:A21)+1</f>
        <v>6</v>
      </c>
      <c r="B22" s="85" t="str">
        <f t="shared" si="0"/>
        <v xml:space="preserve"> </v>
      </c>
      <c r="C22" s="35" t="s">
        <v>106</v>
      </c>
      <c r="D22" s="57"/>
      <c r="E22" s="85" t="str">
        <f t="shared" si="6"/>
        <v/>
      </c>
      <c r="F22" s="64"/>
      <c r="G22" s="66"/>
      <c r="H22" s="58">
        <v>0</v>
      </c>
      <c r="I22" s="58">
        <v>0</v>
      </c>
      <c r="J22" s="58">
        <v>0</v>
      </c>
      <c r="K22" s="58">
        <v>0</v>
      </c>
      <c r="L22" s="58">
        <v>0</v>
      </c>
      <c r="M22" s="58">
        <v>0</v>
      </c>
      <c r="N22" s="58">
        <v>0</v>
      </c>
      <c r="O22" s="53" t="str">
        <f t="shared" si="7"/>
        <v>November</v>
      </c>
      <c r="P22" s="53">
        <f t="shared" si="8"/>
        <v>1</v>
      </c>
      <c r="Q22" s="105">
        <f t="shared" si="9"/>
        <v>36526</v>
      </c>
      <c r="R22" s="106">
        <f t="shared" si="10"/>
        <v>0.625</v>
      </c>
      <c r="S22" s="160">
        <f t="shared" si="1"/>
        <v>0</v>
      </c>
      <c r="T22" s="160">
        <f t="shared" si="2"/>
        <v>0</v>
      </c>
      <c r="U22" s="9">
        <f t="shared" si="3"/>
        <v>0</v>
      </c>
      <c r="V22" s="9">
        <f t="shared" si="4"/>
        <v>0</v>
      </c>
      <c r="W22" s="160">
        <f t="shared" si="5"/>
        <v>0</v>
      </c>
      <c r="X22" s="152"/>
    </row>
    <row r="23" spans="1:24" ht="13.15" x14ac:dyDescent="0.4">
      <c r="A23" s="158">
        <f>COUNT($A$17:A22)+1</f>
        <v>7</v>
      </c>
      <c r="B23" s="85" t="str">
        <f t="shared" si="0"/>
        <v xml:space="preserve"> </v>
      </c>
      <c r="C23" s="35" t="s">
        <v>106</v>
      </c>
      <c r="D23" s="35"/>
      <c r="E23" s="85" t="str">
        <f t="shared" si="6"/>
        <v/>
      </c>
      <c r="F23" s="61"/>
      <c r="G23" s="62"/>
      <c r="H23" s="58">
        <v>0</v>
      </c>
      <c r="I23" s="58">
        <v>0</v>
      </c>
      <c r="J23" s="58">
        <v>0</v>
      </c>
      <c r="K23" s="58">
        <v>0</v>
      </c>
      <c r="L23" s="58">
        <v>0</v>
      </c>
      <c r="M23" s="58">
        <v>0</v>
      </c>
      <c r="N23" s="58">
        <v>0</v>
      </c>
      <c r="O23" s="53" t="str">
        <f t="shared" si="7"/>
        <v>November</v>
      </c>
      <c r="P23" s="53">
        <f t="shared" si="8"/>
        <v>1</v>
      </c>
      <c r="Q23" s="105">
        <f t="shared" si="9"/>
        <v>36526</v>
      </c>
      <c r="R23" s="106">
        <f t="shared" si="10"/>
        <v>0.625</v>
      </c>
      <c r="S23" s="160">
        <f t="shared" si="1"/>
        <v>0</v>
      </c>
      <c r="T23" s="160">
        <f t="shared" si="2"/>
        <v>0</v>
      </c>
      <c r="U23" s="9">
        <f t="shared" si="3"/>
        <v>0</v>
      </c>
      <c r="V23" s="9">
        <f t="shared" si="4"/>
        <v>0</v>
      </c>
      <c r="W23" s="160">
        <f t="shared" si="5"/>
        <v>0</v>
      </c>
      <c r="X23" s="152"/>
    </row>
    <row r="24" spans="1:24" ht="13.15" x14ac:dyDescent="0.4">
      <c r="A24" s="158">
        <f>COUNT($A$17:A23)+1</f>
        <v>8</v>
      </c>
      <c r="B24" s="85" t="str">
        <f t="shared" si="0"/>
        <v xml:space="preserve"> </v>
      </c>
      <c r="C24" s="103" t="s">
        <v>106</v>
      </c>
      <c r="D24" s="56"/>
      <c r="E24" s="85" t="str">
        <f t="shared" si="6"/>
        <v/>
      </c>
      <c r="F24" s="63"/>
      <c r="G24" s="65"/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53" t="str">
        <f t="shared" si="7"/>
        <v>November</v>
      </c>
      <c r="P24" s="53">
        <f t="shared" si="8"/>
        <v>1</v>
      </c>
      <c r="Q24" s="105">
        <f t="shared" si="9"/>
        <v>36526</v>
      </c>
      <c r="R24" s="106">
        <f t="shared" si="10"/>
        <v>0.625</v>
      </c>
      <c r="S24" s="159">
        <f t="shared" si="1"/>
        <v>0</v>
      </c>
      <c r="T24" s="159">
        <f t="shared" si="2"/>
        <v>0</v>
      </c>
      <c r="U24" s="60">
        <f t="shared" si="3"/>
        <v>0</v>
      </c>
      <c r="V24" s="60">
        <f t="shared" si="4"/>
        <v>0</v>
      </c>
      <c r="W24" s="159">
        <f t="shared" si="5"/>
        <v>0</v>
      </c>
      <c r="X24" s="152"/>
    </row>
    <row r="25" spans="1:24" ht="15.4" x14ac:dyDescent="0.4">
      <c r="A25" s="153"/>
      <c r="B25" s="26"/>
      <c r="C25" s="26"/>
      <c r="D25" s="26"/>
      <c r="E25" s="26"/>
      <c r="F25" s="26"/>
      <c r="G25" s="26"/>
      <c r="H25" s="161"/>
      <c r="I25" s="162" t="str">
        <f>IF(T25+S25+U25+V25&gt;0,"WARNING:","")</f>
        <v/>
      </c>
      <c r="J25" s="163" t="str">
        <f>IF(S25&gt;0,"Values above must be 1's or 0's",IF(T25&gt;0,"NE and Ontario are not participating. These must be 0's",IF(U25&gt;0,"Choose one location only",IF(V25&gt;0,"You must select a location",""))))</f>
        <v/>
      </c>
      <c r="K25" s="164"/>
      <c r="L25" s="164"/>
      <c r="M25" s="164"/>
      <c r="N25" s="165"/>
      <c r="O25" s="165"/>
      <c r="P25" s="165"/>
      <c r="Q25" s="165"/>
      <c r="R25" s="165"/>
      <c r="S25" s="9">
        <f>SUM(S17:S24)</f>
        <v>0</v>
      </c>
      <c r="T25" s="9">
        <f>SUM(T17:T24)</f>
        <v>0</v>
      </c>
      <c r="U25" s="9">
        <f>SUM(U17:U24)</f>
        <v>0</v>
      </c>
      <c r="V25" s="9">
        <f>SUM(V17:V24)</f>
        <v>0</v>
      </c>
      <c r="W25" s="9">
        <f>SUM(W17:W24)</f>
        <v>0</v>
      </c>
      <c r="X25" s="152"/>
    </row>
    <row r="26" spans="1:24" ht="13.15" x14ac:dyDescent="0.4">
      <c r="A26" s="166" t="s">
        <v>32</v>
      </c>
      <c r="B26" s="26"/>
      <c r="C26" s="26"/>
      <c r="D26" s="26"/>
      <c r="E26" s="26"/>
      <c r="F26" s="9"/>
      <c r="G26" s="9"/>
      <c r="H26" s="26"/>
      <c r="I26" s="26"/>
      <c r="J26" s="167"/>
      <c r="K26" s="167"/>
      <c r="L26" s="167"/>
      <c r="M26" s="167"/>
      <c r="N26" s="167"/>
      <c r="O26" s="167"/>
      <c r="P26" s="167"/>
      <c r="Q26" s="167"/>
      <c r="R26" s="167"/>
      <c r="S26" s="9"/>
      <c r="T26" s="9"/>
      <c r="U26" s="9"/>
      <c r="V26" s="9"/>
      <c r="W26" s="9"/>
      <c r="X26" s="152"/>
    </row>
    <row r="27" spans="1:24" ht="13.15" x14ac:dyDescent="0.4">
      <c r="A27" s="168" t="s">
        <v>45</v>
      </c>
      <c r="B27" s="26"/>
      <c r="C27" s="26"/>
      <c r="D27" s="26"/>
      <c r="E27" s="26"/>
      <c r="F27" s="9"/>
      <c r="G27" s="9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9"/>
      <c r="T27" s="9"/>
      <c r="U27" s="9"/>
      <c r="V27" s="9"/>
      <c r="W27" s="9"/>
      <c r="X27" s="152"/>
    </row>
    <row r="28" spans="1:24" ht="13.15" x14ac:dyDescent="0.4">
      <c r="A28" s="169"/>
      <c r="B28" s="28" t="s">
        <v>73</v>
      </c>
      <c r="C28" s="28"/>
      <c r="D28" s="26"/>
      <c r="E28" s="26"/>
      <c r="F28" s="9"/>
      <c r="G28" s="9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9"/>
      <c r="T28" s="9"/>
      <c r="U28" s="9"/>
      <c r="V28" s="9"/>
      <c r="W28" s="9"/>
      <c r="X28" s="152"/>
    </row>
    <row r="29" spans="1:24" ht="13.15" x14ac:dyDescent="0.4">
      <c r="A29" s="170"/>
      <c r="B29" s="171" t="s">
        <v>75</v>
      </c>
      <c r="C29" s="171"/>
      <c r="D29" s="172"/>
      <c r="E29" s="172"/>
      <c r="F29" s="9"/>
      <c r="G29" s="9"/>
      <c r="H29" s="172"/>
      <c r="I29" s="172"/>
      <c r="J29" s="172"/>
      <c r="K29" s="172"/>
      <c r="L29" s="172"/>
      <c r="M29" s="172"/>
      <c r="N29" s="172"/>
      <c r="O29" s="172"/>
      <c r="P29" s="172"/>
      <c r="Q29" s="172"/>
      <c r="R29" s="172"/>
      <c r="S29" s="54"/>
      <c r="T29" s="54"/>
      <c r="U29" s="54"/>
      <c r="V29" s="54"/>
      <c r="W29" s="54"/>
      <c r="X29" s="152"/>
    </row>
    <row r="30" spans="1:24" ht="13.15" hidden="1" x14ac:dyDescent="0.4">
      <c r="A30" s="153"/>
      <c r="B30" s="26"/>
      <c r="C30" s="26"/>
      <c r="D30" s="26" t="s">
        <v>15</v>
      </c>
      <c r="E30" s="26"/>
      <c r="F30" s="22"/>
      <c r="G30" s="22"/>
      <c r="H30" s="22"/>
      <c r="I30" s="22"/>
      <c r="J30" s="26"/>
      <c r="K30" s="26" t="s">
        <v>34</v>
      </c>
      <c r="L30" s="26"/>
      <c r="M30" s="22"/>
      <c r="N30" s="22"/>
      <c r="O30" s="26"/>
      <c r="P30" s="26"/>
      <c r="Q30" s="26"/>
      <c r="R30" s="26"/>
      <c r="S30" s="9"/>
      <c r="T30" s="9"/>
      <c r="U30" s="9"/>
      <c r="V30" s="9"/>
      <c r="W30" s="9"/>
      <c r="X30" s="152"/>
    </row>
    <row r="31" spans="1:24" ht="13.15" x14ac:dyDescent="0.4">
      <c r="A31" s="153"/>
      <c r="B31" s="26"/>
      <c r="C31" s="26"/>
      <c r="D31" s="26"/>
      <c r="E31" s="26"/>
      <c r="F31" s="26"/>
      <c r="G31" s="26"/>
      <c r="H31" s="26"/>
      <c r="I31" s="26"/>
      <c r="J31" s="26"/>
      <c r="K31" s="173"/>
      <c r="L31" s="26"/>
      <c r="M31" s="26"/>
      <c r="N31" s="26"/>
      <c r="O31" s="26"/>
      <c r="P31" s="26"/>
      <c r="Q31" s="26"/>
      <c r="R31" s="26"/>
      <c r="S31" s="9"/>
      <c r="T31" s="9"/>
      <c r="U31" s="9"/>
      <c r="V31" s="9"/>
      <c r="W31" s="9"/>
      <c r="X31" s="152"/>
    </row>
    <row r="32" spans="1:24" ht="13.5" thickBot="1" x14ac:dyDescent="0.45">
      <c r="A32" s="153"/>
      <c r="B32" s="26" t="s">
        <v>49</v>
      </c>
      <c r="C32" s="55" t="s">
        <v>80</v>
      </c>
      <c r="D32" s="55"/>
      <c r="E32" s="55"/>
      <c r="I32" s="26"/>
      <c r="J32" s="26" t="s">
        <v>34</v>
      </c>
      <c r="K32" s="26"/>
      <c r="L32" s="22" t="s">
        <v>81</v>
      </c>
      <c r="M32" s="22"/>
      <c r="N32" s="22"/>
      <c r="O32" s="26"/>
      <c r="P32" s="26"/>
      <c r="Q32" s="26"/>
      <c r="R32" s="26"/>
      <c r="S32" s="9"/>
      <c r="T32" s="9"/>
      <c r="U32" s="9"/>
      <c r="V32" s="9"/>
      <c r="W32" s="9"/>
      <c r="X32" s="152"/>
    </row>
    <row r="33" spans="1:24" ht="13.15" x14ac:dyDescent="0.4">
      <c r="A33" s="153"/>
      <c r="B33" s="26"/>
      <c r="C33" s="26"/>
      <c r="D33" s="26"/>
      <c r="E33" s="26"/>
      <c r="F33" s="192" t="s">
        <v>786</v>
      </c>
      <c r="G33" s="192"/>
      <c r="H33" s="192"/>
      <c r="I33" s="192"/>
      <c r="J33" s="192"/>
      <c r="K33" s="192"/>
      <c r="L33" s="192"/>
      <c r="M33" s="192"/>
      <c r="N33" s="192"/>
      <c r="O33" s="192"/>
      <c r="P33" s="192"/>
      <c r="Q33" s="192"/>
      <c r="R33" s="192"/>
      <c r="S33" s="192"/>
      <c r="T33" s="192"/>
      <c r="U33" s="192"/>
      <c r="V33" s="192"/>
      <c r="W33" s="192"/>
      <c r="X33" s="193"/>
    </row>
    <row r="34" spans="1:24" ht="13.15" x14ac:dyDescent="0.4">
      <c r="A34" s="153"/>
      <c r="B34" s="26" t="s">
        <v>17</v>
      </c>
      <c r="C34" s="22" t="s">
        <v>87</v>
      </c>
      <c r="D34" s="22"/>
      <c r="E34" s="22"/>
      <c r="F34" s="192"/>
      <c r="G34" s="192"/>
      <c r="H34" s="192"/>
      <c r="I34" s="192"/>
      <c r="J34" s="192"/>
      <c r="K34" s="192"/>
      <c r="L34" s="192"/>
      <c r="M34" s="192"/>
      <c r="N34" s="192"/>
      <c r="O34" s="192"/>
      <c r="P34" s="192"/>
      <c r="Q34" s="192"/>
      <c r="R34" s="192"/>
      <c r="S34" s="192"/>
      <c r="T34" s="192"/>
      <c r="U34" s="192"/>
      <c r="V34" s="192"/>
      <c r="W34" s="192"/>
      <c r="X34" s="193"/>
    </row>
    <row r="35" spans="1:24" ht="13.15" x14ac:dyDescent="0.4">
      <c r="A35" s="153"/>
      <c r="B35" s="26" t="s">
        <v>16</v>
      </c>
      <c r="C35" s="22" t="s">
        <v>82</v>
      </c>
      <c r="D35" s="22"/>
      <c r="E35" s="2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3"/>
    </row>
    <row r="36" spans="1:24" ht="13.15" x14ac:dyDescent="0.4">
      <c r="A36" s="153"/>
      <c r="B36" s="26"/>
      <c r="C36" s="22" t="s">
        <v>83</v>
      </c>
      <c r="D36" s="25"/>
      <c r="E36" s="25"/>
      <c r="F36" s="192"/>
      <c r="G36" s="192"/>
      <c r="H36" s="192"/>
      <c r="I36" s="192"/>
      <c r="J36" s="192"/>
      <c r="K36" s="192"/>
      <c r="L36" s="192"/>
      <c r="M36" s="192"/>
      <c r="N36" s="192"/>
      <c r="O36" s="192"/>
      <c r="P36" s="192"/>
      <c r="Q36" s="192"/>
      <c r="R36" s="192"/>
      <c r="S36" s="192"/>
      <c r="T36" s="192"/>
      <c r="U36" s="192"/>
      <c r="V36" s="192"/>
      <c r="W36" s="192"/>
      <c r="X36" s="193"/>
    </row>
    <row r="37" spans="1:24" ht="13.15" x14ac:dyDescent="0.4">
      <c r="A37" s="153"/>
      <c r="B37" s="26"/>
      <c r="C37" s="22" t="s">
        <v>84</v>
      </c>
      <c r="D37" s="25"/>
      <c r="E37" s="25"/>
      <c r="F37" s="192"/>
      <c r="G37" s="192"/>
      <c r="H37" s="192"/>
      <c r="I37" s="192"/>
      <c r="J37" s="192"/>
      <c r="K37" s="192"/>
      <c r="L37" s="192"/>
      <c r="M37" s="192"/>
      <c r="N37" s="192"/>
      <c r="O37" s="192"/>
      <c r="P37" s="192"/>
      <c r="Q37" s="192"/>
      <c r="R37" s="192"/>
      <c r="S37" s="192"/>
      <c r="T37" s="192"/>
      <c r="U37" s="192"/>
      <c r="V37" s="192"/>
      <c r="W37" s="192"/>
      <c r="X37" s="193"/>
    </row>
    <row r="38" spans="1:24" ht="13.15" x14ac:dyDescent="0.4">
      <c r="A38" s="153"/>
      <c r="B38" s="26"/>
      <c r="C38" s="25" t="s">
        <v>85</v>
      </c>
      <c r="D38" s="25"/>
      <c r="E38" s="25"/>
      <c r="F38" s="192"/>
      <c r="G38" s="192"/>
      <c r="H38" s="192"/>
      <c r="I38" s="192"/>
      <c r="J38" s="192"/>
      <c r="K38" s="192"/>
      <c r="L38" s="192"/>
      <c r="M38" s="192"/>
      <c r="N38" s="192"/>
      <c r="O38" s="192"/>
      <c r="P38" s="192"/>
      <c r="Q38" s="192"/>
      <c r="R38" s="192"/>
      <c r="S38" s="192"/>
      <c r="T38" s="192"/>
      <c r="U38" s="192"/>
      <c r="V38" s="192"/>
      <c r="W38" s="192"/>
      <c r="X38" s="193"/>
    </row>
    <row r="39" spans="1:24" ht="13.15" x14ac:dyDescent="0.4">
      <c r="A39" s="153"/>
      <c r="B39" s="26"/>
      <c r="C39" s="24"/>
      <c r="D39" s="24"/>
      <c r="E39" s="24"/>
      <c r="F39" s="192"/>
      <c r="G39" s="192"/>
      <c r="H39" s="192"/>
      <c r="I39" s="192"/>
      <c r="J39" s="192"/>
      <c r="K39" s="192"/>
      <c r="L39" s="192"/>
      <c r="M39" s="192"/>
      <c r="N39" s="192"/>
      <c r="O39" s="192"/>
      <c r="P39" s="192"/>
      <c r="Q39" s="192"/>
      <c r="R39" s="192"/>
      <c r="S39" s="192"/>
      <c r="T39" s="192"/>
      <c r="U39" s="192"/>
      <c r="V39" s="192"/>
      <c r="W39" s="192"/>
      <c r="X39" s="193"/>
    </row>
    <row r="40" spans="1:24" ht="13.15" x14ac:dyDescent="0.4">
      <c r="A40" s="153"/>
      <c r="B40" s="26" t="s">
        <v>19</v>
      </c>
      <c r="C40" s="22" t="s">
        <v>86</v>
      </c>
      <c r="D40" s="22"/>
      <c r="E40" s="22"/>
      <c r="F40" s="192"/>
      <c r="G40" s="192"/>
      <c r="H40" s="192"/>
      <c r="I40" s="192"/>
      <c r="J40" s="192"/>
      <c r="K40" s="192"/>
      <c r="L40" s="192"/>
      <c r="M40" s="192"/>
      <c r="N40" s="192"/>
      <c r="O40" s="192"/>
      <c r="P40" s="192"/>
      <c r="Q40" s="192"/>
      <c r="R40" s="192"/>
      <c r="S40" s="192"/>
      <c r="T40" s="192"/>
      <c r="U40" s="192"/>
      <c r="V40" s="192"/>
      <c r="W40" s="192"/>
      <c r="X40" s="193"/>
    </row>
    <row r="41" spans="1:24" ht="13.15" thickBot="1" x14ac:dyDescent="0.4">
      <c r="A41" s="174"/>
      <c r="B41" s="139"/>
      <c r="C41" s="139"/>
      <c r="D41" s="139"/>
      <c r="E41" s="177"/>
      <c r="F41" s="194"/>
      <c r="G41" s="194"/>
      <c r="H41" s="194"/>
      <c r="I41" s="194"/>
      <c r="J41" s="194"/>
      <c r="K41" s="194"/>
      <c r="L41" s="194"/>
      <c r="M41" s="194"/>
      <c r="N41" s="194"/>
      <c r="O41" s="194"/>
      <c r="P41" s="194"/>
      <c r="Q41" s="194"/>
      <c r="R41" s="194"/>
      <c r="S41" s="194"/>
      <c r="T41" s="194"/>
      <c r="U41" s="194"/>
      <c r="V41" s="194"/>
      <c r="W41" s="194"/>
      <c r="X41" s="195"/>
    </row>
    <row r="79" spans="1:4" hidden="1" x14ac:dyDescent="0.35">
      <c r="A79" t="s">
        <v>108</v>
      </c>
      <c r="B79" t="s">
        <v>275</v>
      </c>
      <c r="C79" t="s">
        <v>289</v>
      </c>
      <c r="D79" t="s">
        <v>40</v>
      </c>
    </row>
    <row r="80" spans="1:4" hidden="1" x14ac:dyDescent="0.35">
      <c r="A80" t="s">
        <v>109</v>
      </c>
      <c r="B80" t="s">
        <v>276</v>
      </c>
      <c r="C80">
        <v>1</v>
      </c>
      <c r="D80" t="s">
        <v>808</v>
      </c>
    </row>
    <row r="81" spans="1:4" hidden="1" x14ac:dyDescent="0.35">
      <c r="A81" t="s">
        <v>110</v>
      </c>
      <c r="B81" t="s">
        <v>106</v>
      </c>
      <c r="C81">
        <v>2</v>
      </c>
      <c r="D81" t="s">
        <v>196</v>
      </c>
    </row>
    <row r="82" spans="1:4" hidden="1" x14ac:dyDescent="0.35">
      <c r="A82" t="s">
        <v>111</v>
      </c>
      <c r="C82">
        <v>3</v>
      </c>
      <c r="D82" t="s">
        <v>184</v>
      </c>
    </row>
    <row r="83" spans="1:4" hidden="1" x14ac:dyDescent="0.35">
      <c r="A83" t="s">
        <v>112</v>
      </c>
      <c r="C83">
        <v>4</v>
      </c>
      <c r="D83" t="s">
        <v>797</v>
      </c>
    </row>
    <row r="84" spans="1:4" hidden="1" x14ac:dyDescent="0.35">
      <c r="A84" t="s">
        <v>113</v>
      </c>
      <c r="C84">
        <v>5</v>
      </c>
      <c r="D84" t="s">
        <v>194</v>
      </c>
    </row>
    <row r="85" spans="1:4" hidden="1" x14ac:dyDescent="0.35">
      <c r="A85" t="s">
        <v>114</v>
      </c>
      <c r="C85">
        <v>6</v>
      </c>
      <c r="D85" t="s">
        <v>182</v>
      </c>
    </row>
    <row r="86" spans="1:4" hidden="1" x14ac:dyDescent="0.35">
      <c r="A86" t="s">
        <v>115</v>
      </c>
      <c r="C86">
        <v>7</v>
      </c>
      <c r="D86" t="s">
        <v>795</v>
      </c>
    </row>
    <row r="87" spans="1:4" hidden="1" x14ac:dyDescent="0.35">
      <c r="A87" t="s">
        <v>116</v>
      </c>
      <c r="C87">
        <v>8</v>
      </c>
      <c r="D87" t="s">
        <v>193</v>
      </c>
    </row>
    <row r="88" spans="1:4" hidden="1" x14ac:dyDescent="0.35">
      <c r="A88" t="s">
        <v>117</v>
      </c>
      <c r="C88">
        <v>9</v>
      </c>
      <c r="D88" t="s">
        <v>181</v>
      </c>
    </row>
    <row r="89" spans="1:4" hidden="1" x14ac:dyDescent="0.35">
      <c r="A89" t="s">
        <v>118</v>
      </c>
      <c r="C89">
        <v>10</v>
      </c>
      <c r="D89" t="s">
        <v>794</v>
      </c>
    </row>
    <row r="90" spans="1:4" hidden="1" x14ac:dyDescent="0.35">
      <c r="A90" t="s">
        <v>119</v>
      </c>
      <c r="C90">
        <v>11</v>
      </c>
      <c r="D90" t="s">
        <v>189</v>
      </c>
    </row>
    <row r="91" spans="1:4" hidden="1" x14ac:dyDescent="0.35">
      <c r="A91" t="s">
        <v>120</v>
      </c>
      <c r="C91">
        <v>12</v>
      </c>
      <c r="D91" t="s">
        <v>177</v>
      </c>
    </row>
    <row r="92" spans="1:4" hidden="1" x14ac:dyDescent="0.35">
      <c r="A92" t="s">
        <v>121</v>
      </c>
      <c r="C92">
        <v>13</v>
      </c>
      <c r="D92" t="s">
        <v>790</v>
      </c>
    </row>
    <row r="93" spans="1:4" hidden="1" x14ac:dyDescent="0.35">
      <c r="A93" t="s">
        <v>122</v>
      </c>
      <c r="C93">
        <v>14</v>
      </c>
      <c r="D93" t="s">
        <v>199</v>
      </c>
    </row>
    <row r="94" spans="1:4" hidden="1" x14ac:dyDescent="0.35">
      <c r="A94" t="s">
        <v>123</v>
      </c>
      <c r="C94">
        <v>15</v>
      </c>
      <c r="D94" t="s">
        <v>187</v>
      </c>
    </row>
    <row r="95" spans="1:4" hidden="1" x14ac:dyDescent="0.35">
      <c r="A95" t="s">
        <v>124</v>
      </c>
      <c r="C95">
        <v>16</v>
      </c>
      <c r="D95" t="s">
        <v>800</v>
      </c>
    </row>
    <row r="96" spans="1:4" hidden="1" x14ac:dyDescent="0.35">
      <c r="A96" t="s">
        <v>125</v>
      </c>
      <c r="C96">
        <v>17</v>
      </c>
      <c r="D96" t="s">
        <v>198</v>
      </c>
    </row>
    <row r="97" spans="1:4" hidden="1" x14ac:dyDescent="0.35">
      <c r="A97" t="s">
        <v>126</v>
      </c>
      <c r="C97">
        <v>18</v>
      </c>
      <c r="D97" t="s">
        <v>186</v>
      </c>
    </row>
    <row r="98" spans="1:4" hidden="1" x14ac:dyDescent="0.35">
      <c r="A98" t="s">
        <v>127</v>
      </c>
      <c r="C98">
        <v>19</v>
      </c>
      <c r="D98" t="s">
        <v>799</v>
      </c>
    </row>
    <row r="99" spans="1:4" hidden="1" x14ac:dyDescent="0.35">
      <c r="A99" t="s">
        <v>128</v>
      </c>
      <c r="C99">
        <v>20</v>
      </c>
      <c r="D99" t="s">
        <v>809</v>
      </c>
    </row>
    <row r="100" spans="1:4" hidden="1" x14ac:dyDescent="0.35">
      <c r="A100" t="s">
        <v>129</v>
      </c>
      <c r="C100">
        <v>21</v>
      </c>
      <c r="D100" t="s">
        <v>197</v>
      </c>
    </row>
    <row r="101" spans="1:4" hidden="1" x14ac:dyDescent="0.35">
      <c r="A101" t="s">
        <v>130</v>
      </c>
      <c r="C101">
        <v>22</v>
      </c>
      <c r="D101" t="s">
        <v>185</v>
      </c>
    </row>
    <row r="102" spans="1:4" hidden="1" x14ac:dyDescent="0.35">
      <c r="A102" t="s">
        <v>131</v>
      </c>
      <c r="C102">
        <v>23</v>
      </c>
      <c r="D102" t="s">
        <v>798</v>
      </c>
    </row>
    <row r="103" spans="1:4" hidden="1" x14ac:dyDescent="0.35">
      <c r="A103" t="s">
        <v>132</v>
      </c>
      <c r="C103">
        <v>24</v>
      </c>
      <c r="D103" t="s">
        <v>190</v>
      </c>
    </row>
    <row r="104" spans="1:4" hidden="1" x14ac:dyDescent="0.35">
      <c r="A104" t="s">
        <v>133</v>
      </c>
      <c r="C104">
        <v>25</v>
      </c>
      <c r="D104" t="s">
        <v>178</v>
      </c>
    </row>
    <row r="105" spans="1:4" hidden="1" x14ac:dyDescent="0.35">
      <c r="A105" t="s">
        <v>134</v>
      </c>
      <c r="C105">
        <v>26</v>
      </c>
      <c r="D105" t="s">
        <v>791</v>
      </c>
    </row>
    <row r="106" spans="1:4" hidden="1" x14ac:dyDescent="0.35">
      <c r="A106" t="s">
        <v>135</v>
      </c>
      <c r="C106">
        <v>27</v>
      </c>
      <c r="D106" t="s">
        <v>192</v>
      </c>
    </row>
    <row r="107" spans="1:4" hidden="1" x14ac:dyDescent="0.35">
      <c r="A107" t="s">
        <v>136</v>
      </c>
      <c r="C107">
        <v>28</v>
      </c>
      <c r="D107" t="s">
        <v>180</v>
      </c>
    </row>
    <row r="108" spans="1:4" hidden="1" x14ac:dyDescent="0.35">
      <c r="A108" t="s">
        <v>137</v>
      </c>
      <c r="C108">
        <v>29</v>
      </c>
      <c r="D108" t="s">
        <v>793</v>
      </c>
    </row>
    <row r="109" spans="1:4" hidden="1" x14ac:dyDescent="0.35">
      <c r="A109" t="s">
        <v>138</v>
      </c>
      <c r="C109">
        <v>30</v>
      </c>
      <c r="D109" t="s">
        <v>191</v>
      </c>
    </row>
    <row r="110" spans="1:4" hidden="1" x14ac:dyDescent="0.35">
      <c r="A110" t="s">
        <v>139</v>
      </c>
      <c r="C110">
        <v>31</v>
      </c>
      <c r="D110" t="s">
        <v>179</v>
      </c>
    </row>
    <row r="111" spans="1:4" hidden="1" x14ac:dyDescent="0.35">
      <c r="A111" t="s">
        <v>140</v>
      </c>
      <c r="C111">
        <v>32</v>
      </c>
      <c r="D111" t="s">
        <v>792</v>
      </c>
    </row>
    <row r="112" spans="1:4" hidden="1" x14ac:dyDescent="0.35">
      <c r="A112" t="s">
        <v>141</v>
      </c>
      <c r="C112">
        <v>33</v>
      </c>
      <c r="D112" t="s">
        <v>195</v>
      </c>
    </row>
    <row r="113" spans="1:4" hidden="1" x14ac:dyDescent="0.35">
      <c r="A113" t="s">
        <v>142</v>
      </c>
      <c r="C113">
        <v>34</v>
      </c>
      <c r="D113" t="s">
        <v>183</v>
      </c>
    </row>
    <row r="114" spans="1:4" hidden="1" x14ac:dyDescent="0.35">
      <c r="A114" t="s">
        <v>143</v>
      </c>
      <c r="C114">
        <v>35</v>
      </c>
      <c r="D114" t="s">
        <v>796</v>
      </c>
    </row>
    <row r="115" spans="1:4" hidden="1" x14ac:dyDescent="0.35">
      <c r="A115" t="s">
        <v>144</v>
      </c>
      <c r="C115">
        <v>36</v>
      </c>
      <c r="D115" t="s">
        <v>188</v>
      </c>
    </row>
    <row r="116" spans="1:4" hidden="1" x14ac:dyDescent="0.35">
      <c r="A116" t="s">
        <v>145</v>
      </c>
      <c r="C116">
        <v>37</v>
      </c>
      <c r="D116" t="s">
        <v>176</v>
      </c>
    </row>
    <row r="117" spans="1:4" hidden="1" x14ac:dyDescent="0.35">
      <c r="A117" t="s">
        <v>146</v>
      </c>
      <c r="C117">
        <v>38</v>
      </c>
      <c r="D117" t="s">
        <v>789</v>
      </c>
    </row>
    <row r="118" spans="1:4" hidden="1" x14ac:dyDescent="0.35">
      <c r="A118" t="s">
        <v>147</v>
      </c>
      <c r="C118">
        <v>101</v>
      </c>
      <c r="D118" t="s">
        <v>290</v>
      </c>
    </row>
    <row r="119" spans="1:4" hidden="1" x14ac:dyDescent="0.35">
      <c r="A119" t="s">
        <v>148</v>
      </c>
      <c r="C119">
        <v>102</v>
      </c>
      <c r="D119" t="s">
        <v>291</v>
      </c>
    </row>
    <row r="120" spans="1:4" hidden="1" x14ac:dyDescent="0.35">
      <c r="A120" t="s">
        <v>149</v>
      </c>
      <c r="C120">
        <v>103</v>
      </c>
      <c r="D120" t="s">
        <v>292</v>
      </c>
    </row>
    <row r="121" spans="1:4" hidden="1" x14ac:dyDescent="0.35">
      <c r="A121" t="s">
        <v>150</v>
      </c>
      <c r="C121">
        <v>104</v>
      </c>
      <c r="D121" t="s">
        <v>293</v>
      </c>
    </row>
    <row r="122" spans="1:4" hidden="1" x14ac:dyDescent="0.35">
      <c r="A122" t="s">
        <v>151</v>
      </c>
      <c r="C122">
        <v>105</v>
      </c>
      <c r="D122" t="s">
        <v>294</v>
      </c>
    </row>
    <row r="123" spans="1:4" hidden="1" x14ac:dyDescent="0.35">
      <c r="A123" t="s">
        <v>152</v>
      </c>
      <c r="C123">
        <v>106</v>
      </c>
      <c r="D123" t="s">
        <v>295</v>
      </c>
    </row>
    <row r="124" spans="1:4" hidden="1" x14ac:dyDescent="0.35">
      <c r="A124" t="s">
        <v>153</v>
      </c>
      <c r="C124">
        <v>107</v>
      </c>
      <c r="D124" t="s">
        <v>296</v>
      </c>
    </row>
    <row r="125" spans="1:4" hidden="1" x14ac:dyDescent="0.35">
      <c r="A125" t="s">
        <v>154</v>
      </c>
      <c r="C125">
        <v>108</v>
      </c>
      <c r="D125" t="s">
        <v>297</v>
      </c>
    </row>
    <row r="126" spans="1:4" hidden="1" x14ac:dyDescent="0.35">
      <c r="A126" t="s">
        <v>155</v>
      </c>
      <c r="C126">
        <v>109</v>
      </c>
      <c r="D126" t="s">
        <v>298</v>
      </c>
    </row>
    <row r="127" spans="1:4" hidden="1" x14ac:dyDescent="0.35">
      <c r="A127" t="s">
        <v>156</v>
      </c>
      <c r="C127">
        <v>110</v>
      </c>
      <c r="D127" t="s">
        <v>299</v>
      </c>
    </row>
    <row r="128" spans="1:4" hidden="1" x14ac:dyDescent="0.35">
      <c r="A128" t="s">
        <v>157</v>
      </c>
      <c r="C128">
        <v>111</v>
      </c>
      <c r="D128" t="s">
        <v>300</v>
      </c>
    </row>
    <row r="129" spans="1:4" hidden="1" x14ac:dyDescent="0.35">
      <c r="A129" t="s">
        <v>158</v>
      </c>
      <c r="C129">
        <v>201</v>
      </c>
      <c r="D129" t="s">
        <v>301</v>
      </c>
    </row>
    <row r="130" spans="1:4" hidden="1" x14ac:dyDescent="0.35">
      <c r="A130" t="s">
        <v>159</v>
      </c>
      <c r="C130">
        <v>202</v>
      </c>
      <c r="D130" t="s">
        <v>302</v>
      </c>
    </row>
    <row r="131" spans="1:4" hidden="1" x14ac:dyDescent="0.35">
      <c r="A131" t="s">
        <v>160</v>
      </c>
      <c r="C131">
        <v>203</v>
      </c>
      <c r="D131" t="s">
        <v>303</v>
      </c>
    </row>
    <row r="132" spans="1:4" hidden="1" x14ac:dyDescent="0.35">
      <c r="A132" t="s">
        <v>161</v>
      </c>
      <c r="C132">
        <v>204</v>
      </c>
      <c r="D132" t="s">
        <v>304</v>
      </c>
    </row>
    <row r="133" spans="1:4" hidden="1" x14ac:dyDescent="0.35">
      <c r="A133" t="s">
        <v>162</v>
      </c>
      <c r="C133">
        <v>205</v>
      </c>
      <c r="D133" t="s">
        <v>305</v>
      </c>
    </row>
    <row r="134" spans="1:4" hidden="1" x14ac:dyDescent="0.35">
      <c r="A134" t="s">
        <v>163</v>
      </c>
      <c r="C134">
        <v>206</v>
      </c>
      <c r="D134" t="s">
        <v>306</v>
      </c>
    </row>
    <row r="135" spans="1:4" hidden="1" x14ac:dyDescent="0.35">
      <c r="A135" t="s">
        <v>164</v>
      </c>
      <c r="C135">
        <v>207</v>
      </c>
      <c r="D135" t="s">
        <v>307</v>
      </c>
    </row>
    <row r="136" spans="1:4" hidden="1" x14ac:dyDescent="0.35">
      <c r="A136" t="s">
        <v>165</v>
      </c>
      <c r="C136">
        <v>208</v>
      </c>
      <c r="D136" t="s">
        <v>308</v>
      </c>
    </row>
    <row r="137" spans="1:4" hidden="1" x14ac:dyDescent="0.35">
      <c r="A137" t="s">
        <v>166</v>
      </c>
      <c r="C137">
        <v>209</v>
      </c>
      <c r="D137" t="s">
        <v>309</v>
      </c>
    </row>
    <row r="138" spans="1:4" hidden="1" x14ac:dyDescent="0.35">
      <c r="A138" t="s">
        <v>167</v>
      </c>
      <c r="C138">
        <v>210</v>
      </c>
      <c r="D138" t="s">
        <v>310</v>
      </c>
    </row>
    <row r="139" spans="1:4" hidden="1" x14ac:dyDescent="0.35">
      <c r="A139" t="s">
        <v>168</v>
      </c>
      <c r="C139">
        <v>211</v>
      </c>
      <c r="D139" t="s">
        <v>311</v>
      </c>
    </row>
    <row r="140" spans="1:4" hidden="1" x14ac:dyDescent="0.35">
      <c r="A140" t="s">
        <v>169</v>
      </c>
      <c r="C140">
        <v>212</v>
      </c>
      <c r="D140" t="s">
        <v>312</v>
      </c>
    </row>
    <row r="141" spans="1:4" hidden="1" x14ac:dyDescent="0.35">
      <c r="A141" t="s">
        <v>170</v>
      </c>
      <c r="C141">
        <v>213</v>
      </c>
      <c r="D141" t="s">
        <v>313</v>
      </c>
    </row>
    <row r="142" spans="1:4" hidden="1" x14ac:dyDescent="0.35">
      <c r="A142" t="s">
        <v>171</v>
      </c>
      <c r="C142">
        <v>214</v>
      </c>
      <c r="D142" t="s">
        <v>314</v>
      </c>
    </row>
    <row r="143" spans="1:4" hidden="1" x14ac:dyDescent="0.35">
      <c r="A143" t="s">
        <v>172</v>
      </c>
      <c r="C143">
        <v>215</v>
      </c>
      <c r="D143" t="s">
        <v>315</v>
      </c>
    </row>
    <row r="144" spans="1:4" hidden="1" x14ac:dyDescent="0.35">
      <c r="A144" t="s">
        <v>173</v>
      </c>
      <c r="C144">
        <v>216</v>
      </c>
      <c r="D144" t="s">
        <v>316</v>
      </c>
    </row>
    <row r="145" spans="1:4" hidden="1" x14ac:dyDescent="0.35">
      <c r="A145" t="s">
        <v>174</v>
      </c>
      <c r="C145">
        <v>217</v>
      </c>
      <c r="D145" t="s">
        <v>317</v>
      </c>
    </row>
    <row r="146" spans="1:4" hidden="1" x14ac:dyDescent="0.35">
      <c r="A146" t="s">
        <v>175</v>
      </c>
      <c r="C146">
        <v>218</v>
      </c>
      <c r="D146" t="s">
        <v>318</v>
      </c>
    </row>
    <row r="147" spans="1:4" hidden="1" x14ac:dyDescent="0.35">
      <c r="A147" t="s">
        <v>176</v>
      </c>
      <c r="C147">
        <v>219</v>
      </c>
      <c r="D147" t="s">
        <v>319</v>
      </c>
    </row>
    <row r="148" spans="1:4" hidden="1" x14ac:dyDescent="0.35">
      <c r="A148" t="s">
        <v>177</v>
      </c>
      <c r="C148">
        <v>220</v>
      </c>
      <c r="D148" t="s">
        <v>320</v>
      </c>
    </row>
    <row r="149" spans="1:4" hidden="1" x14ac:dyDescent="0.35">
      <c r="A149" t="s">
        <v>178</v>
      </c>
      <c r="C149">
        <v>221</v>
      </c>
      <c r="D149" t="s">
        <v>321</v>
      </c>
    </row>
    <row r="150" spans="1:4" hidden="1" x14ac:dyDescent="0.35">
      <c r="A150" t="s">
        <v>179</v>
      </c>
      <c r="C150">
        <v>222</v>
      </c>
      <c r="D150" t="s">
        <v>322</v>
      </c>
    </row>
    <row r="151" spans="1:4" hidden="1" x14ac:dyDescent="0.35">
      <c r="A151" t="s">
        <v>180</v>
      </c>
      <c r="C151">
        <v>223</v>
      </c>
      <c r="D151" t="s">
        <v>323</v>
      </c>
    </row>
    <row r="152" spans="1:4" hidden="1" x14ac:dyDescent="0.35">
      <c r="A152" t="s">
        <v>181</v>
      </c>
      <c r="C152">
        <v>224</v>
      </c>
      <c r="D152" t="s">
        <v>324</v>
      </c>
    </row>
    <row r="153" spans="1:4" hidden="1" x14ac:dyDescent="0.35">
      <c r="A153" t="s">
        <v>182</v>
      </c>
      <c r="C153">
        <v>225</v>
      </c>
      <c r="D153" t="s">
        <v>325</v>
      </c>
    </row>
    <row r="154" spans="1:4" hidden="1" x14ac:dyDescent="0.35">
      <c r="A154" t="s">
        <v>183</v>
      </c>
      <c r="C154">
        <v>226</v>
      </c>
      <c r="D154" t="s">
        <v>326</v>
      </c>
    </row>
    <row r="155" spans="1:4" hidden="1" x14ac:dyDescent="0.35">
      <c r="A155" t="s">
        <v>184</v>
      </c>
      <c r="C155">
        <v>227</v>
      </c>
      <c r="D155" t="s">
        <v>327</v>
      </c>
    </row>
    <row r="156" spans="1:4" hidden="1" x14ac:dyDescent="0.35">
      <c r="A156" t="s">
        <v>185</v>
      </c>
      <c r="C156">
        <v>228</v>
      </c>
      <c r="D156" t="s">
        <v>328</v>
      </c>
    </row>
    <row r="157" spans="1:4" hidden="1" x14ac:dyDescent="0.35">
      <c r="A157" t="s">
        <v>186</v>
      </c>
      <c r="C157">
        <v>229</v>
      </c>
      <c r="D157" t="s">
        <v>329</v>
      </c>
    </row>
    <row r="158" spans="1:4" hidden="1" x14ac:dyDescent="0.35">
      <c r="A158" t="s">
        <v>187</v>
      </c>
      <c r="C158">
        <v>230</v>
      </c>
      <c r="D158" t="s">
        <v>330</v>
      </c>
    </row>
    <row r="159" spans="1:4" hidden="1" x14ac:dyDescent="0.35">
      <c r="A159" t="s">
        <v>188</v>
      </c>
      <c r="C159">
        <v>231</v>
      </c>
      <c r="D159" t="s">
        <v>331</v>
      </c>
    </row>
    <row r="160" spans="1:4" hidden="1" x14ac:dyDescent="0.35">
      <c r="A160" t="s">
        <v>189</v>
      </c>
      <c r="C160">
        <v>232</v>
      </c>
      <c r="D160" t="s">
        <v>332</v>
      </c>
    </row>
    <row r="161" spans="1:4" hidden="1" x14ac:dyDescent="0.35">
      <c r="A161" t="s">
        <v>190</v>
      </c>
      <c r="C161">
        <v>233</v>
      </c>
      <c r="D161" t="s">
        <v>333</v>
      </c>
    </row>
    <row r="162" spans="1:4" hidden="1" x14ac:dyDescent="0.35">
      <c r="A162" t="s">
        <v>191</v>
      </c>
      <c r="C162">
        <v>234</v>
      </c>
      <c r="D162" t="s">
        <v>334</v>
      </c>
    </row>
    <row r="163" spans="1:4" hidden="1" x14ac:dyDescent="0.35">
      <c r="A163" t="s">
        <v>192</v>
      </c>
      <c r="C163">
        <v>235</v>
      </c>
      <c r="D163" t="s">
        <v>335</v>
      </c>
    </row>
    <row r="164" spans="1:4" hidden="1" x14ac:dyDescent="0.35">
      <c r="A164" t="s">
        <v>193</v>
      </c>
      <c r="C164">
        <v>236</v>
      </c>
      <c r="D164" t="s">
        <v>336</v>
      </c>
    </row>
    <row r="165" spans="1:4" hidden="1" x14ac:dyDescent="0.35">
      <c r="A165" t="s">
        <v>194</v>
      </c>
      <c r="C165">
        <v>237</v>
      </c>
      <c r="D165" t="s">
        <v>337</v>
      </c>
    </row>
    <row r="166" spans="1:4" hidden="1" x14ac:dyDescent="0.35">
      <c r="A166" t="s">
        <v>195</v>
      </c>
      <c r="C166">
        <v>238</v>
      </c>
      <c r="D166" t="s">
        <v>338</v>
      </c>
    </row>
    <row r="167" spans="1:4" hidden="1" x14ac:dyDescent="0.35">
      <c r="A167" t="s">
        <v>196</v>
      </c>
      <c r="C167">
        <v>239</v>
      </c>
      <c r="D167" t="s">
        <v>339</v>
      </c>
    </row>
    <row r="168" spans="1:4" hidden="1" x14ac:dyDescent="0.35">
      <c r="A168" t="s">
        <v>197</v>
      </c>
      <c r="C168">
        <v>240</v>
      </c>
      <c r="D168" t="s">
        <v>340</v>
      </c>
    </row>
    <row r="169" spans="1:4" hidden="1" x14ac:dyDescent="0.35">
      <c r="A169" t="s">
        <v>198</v>
      </c>
      <c r="C169">
        <v>241</v>
      </c>
      <c r="D169" t="s">
        <v>341</v>
      </c>
    </row>
    <row r="170" spans="1:4" hidden="1" x14ac:dyDescent="0.35">
      <c r="A170" t="s">
        <v>199</v>
      </c>
      <c r="C170">
        <v>242</v>
      </c>
      <c r="D170" t="s">
        <v>342</v>
      </c>
    </row>
    <row r="171" spans="1:4" hidden="1" x14ac:dyDescent="0.35">
      <c r="A171" t="s">
        <v>200</v>
      </c>
      <c r="C171">
        <v>243</v>
      </c>
      <c r="D171" t="s">
        <v>343</v>
      </c>
    </row>
    <row r="172" spans="1:4" hidden="1" x14ac:dyDescent="0.35">
      <c r="A172" t="s">
        <v>201</v>
      </c>
      <c r="C172">
        <v>244</v>
      </c>
      <c r="D172" t="s">
        <v>344</v>
      </c>
    </row>
    <row r="173" spans="1:4" hidden="1" x14ac:dyDescent="0.35">
      <c r="A173" t="s">
        <v>789</v>
      </c>
      <c r="C173">
        <v>245</v>
      </c>
      <c r="D173" t="s">
        <v>345</v>
      </c>
    </row>
    <row r="174" spans="1:4" hidden="1" x14ac:dyDescent="0.35">
      <c r="A174" t="s">
        <v>790</v>
      </c>
      <c r="C174">
        <v>246</v>
      </c>
      <c r="D174" t="s">
        <v>346</v>
      </c>
    </row>
    <row r="175" spans="1:4" hidden="1" x14ac:dyDescent="0.35">
      <c r="A175" t="s">
        <v>791</v>
      </c>
      <c r="C175">
        <v>247</v>
      </c>
      <c r="D175" t="s">
        <v>347</v>
      </c>
    </row>
    <row r="176" spans="1:4" hidden="1" x14ac:dyDescent="0.35">
      <c r="A176" t="s">
        <v>792</v>
      </c>
      <c r="C176">
        <v>248</v>
      </c>
      <c r="D176" t="s">
        <v>348</v>
      </c>
    </row>
    <row r="177" spans="1:4" hidden="1" x14ac:dyDescent="0.35">
      <c r="A177" t="s">
        <v>793</v>
      </c>
      <c r="C177">
        <v>249</v>
      </c>
      <c r="D177" t="s">
        <v>349</v>
      </c>
    </row>
    <row r="178" spans="1:4" hidden="1" x14ac:dyDescent="0.35">
      <c r="A178" t="s">
        <v>794</v>
      </c>
      <c r="C178">
        <v>250</v>
      </c>
      <c r="D178" t="s">
        <v>350</v>
      </c>
    </row>
    <row r="179" spans="1:4" hidden="1" x14ac:dyDescent="0.35">
      <c r="A179" t="s">
        <v>795</v>
      </c>
      <c r="C179">
        <v>251</v>
      </c>
      <c r="D179" t="s">
        <v>351</v>
      </c>
    </row>
    <row r="180" spans="1:4" hidden="1" x14ac:dyDescent="0.35">
      <c r="A180" t="s">
        <v>796</v>
      </c>
      <c r="C180">
        <v>252</v>
      </c>
      <c r="D180" t="s">
        <v>352</v>
      </c>
    </row>
    <row r="181" spans="1:4" hidden="1" x14ac:dyDescent="0.35">
      <c r="A181" t="s">
        <v>797</v>
      </c>
      <c r="C181">
        <v>253</v>
      </c>
      <c r="D181" t="s">
        <v>353</v>
      </c>
    </row>
    <row r="182" spans="1:4" hidden="1" x14ac:dyDescent="0.35">
      <c r="A182" t="s">
        <v>798</v>
      </c>
      <c r="C182">
        <v>254</v>
      </c>
      <c r="D182" t="s">
        <v>354</v>
      </c>
    </row>
    <row r="183" spans="1:4" hidden="1" x14ac:dyDescent="0.35">
      <c r="A183" t="s">
        <v>799</v>
      </c>
      <c r="C183">
        <v>255</v>
      </c>
      <c r="D183" t="s">
        <v>355</v>
      </c>
    </row>
    <row r="184" spans="1:4" hidden="1" x14ac:dyDescent="0.35">
      <c r="A184" t="s">
        <v>800</v>
      </c>
      <c r="C184">
        <v>256</v>
      </c>
      <c r="D184" t="s">
        <v>356</v>
      </c>
    </row>
    <row r="185" spans="1:4" hidden="1" x14ac:dyDescent="0.35">
      <c r="A185" t="s">
        <v>202</v>
      </c>
      <c r="C185">
        <v>257</v>
      </c>
      <c r="D185" t="s">
        <v>357</v>
      </c>
    </row>
    <row r="186" spans="1:4" hidden="1" x14ac:dyDescent="0.35">
      <c r="A186" t="s">
        <v>203</v>
      </c>
      <c r="C186">
        <v>258</v>
      </c>
      <c r="D186" t="s">
        <v>358</v>
      </c>
    </row>
    <row r="187" spans="1:4" hidden="1" x14ac:dyDescent="0.35">
      <c r="A187" t="s">
        <v>204</v>
      </c>
      <c r="C187">
        <v>259</v>
      </c>
      <c r="D187" t="s">
        <v>359</v>
      </c>
    </row>
    <row r="188" spans="1:4" hidden="1" x14ac:dyDescent="0.35">
      <c r="A188" t="s">
        <v>205</v>
      </c>
      <c r="C188">
        <v>260</v>
      </c>
      <c r="D188" t="s">
        <v>360</v>
      </c>
    </row>
    <row r="189" spans="1:4" hidden="1" x14ac:dyDescent="0.35">
      <c r="A189" t="s">
        <v>206</v>
      </c>
      <c r="C189">
        <v>261</v>
      </c>
      <c r="D189" t="s">
        <v>361</v>
      </c>
    </row>
    <row r="190" spans="1:4" hidden="1" x14ac:dyDescent="0.35">
      <c r="A190" t="s">
        <v>207</v>
      </c>
      <c r="C190">
        <v>262</v>
      </c>
      <c r="D190" t="s">
        <v>362</v>
      </c>
    </row>
    <row r="191" spans="1:4" hidden="1" x14ac:dyDescent="0.35">
      <c r="A191" t="s">
        <v>208</v>
      </c>
      <c r="C191">
        <v>263</v>
      </c>
      <c r="D191" t="s">
        <v>363</v>
      </c>
    </row>
    <row r="192" spans="1:4" hidden="1" x14ac:dyDescent="0.35">
      <c r="A192" t="s">
        <v>209</v>
      </c>
      <c r="C192">
        <v>264</v>
      </c>
      <c r="D192" t="s">
        <v>364</v>
      </c>
    </row>
    <row r="193" spans="1:4" hidden="1" x14ac:dyDescent="0.35">
      <c r="A193" t="s">
        <v>210</v>
      </c>
      <c r="C193">
        <v>265</v>
      </c>
      <c r="D193" t="s">
        <v>365</v>
      </c>
    </row>
    <row r="194" spans="1:4" hidden="1" x14ac:dyDescent="0.35">
      <c r="A194" t="s">
        <v>211</v>
      </c>
      <c r="C194">
        <v>266</v>
      </c>
      <c r="D194" t="s">
        <v>366</v>
      </c>
    </row>
    <row r="195" spans="1:4" hidden="1" x14ac:dyDescent="0.35">
      <c r="A195" t="s">
        <v>212</v>
      </c>
      <c r="C195">
        <v>267</v>
      </c>
      <c r="D195" t="s">
        <v>367</v>
      </c>
    </row>
    <row r="196" spans="1:4" hidden="1" x14ac:dyDescent="0.35">
      <c r="A196" t="s">
        <v>213</v>
      </c>
      <c r="C196">
        <v>268</v>
      </c>
      <c r="D196" t="s">
        <v>368</v>
      </c>
    </row>
    <row r="197" spans="1:4" hidden="1" x14ac:dyDescent="0.35">
      <c r="A197" t="s">
        <v>214</v>
      </c>
      <c r="C197">
        <v>269</v>
      </c>
      <c r="D197" t="s">
        <v>369</v>
      </c>
    </row>
    <row r="198" spans="1:4" hidden="1" x14ac:dyDescent="0.35">
      <c r="A198" t="s">
        <v>215</v>
      </c>
      <c r="C198">
        <v>270</v>
      </c>
      <c r="D198" t="s">
        <v>370</v>
      </c>
    </row>
    <row r="199" spans="1:4" hidden="1" x14ac:dyDescent="0.35">
      <c r="A199" t="s">
        <v>216</v>
      </c>
      <c r="C199">
        <v>271</v>
      </c>
      <c r="D199" t="s">
        <v>371</v>
      </c>
    </row>
    <row r="200" spans="1:4" hidden="1" x14ac:dyDescent="0.35">
      <c r="A200" t="s">
        <v>217</v>
      </c>
      <c r="C200">
        <v>272</v>
      </c>
      <c r="D200" t="s">
        <v>372</v>
      </c>
    </row>
    <row r="201" spans="1:4" hidden="1" x14ac:dyDescent="0.35">
      <c r="A201" t="s">
        <v>801</v>
      </c>
      <c r="C201">
        <v>273</v>
      </c>
      <c r="D201" t="s">
        <v>373</v>
      </c>
    </row>
    <row r="202" spans="1:4" hidden="1" x14ac:dyDescent="0.35">
      <c r="A202" t="s">
        <v>802</v>
      </c>
      <c r="C202">
        <v>274</v>
      </c>
      <c r="D202" t="s">
        <v>374</v>
      </c>
    </row>
    <row r="203" spans="1:4" hidden="1" x14ac:dyDescent="0.35">
      <c r="A203" t="s">
        <v>218</v>
      </c>
      <c r="C203">
        <v>275</v>
      </c>
      <c r="D203" t="s">
        <v>375</v>
      </c>
    </row>
    <row r="204" spans="1:4" hidden="1" x14ac:dyDescent="0.35">
      <c r="A204" t="s">
        <v>219</v>
      </c>
      <c r="C204">
        <v>276</v>
      </c>
      <c r="D204" t="s">
        <v>376</v>
      </c>
    </row>
    <row r="205" spans="1:4" hidden="1" x14ac:dyDescent="0.35">
      <c r="A205" t="s">
        <v>220</v>
      </c>
      <c r="C205">
        <v>277</v>
      </c>
      <c r="D205" t="s">
        <v>377</v>
      </c>
    </row>
    <row r="206" spans="1:4" hidden="1" x14ac:dyDescent="0.35">
      <c r="A206" t="s">
        <v>221</v>
      </c>
      <c r="C206">
        <v>278</v>
      </c>
      <c r="D206" t="s">
        <v>378</v>
      </c>
    </row>
    <row r="207" spans="1:4" hidden="1" x14ac:dyDescent="0.35">
      <c r="A207" t="s">
        <v>222</v>
      </c>
      <c r="C207">
        <v>279</v>
      </c>
      <c r="D207" t="s">
        <v>379</v>
      </c>
    </row>
    <row r="208" spans="1:4" hidden="1" x14ac:dyDescent="0.35">
      <c r="A208" t="s">
        <v>223</v>
      </c>
      <c r="C208">
        <v>280</v>
      </c>
      <c r="D208" t="s">
        <v>380</v>
      </c>
    </row>
    <row r="209" spans="1:4" hidden="1" x14ac:dyDescent="0.35">
      <c r="A209" t="s">
        <v>224</v>
      </c>
      <c r="C209">
        <v>281</v>
      </c>
      <c r="D209" t="s">
        <v>381</v>
      </c>
    </row>
    <row r="210" spans="1:4" hidden="1" x14ac:dyDescent="0.35">
      <c r="A210" t="s">
        <v>225</v>
      </c>
      <c r="C210">
        <v>282</v>
      </c>
      <c r="D210" t="s">
        <v>382</v>
      </c>
    </row>
    <row r="211" spans="1:4" hidden="1" x14ac:dyDescent="0.35">
      <c r="A211" t="s">
        <v>226</v>
      </c>
      <c r="C211">
        <v>283</v>
      </c>
      <c r="D211" t="s">
        <v>383</v>
      </c>
    </row>
    <row r="212" spans="1:4" hidden="1" x14ac:dyDescent="0.35">
      <c r="A212" t="s">
        <v>227</v>
      </c>
      <c r="C212">
        <v>284</v>
      </c>
      <c r="D212" t="s">
        <v>384</v>
      </c>
    </row>
    <row r="213" spans="1:4" hidden="1" x14ac:dyDescent="0.35">
      <c r="A213" t="s">
        <v>228</v>
      </c>
      <c r="C213">
        <v>285</v>
      </c>
      <c r="D213" t="s">
        <v>385</v>
      </c>
    </row>
    <row r="214" spans="1:4" hidden="1" x14ac:dyDescent="0.35">
      <c r="A214" t="s">
        <v>229</v>
      </c>
      <c r="C214">
        <v>286</v>
      </c>
      <c r="D214" t="s">
        <v>386</v>
      </c>
    </row>
    <row r="215" spans="1:4" hidden="1" x14ac:dyDescent="0.35">
      <c r="A215" t="s">
        <v>230</v>
      </c>
      <c r="C215">
        <v>287</v>
      </c>
      <c r="D215" t="s">
        <v>387</v>
      </c>
    </row>
    <row r="216" spans="1:4" hidden="1" x14ac:dyDescent="0.35">
      <c r="A216" t="s">
        <v>231</v>
      </c>
      <c r="C216">
        <v>301</v>
      </c>
      <c r="D216" t="s">
        <v>388</v>
      </c>
    </row>
    <row r="217" spans="1:4" hidden="1" x14ac:dyDescent="0.35">
      <c r="A217" t="s">
        <v>232</v>
      </c>
      <c r="C217">
        <v>302</v>
      </c>
      <c r="D217" t="s">
        <v>389</v>
      </c>
    </row>
    <row r="218" spans="1:4" hidden="1" x14ac:dyDescent="0.35">
      <c r="A218" t="s">
        <v>233</v>
      </c>
      <c r="C218">
        <v>303</v>
      </c>
      <c r="D218" t="s">
        <v>390</v>
      </c>
    </row>
    <row r="219" spans="1:4" hidden="1" x14ac:dyDescent="0.35">
      <c r="A219" t="s">
        <v>234</v>
      </c>
      <c r="C219">
        <v>304</v>
      </c>
      <c r="D219" t="s">
        <v>391</v>
      </c>
    </row>
    <row r="220" spans="1:4" hidden="1" x14ac:dyDescent="0.35">
      <c r="A220" t="s">
        <v>235</v>
      </c>
      <c r="C220">
        <v>305</v>
      </c>
      <c r="D220" t="s">
        <v>392</v>
      </c>
    </row>
    <row r="221" spans="1:4" hidden="1" x14ac:dyDescent="0.35">
      <c r="A221" t="s">
        <v>236</v>
      </c>
      <c r="C221">
        <v>306</v>
      </c>
      <c r="D221" t="s">
        <v>393</v>
      </c>
    </row>
    <row r="222" spans="1:4" hidden="1" x14ac:dyDescent="0.35">
      <c r="A222" t="s">
        <v>237</v>
      </c>
      <c r="C222">
        <v>307</v>
      </c>
      <c r="D222" t="s">
        <v>394</v>
      </c>
    </row>
    <row r="223" spans="1:4" hidden="1" x14ac:dyDescent="0.35">
      <c r="A223" t="s">
        <v>238</v>
      </c>
      <c r="C223">
        <v>308</v>
      </c>
      <c r="D223" t="s">
        <v>395</v>
      </c>
    </row>
    <row r="224" spans="1:4" hidden="1" x14ac:dyDescent="0.35">
      <c r="A224" t="s">
        <v>239</v>
      </c>
      <c r="C224">
        <v>309</v>
      </c>
      <c r="D224" t="s">
        <v>396</v>
      </c>
    </row>
    <row r="225" spans="1:4" hidden="1" x14ac:dyDescent="0.35">
      <c r="A225" t="s">
        <v>240</v>
      </c>
      <c r="C225">
        <v>310</v>
      </c>
      <c r="D225" t="s">
        <v>397</v>
      </c>
    </row>
    <row r="226" spans="1:4" hidden="1" x14ac:dyDescent="0.35">
      <c r="A226" t="s">
        <v>241</v>
      </c>
      <c r="C226">
        <v>311</v>
      </c>
      <c r="D226" t="s">
        <v>398</v>
      </c>
    </row>
    <row r="227" spans="1:4" hidden="1" x14ac:dyDescent="0.35">
      <c r="A227" t="s">
        <v>242</v>
      </c>
      <c r="C227">
        <v>312</v>
      </c>
      <c r="D227" t="s">
        <v>399</v>
      </c>
    </row>
    <row r="228" spans="1:4" hidden="1" x14ac:dyDescent="0.35">
      <c r="A228" t="s">
        <v>243</v>
      </c>
      <c r="C228">
        <v>313</v>
      </c>
      <c r="D228" t="s">
        <v>400</v>
      </c>
    </row>
    <row r="229" spans="1:4" hidden="1" x14ac:dyDescent="0.35">
      <c r="A229" t="s">
        <v>244</v>
      </c>
      <c r="C229">
        <v>314</v>
      </c>
      <c r="D229" t="s">
        <v>401</v>
      </c>
    </row>
    <row r="230" spans="1:4" hidden="1" x14ac:dyDescent="0.35">
      <c r="A230" t="s">
        <v>245</v>
      </c>
      <c r="C230">
        <v>315</v>
      </c>
      <c r="D230" t="s">
        <v>402</v>
      </c>
    </row>
    <row r="231" spans="1:4" hidden="1" x14ac:dyDescent="0.35">
      <c r="A231" t="s">
        <v>246</v>
      </c>
      <c r="C231">
        <v>316</v>
      </c>
      <c r="D231" t="s">
        <v>403</v>
      </c>
    </row>
    <row r="232" spans="1:4" hidden="1" x14ac:dyDescent="0.35">
      <c r="A232" t="s">
        <v>247</v>
      </c>
      <c r="C232">
        <v>401</v>
      </c>
      <c r="D232" t="s">
        <v>404</v>
      </c>
    </row>
    <row r="233" spans="1:4" hidden="1" x14ac:dyDescent="0.35">
      <c r="A233" t="s">
        <v>248</v>
      </c>
      <c r="C233">
        <v>402</v>
      </c>
      <c r="D233" t="s">
        <v>405</v>
      </c>
    </row>
    <row r="234" spans="1:4" hidden="1" x14ac:dyDescent="0.35">
      <c r="A234" t="s">
        <v>249</v>
      </c>
      <c r="C234">
        <v>403</v>
      </c>
      <c r="D234" t="s">
        <v>406</v>
      </c>
    </row>
    <row r="235" spans="1:4" hidden="1" x14ac:dyDescent="0.35">
      <c r="A235" t="s">
        <v>250</v>
      </c>
      <c r="C235">
        <v>404</v>
      </c>
      <c r="D235" t="s">
        <v>407</v>
      </c>
    </row>
    <row r="236" spans="1:4" hidden="1" x14ac:dyDescent="0.35">
      <c r="A236" t="s">
        <v>251</v>
      </c>
      <c r="C236">
        <v>405</v>
      </c>
      <c r="D236" t="s">
        <v>408</v>
      </c>
    </row>
    <row r="237" spans="1:4" hidden="1" x14ac:dyDescent="0.35">
      <c r="A237" t="s">
        <v>252</v>
      </c>
      <c r="C237">
        <v>406</v>
      </c>
      <c r="D237" t="s">
        <v>409</v>
      </c>
    </row>
    <row r="238" spans="1:4" hidden="1" x14ac:dyDescent="0.35">
      <c r="A238" t="s">
        <v>253</v>
      </c>
      <c r="C238">
        <v>407</v>
      </c>
      <c r="D238" t="s">
        <v>410</v>
      </c>
    </row>
    <row r="239" spans="1:4" hidden="1" x14ac:dyDescent="0.35">
      <c r="A239" t="s">
        <v>254</v>
      </c>
      <c r="C239">
        <v>501</v>
      </c>
      <c r="D239" t="s">
        <v>411</v>
      </c>
    </row>
    <row r="240" spans="1:4" hidden="1" x14ac:dyDescent="0.35">
      <c r="A240" t="s">
        <v>255</v>
      </c>
      <c r="C240">
        <v>502</v>
      </c>
      <c r="D240" t="s">
        <v>412</v>
      </c>
    </row>
    <row r="241" spans="1:4" hidden="1" x14ac:dyDescent="0.35">
      <c r="A241" t="s">
        <v>256</v>
      </c>
      <c r="C241">
        <v>503</v>
      </c>
      <c r="D241" t="s">
        <v>413</v>
      </c>
    </row>
    <row r="242" spans="1:4" hidden="1" x14ac:dyDescent="0.35">
      <c r="A242" t="s">
        <v>257</v>
      </c>
      <c r="C242">
        <v>504</v>
      </c>
      <c r="D242" t="s">
        <v>414</v>
      </c>
    </row>
    <row r="243" spans="1:4" hidden="1" x14ac:dyDescent="0.35">
      <c r="A243" t="s">
        <v>258</v>
      </c>
      <c r="C243">
        <v>505</v>
      </c>
      <c r="D243" t="s">
        <v>415</v>
      </c>
    </row>
    <row r="244" spans="1:4" hidden="1" x14ac:dyDescent="0.35">
      <c r="A244" t="s">
        <v>259</v>
      </c>
      <c r="C244">
        <v>506</v>
      </c>
      <c r="D244" t="s">
        <v>416</v>
      </c>
    </row>
    <row r="245" spans="1:4" hidden="1" x14ac:dyDescent="0.35">
      <c r="A245" t="s">
        <v>260</v>
      </c>
      <c r="C245">
        <v>507</v>
      </c>
      <c r="D245" t="s">
        <v>417</v>
      </c>
    </row>
    <row r="246" spans="1:4" hidden="1" x14ac:dyDescent="0.35">
      <c r="A246" t="s">
        <v>261</v>
      </c>
      <c r="C246">
        <v>508</v>
      </c>
      <c r="D246" t="s">
        <v>418</v>
      </c>
    </row>
    <row r="247" spans="1:4" hidden="1" x14ac:dyDescent="0.35">
      <c r="A247" t="s">
        <v>262</v>
      </c>
      <c r="C247">
        <v>509</v>
      </c>
      <c r="D247" t="s">
        <v>419</v>
      </c>
    </row>
    <row r="248" spans="1:4" hidden="1" x14ac:dyDescent="0.35">
      <c r="A248" t="s">
        <v>263</v>
      </c>
      <c r="C248">
        <v>510</v>
      </c>
      <c r="D248" t="s">
        <v>420</v>
      </c>
    </row>
    <row r="249" spans="1:4" hidden="1" x14ac:dyDescent="0.35">
      <c r="A249" t="s">
        <v>264</v>
      </c>
      <c r="C249">
        <v>511</v>
      </c>
      <c r="D249" t="s">
        <v>421</v>
      </c>
    </row>
    <row r="250" spans="1:4" hidden="1" x14ac:dyDescent="0.35">
      <c r="A250" t="s">
        <v>265</v>
      </c>
      <c r="C250">
        <v>512</v>
      </c>
      <c r="D250" t="s">
        <v>422</v>
      </c>
    </row>
    <row r="251" spans="1:4" hidden="1" x14ac:dyDescent="0.35">
      <c r="A251" t="s">
        <v>266</v>
      </c>
      <c r="C251">
        <v>513</v>
      </c>
      <c r="D251" t="s">
        <v>423</v>
      </c>
    </row>
    <row r="252" spans="1:4" hidden="1" x14ac:dyDescent="0.35">
      <c r="A252" t="s">
        <v>267</v>
      </c>
      <c r="C252">
        <v>514</v>
      </c>
      <c r="D252" t="s">
        <v>424</v>
      </c>
    </row>
    <row r="253" spans="1:4" hidden="1" x14ac:dyDescent="0.35">
      <c r="A253" t="s">
        <v>268</v>
      </c>
      <c r="C253">
        <v>515</v>
      </c>
      <c r="D253" t="s">
        <v>425</v>
      </c>
    </row>
    <row r="254" spans="1:4" hidden="1" x14ac:dyDescent="0.35">
      <c r="A254" t="s">
        <v>269</v>
      </c>
      <c r="C254">
        <v>516</v>
      </c>
      <c r="D254" t="s">
        <v>426</v>
      </c>
    </row>
    <row r="255" spans="1:4" hidden="1" x14ac:dyDescent="0.35">
      <c r="A255" t="s">
        <v>270</v>
      </c>
      <c r="C255">
        <v>517</v>
      </c>
      <c r="D255" t="s">
        <v>427</v>
      </c>
    </row>
    <row r="256" spans="1:4" hidden="1" x14ac:dyDescent="0.35">
      <c r="A256" t="s">
        <v>271</v>
      </c>
      <c r="C256">
        <v>518</v>
      </c>
      <c r="D256" t="s">
        <v>428</v>
      </c>
    </row>
    <row r="257" spans="1:4" hidden="1" x14ac:dyDescent="0.35">
      <c r="A257" t="s">
        <v>272</v>
      </c>
      <c r="C257">
        <v>519</v>
      </c>
      <c r="D257" t="s">
        <v>429</v>
      </c>
    </row>
    <row r="258" spans="1:4" hidden="1" x14ac:dyDescent="0.35">
      <c r="A258" t="s">
        <v>273</v>
      </c>
      <c r="C258">
        <v>520</v>
      </c>
      <c r="D258" t="s">
        <v>430</v>
      </c>
    </row>
    <row r="259" spans="1:4" hidden="1" x14ac:dyDescent="0.35">
      <c r="A259" t="s">
        <v>274</v>
      </c>
      <c r="C259">
        <v>521</v>
      </c>
      <c r="D259" t="s">
        <v>431</v>
      </c>
    </row>
    <row r="260" spans="1:4" hidden="1" x14ac:dyDescent="0.35">
      <c r="C260">
        <v>522</v>
      </c>
      <c r="D260" t="s">
        <v>432</v>
      </c>
    </row>
    <row r="261" spans="1:4" hidden="1" x14ac:dyDescent="0.35">
      <c r="C261">
        <v>523</v>
      </c>
      <c r="D261" t="s">
        <v>433</v>
      </c>
    </row>
    <row r="262" spans="1:4" hidden="1" x14ac:dyDescent="0.35">
      <c r="C262">
        <v>524</v>
      </c>
      <c r="D262" t="s">
        <v>434</v>
      </c>
    </row>
    <row r="263" spans="1:4" hidden="1" x14ac:dyDescent="0.35">
      <c r="C263">
        <v>525</v>
      </c>
      <c r="D263" t="s">
        <v>435</v>
      </c>
    </row>
    <row r="264" spans="1:4" hidden="1" x14ac:dyDescent="0.35">
      <c r="C264">
        <v>526</v>
      </c>
      <c r="D264" t="s">
        <v>436</v>
      </c>
    </row>
    <row r="265" spans="1:4" hidden="1" x14ac:dyDescent="0.35">
      <c r="C265">
        <v>527</v>
      </c>
      <c r="D265" t="s">
        <v>437</v>
      </c>
    </row>
    <row r="266" spans="1:4" hidden="1" x14ac:dyDescent="0.35">
      <c r="C266">
        <v>528</v>
      </c>
      <c r="D266" t="s">
        <v>438</v>
      </c>
    </row>
    <row r="267" spans="1:4" hidden="1" x14ac:dyDescent="0.35">
      <c r="C267">
        <v>529</v>
      </c>
      <c r="D267" t="s">
        <v>439</v>
      </c>
    </row>
    <row r="268" spans="1:4" hidden="1" x14ac:dyDescent="0.35">
      <c r="C268">
        <v>530</v>
      </c>
      <c r="D268" t="s">
        <v>440</v>
      </c>
    </row>
    <row r="269" spans="1:4" hidden="1" x14ac:dyDescent="0.35">
      <c r="C269">
        <v>531</v>
      </c>
      <c r="D269" t="s">
        <v>441</v>
      </c>
    </row>
    <row r="270" spans="1:4" hidden="1" x14ac:dyDescent="0.35">
      <c r="C270">
        <v>532</v>
      </c>
      <c r="D270" t="s">
        <v>442</v>
      </c>
    </row>
    <row r="271" spans="1:4" hidden="1" x14ac:dyDescent="0.35">
      <c r="C271">
        <v>601</v>
      </c>
      <c r="D271" t="s">
        <v>443</v>
      </c>
    </row>
    <row r="272" spans="1:4" hidden="1" x14ac:dyDescent="0.35">
      <c r="C272">
        <v>602</v>
      </c>
      <c r="D272" t="s">
        <v>444</v>
      </c>
    </row>
    <row r="273" spans="3:4" hidden="1" x14ac:dyDescent="0.35">
      <c r="C273">
        <v>701</v>
      </c>
      <c r="D273" t="s">
        <v>445</v>
      </c>
    </row>
    <row r="274" spans="3:4" hidden="1" x14ac:dyDescent="0.35">
      <c r="C274">
        <v>702</v>
      </c>
      <c r="D274" t="s">
        <v>446</v>
      </c>
    </row>
    <row r="275" spans="3:4" hidden="1" x14ac:dyDescent="0.35">
      <c r="C275">
        <v>721</v>
      </c>
      <c r="D275" t="s">
        <v>447</v>
      </c>
    </row>
    <row r="276" spans="3:4" hidden="1" x14ac:dyDescent="0.35">
      <c r="C276">
        <v>800</v>
      </c>
      <c r="D276" t="s">
        <v>448</v>
      </c>
    </row>
    <row r="277" spans="3:4" hidden="1" x14ac:dyDescent="0.35">
      <c r="C277">
        <v>900</v>
      </c>
      <c r="D277" t="s">
        <v>449</v>
      </c>
    </row>
    <row r="278" spans="3:4" hidden="1" x14ac:dyDescent="0.35">
      <c r="C278">
        <v>951</v>
      </c>
      <c r="D278" t="s">
        <v>450</v>
      </c>
    </row>
    <row r="279" spans="3:4" hidden="1" x14ac:dyDescent="0.35">
      <c r="C279">
        <v>961</v>
      </c>
      <c r="D279" t="s">
        <v>451</v>
      </c>
    </row>
    <row r="280" spans="3:4" hidden="1" x14ac:dyDescent="0.35">
      <c r="C280">
        <v>981</v>
      </c>
      <c r="D280" t="s">
        <v>452</v>
      </c>
    </row>
    <row r="281" spans="3:4" hidden="1" x14ac:dyDescent="0.35">
      <c r="C281">
        <v>991</v>
      </c>
      <c r="D281" t="s">
        <v>453</v>
      </c>
    </row>
    <row r="282" spans="3:4" hidden="1" x14ac:dyDescent="0.35">
      <c r="C282">
        <v>1001</v>
      </c>
      <c r="D282" t="s">
        <v>454</v>
      </c>
    </row>
    <row r="283" spans="3:4" hidden="1" x14ac:dyDescent="0.35">
      <c r="C283">
        <v>1002</v>
      </c>
      <c r="D283" t="s">
        <v>455</v>
      </c>
    </row>
    <row r="284" spans="3:4" hidden="1" x14ac:dyDescent="0.35">
      <c r="C284">
        <v>1003</v>
      </c>
      <c r="D284" t="s">
        <v>456</v>
      </c>
    </row>
    <row r="285" spans="3:4" hidden="1" x14ac:dyDescent="0.35">
      <c r="C285">
        <v>1004</v>
      </c>
      <c r="D285" t="s">
        <v>457</v>
      </c>
    </row>
    <row r="286" spans="3:4" hidden="1" x14ac:dyDescent="0.35">
      <c r="C286">
        <v>23512</v>
      </c>
      <c r="D286" t="s">
        <v>458</v>
      </c>
    </row>
    <row r="287" spans="3:4" hidden="1" x14ac:dyDescent="0.35">
      <c r="C287">
        <v>23513</v>
      </c>
      <c r="D287" t="s">
        <v>459</v>
      </c>
    </row>
    <row r="288" spans="3:4" hidden="1" x14ac:dyDescent="0.35">
      <c r="C288">
        <v>23514</v>
      </c>
      <c r="D288" t="s">
        <v>460</v>
      </c>
    </row>
    <row r="289" spans="3:4" hidden="1" x14ac:dyDescent="0.35">
      <c r="C289">
        <v>23515</v>
      </c>
      <c r="D289" t="s">
        <v>461</v>
      </c>
    </row>
    <row r="290" spans="3:4" hidden="1" x14ac:dyDescent="0.35">
      <c r="C290">
        <v>23516</v>
      </c>
      <c r="D290" t="s">
        <v>462</v>
      </c>
    </row>
    <row r="291" spans="3:4" hidden="1" x14ac:dyDescent="0.35">
      <c r="C291">
        <v>23517</v>
      </c>
      <c r="D291" t="s">
        <v>463</v>
      </c>
    </row>
    <row r="292" spans="3:4" hidden="1" x14ac:dyDescent="0.35">
      <c r="C292">
        <v>23518</v>
      </c>
      <c r="D292" t="s">
        <v>464</v>
      </c>
    </row>
    <row r="293" spans="3:4" hidden="1" x14ac:dyDescent="0.35">
      <c r="C293">
        <v>23519</v>
      </c>
      <c r="D293" t="s">
        <v>465</v>
      </c>
    </row>
    <row r="294" spans="3:4" hidden="1" x14ac:dyDescent="0.35">
      <c r="C294">
        <v>23520</v>
      </c>
      <c r="D294" t="s">
        <v>466</v>
      </c>
    </row>
    <row r="295" spans="3:4" hidden="1" x14ac:dyDescent="0.35">
      <c r="C295">
        <v>23522</v>
      </c>
      <c r="D295" t="s">
        <v>467</v>
      </c>
    </row>
    <row r="296" spans="3:4" hidden="1" x14ac:dyDescent="0.35">
      <c r="C296">
        <v>23523</v>
      </c>
      <c r="D296" t="s">
        <v>468</v>
      </c>
    </row>
    <row r="297" spans="3:4" hidden="1" x14ac:dyDescent="0.35">
      <c r="C297">
        <v>23524</v>
      </c>
      <c r="D297" t="s">
        <v>469</v>
      </c>
    </row>
    <row r="298" spans="3:4" hidden="1" x14ac:dyDescent="0.35">
      <c r="C298">
        <v>23526</v>
      </c>
      <c r="D298" t="s">
        <v>470</v>
      </c>
    </row>
    <row r="299" spans="3:4" hidden="1" x14ac:dyDescent="0.35">
      <c r="C299">
        <v>23527</v>
      </c>
      <c r="D299" t="s">
        <v>471</v>
      </c>
    </row>
    <row r="300" spans="3:4" hidden="1" x14ac:dyDescent="0.35">
      <c r="C300">
        <v>23528</v>
      </c>
      <c r="D300" t="s">
        <v>472</v>
      </c>
    </row>
    <row r="301" spans="3:4" hidden="1" x14ac:dyDescent="0.35">
      <c r="C301">
        <v>23530</v>
      </c>
      <c r="D301" t="s">
        <v>473</v>
      </c>
    </row>
    <row r="302" spans="3:4" hidden="1" x14ac:dyDescent="0.35">
      <c r="C302">
        <v>23531</v>
      </c>
      <c r="D302" t="s">
        <v>474</v>
      </c>
    </row>
    <row r="303" spans="3:4" hidden="1" x14ac:dyDescent="0.35">
      <c r="C303">
        <v>23533</v>
      </c>
      <c r="D303" t="s">
        <v>475</v>
      </c>
    </row>
    <row r="304" spans="3:4" hidden="1" x14ac:dyDescent="0.35">
      <c r="C304">
        <v>23534</v>
      </c>
      <c r="D304" t="s">
        <v>476</v>
      </c>
    </row>
    <row r="305" spans="3:4" hidden="1" x14ac:dyDescent="0.35">
      <c r="C305">
        <v>23535</v>
      </c>
      <c r="D305" t="s">
        <v>477</v>
      </c>
    </row>
    <row r="306" spans="3:4" hidden="1" x14ac:dyDescent="0.35">
      <c r="C306">
        <v>23538</v>
      </c>
      <c r="D306" t="s">
        <v>478</v>
      </c>
    </row>
    <row r="307" spans="3:4" hidden="1" x14ac:dyDescent="0.35">
      <c r="C307">
        <v>23540</v>
      </c>
      <c r="D307" t="s">
        <v>479</v>
      </c>
    </row>
    <row r="308" spans="3:4" hidden="1" x14ac:dyDescent="0.35">
      <c r="C308">
        <v>23541</v>
      </c>
      <c r="D308" t="s">
        <v>480</v>
      </c>
    </row>
    <row r="309" spans="3:4" hidden="1" x14ac:dyDescent="0.35">
      <c r="C309">
        <v>23543</v>
      </c>
      <c r="D309" t="s">
        <v>481</v>
      </c>
    </row>
    <row r="310" spans="3:4" hidden="1" x14ac:dyDescent="0.35">
      <c r="C310">
        <v>23545</v>
      </c>
      <c r="D310" t="s">
        <v>482</v>
      </c>
    </row>
    <row r="311" spans="3:4" hidden="1" x14ac:dyDescent="0.35">
      <c r="C311">
        <v>23546</v>
      </c>
      <c r="D311" t="s">
        <v>483</v>
      </c>
    </row>
    <row r="312" spans="3:4" hidden="1" x14ac:dyDescent="0.35">
      <c r="C312">
        <v>23547</v>
      </c>
      <c r="D312" t="s">
        <v>484</v>
      </c>
    </row>
    <row r="313" spans="3:4" hidden="1" x14ac:dyDescent="0.35">
      <c r="C313">
        <v>23548</v>
      </c>
      <c r="D313" t="s">
        <v>485</v>
      </c>
    </row>
    <row r="314" spans="3:4" hidden="1" x14ac:dyDescent="0.35">
      <c r="C314">
        <v>23550</v>
      </c>
      <c r="D314" t="s">
        <v>486</v>
      </c>
    </row>
    <row r="315" spans="3:4" hidden="1" x14ac:dyDescent="0.35">
      <c r="C315">
        <v>23551</v>
      </c>
      <c r="D315" t="s">
        <v>487</v>
      </c>
    </row>
    <row r="316" spans="3:4" hidden="1" x14ac:dyDescent="0.35">
      <c r="C316">
        <v>23552</v>
      </c>
      <c r="D316" t="s">
        <v>488</v>
      </c>
    </row>
    <row r="317" spans="3:4" hidden="1" x14ac:dyDescent="0.35">
      <c r="C317">
        <v>23553</v>
      </c>
      <c r="D317" t="s">
        <v>489</v>
      </c>
    </row>
    <row r="318" spans="3:4" hidden="1" x14ac:dyDescent="0.35">
      <c r="C318">
        <v>23555</v>
      </c>
      <c r="D318" t="s">
        <v>490</v>
      </c>
    </row>
    <row r="319" spans="3:4" hidden="1" x14ac:dyDescent="0.35">
      <c r="C319">
        <v>23557</v>
      </c>
      <c r="D319" t="s">
        <v>491</v>
      </c>
    </row>
    <row r="320" spans="3:4" hidden="1" x14ac:dyDescent="0.35">
      <c r="C320">
        <v>23558</v>
      </c>
      <c r="D320" t="s">
        <v>492</v>
      </c>
    </row>
    <row r="321" spans="3:4" hidden="1" x14ac:dyDescent="0.35">
      <c r="C321">
        <v>23559</v>
      </c>
      <c r="D321" t="s">
        <v>493</v>
      </c>
    </row>
    <row r="322" spans="3:4" hidden="1" x14ac:dyDescent="0.35">
      <c r="C322">
        <v>23560</v>
      </c>
      <c r="D322" t="s">
        <v>494</v>
      </c>
    </row>
    <row r="323" spans="3:4" hidden="1" x14ac:dyDescent="0.35">
      <c r="C323">
        <v>23561</v>
      </c>
      <c r="D323" t="s">
        <v>495</v>
      </c>
    </row>
    <row r="324" spans="3:4" hidden="1" x14ac:dyDescent="0.35">
      <c r="C324">
        <v>23562</v>
      </c>
      <c r="D324" t="s">
        <v>496</v>
      </c>
    </row>
    <row r="325" spans="3:4" hidden="1" x14ac:dyDescent="0.35">
      <c r="C325">
        <v>23563</v>
      </c>
      <c r="D325" t="s">
        <v>497</v>
      </c>
    </row>
    <row r="326" spans="3:4" hidden="1" x14ac:dyDescent="0.35">
      <c r="C326">
        <v>23564</v>
      </c>
      <c r="D326" t="s">
        <v>498</v>
      </c>
    </row>
    <row r="327" spans="3:4" hidden="1" x14ac:dyDescent="0.35">
      <c r="C327">
        <v>23565</v>
      </c>
      <c r="D327" t="s">
        <v>499</v>
      </c>
    </row>
    <row r="328" spans="3:4" hidden="1" x14ac:dyDescent="0.35">
      <c r="C328">
        <v>23566</v>
      </c>
      <c r="D328" t="s">
        <v>500</v>
      </c>
    </row>
    <row r="329" spans="3:4" hidden="1" x14ac:dyDescent="0.35">
      <c r="C329">
        <v>23567</v>
      </c>
      <c r="D329" t="s">
        <v>501</v>
      </c>
    </row>
    <row r="330" spans="3:4" hidden="1" x14ac:dyDescent="0.35">
      <c r="C330">
        <v>23571</v>
      </c>
      <c r="D330" t="s">
        <v>502</v>
      </c>
    </row>
    <row r="331" spans="3:4" hidden="1" x14ac:dyDescent="0.35">
      <c r="C331">
        <v>23572</v>
      </c>
      <c r="D331" t="s">
        <v>503</v>
      </c>
    </row>
    <row r="332" spans="3:4" hidden="1" x14ac:dyDescent="0.35">
      <c r="C332">
        <v>23573</v>
      </c>
      <c r="D332" t="s">
        <v>504</v>
      </c>
    </row>
    <row r="333" spans="3:4" hidden="1" x14ac:dyDescent="0.35">
      <c r="C333">
        <v>23574</v>
      </c>
      <c r="D333" t="s">
        <v>505</v>
      </c>
    </row>
    <row r="334" spans="3:4" hidden="1" x14ac:dyDescent="0.35">
      <c r="C334">
        <v>23575</v>
      </c>
      <c r="D334" t="s">
        <v>506</v>
      </c>
    </row>
    <row r="335" spans="3:4" hidden="1" x14ac:dyDescent="0.35">
      <c r="C335">
        <v>23579</v>
      </c>
      <c r="D335" t="s">
        <v>507</v>
      </c>
    </row>
    <row r="336" spans="3:4" hidden="1" x14ac:dyDescent="0.35">
      <c r="C336">
        <v>23580</v>
      </c>
      <c r="D336" t="s">
        <v>508</v>
      </c>
    </row>
    <row r="337" spans="3:4" hidden="1" x14ac:dyDescent="0.35">
      <c r="C337">
        <v>23582</v>
      </c>
      <c r="D337" t="s">
        <v>509</v>
      </c>
    </row>
    <row r="338" spans="3:4" hidden="1" x14ac:dyDescent="0.35">
      <c r="C338">
        <v>23583</v>
      </c>
      <c r="D338" t="s">
        <v>510</v>
      </c>
    </row>
    <row r="339" spans="3:4" hidden="1" x14ac:dyDescent="0.35">
      <c r="C339">
        <v>23584</v>
      </c>
      <c r="D339" t="s">
        <v>511</v>
      </c>
    </row>
    <row r="340" spans="3:4" hidden="1" x14ac:dyDescent="0.35">
      <c r="C340">
        <v>23585</v>
      </c>
      <c r="D340" t="s">
        <v>512</v>
      </c>
    </row>
    <row r="341" spans="3:4" hidden="1" x14ac:dyDescent="0.35">
      <c r="C341">
        <v>23586</v>
      </c>
      <c r="D341" t="s">
        <v>513</v>
      </c>
    </row>
    <row r="342" spans="3:4" hidden="1" x14ac:dyDescent="0.35">
      <c r="C342">
        <v>23587</v>
      </c>
      <c r="D342" t="s">
        <v>514</v>
      </c>
    </row>
    <row r="343" spans="3:4" hidden="1" x14ac:dyDescent="0.35">
      <c r="C343">
        <v>23588</v>
      </c>
      <c r="D343" t="s">
        <v>515</v>
      </c>
    </row>
    <row r="344" spans="3:4" hidden="1" x14ac:dyDescent="0.35">
      <c r="C344">
        <v>23589</v>
      </c>
      <c r="D344" t="s">
        <v>516</v>
      </c>
    </row>
    <row r="345" spans="3:4" hidden="1" x14ac:dyDescent="0.35">
      <c r="C345">
        <v>23590</v>
      </c>
      <c r="D345" t="s">
        <v>517</v>
      </c>
    </row>
    <row r="346" spans="3:4" hidden="1" x14ac:dyDescent="0.35">
      <c r="C346">
        <v>23591</v>
      </c>
      <c r="D346" t="s">
        <v>518</v>
      </c>
    </row>
    <row r="347" spans="3:4" hidden="1" x14ac:dyDescent="0.35">
      <c r="C347">
        <v>23592</v>
      </c>
      <c r="D347" t="s">
        <v>519</v>
      </c>
    </row>
    <row r="348" spans="3:4" hidden="1" x14ac:dyDescent="0.35">
      <c r="C348">
        <v>23593</v>
      </c>
      <c r="D348" t="s">
        <v>520</v>
      </c>
    </row>
    <row r="349" spans="3:4" hidden="1" x14ac:dyDescent="0.35">
      <c r="C349">
        <v>23595</v>
      </c>
      <c r="D349" t="s">
        <v>521</v>
      </c>
    </row>
    <row r="350" spans="3:4" hidden="1" x14ac:dyDescent="0.35">
      <c r="C350">
        <v>23598</v>
      </c>
      <c r="D350" t="s">
        <v>522</v>
      </c>
    </row>
    <row r="351" spans="3:4" hidden="1" x14ac:dyDescent="0.35">
      <c r="C351">
        <v>23600</v>
      </c>
      <c r="D351" t="s">
        <v>523</v>
      </c>
    </row>
    <row r="352" spans="3:4" hidden="1" x14ac:dyDescent="0.35">
      <c r="C352">
        <v>23601</v>
      </c>
      <c r="D352" t="s">
        <v>524</v>
      </c>
    </row>
    <row r="353" spans="3:4" hidden="1" x14ac:dyDescent="0.35">
      <c r="C353">
        <v>23603</v>
      </c>
      <c r="D353" t="s">
        <v>525</v>
      </c>
    </row>
    <row r="354" spans="3:4" hidden="1" x14ac:dyDescent="0.35">
      <c r="C354">
        <v>23604</v>
      </c>
      <c r="D354" t="s">
        <v>526</v>
      </c>
    </row>
    <row r="355" spans="3:4" hidden="1" x14ac:dyDescent="0.35">
      <c r="C355">
        <v>23606</v>
      </c>
      <c r="D355" t="s">
        <v>527</v>
      </c>
    </row>
    <row r="356" spans="3:4" hidden="1" x14ac:dyDescent="0.35">
      <c r="C356">
        <v>23607</v>
      </c>
      <c r="D356" t="s">
        <v>528</v>
      </c>
    </row>
    <row r="357" spans="3:4" hidden="1" x14ac:dyDescent="0.35">
      <c r="C357">
        <v>23608</v>
      </c>
      <c r="D357" t="s">
        <v>529</v>
      </c>
    </row>
    <row r="358" spans="3:4" hidden="1" x14ac:dyDescent="0.35">
      <c r="C358">
        <v>23609</v>
      </c>
      <c r="D358" t="s">
        <v>530</v>
      </c>
    </row>
    <row r="359" spans="3:4" hidden="1" x14ac:dyDescent="0.35">
      <c r="C359">
        <v>23610</v>
      </c>
      <c r="D359" t="s">
        <v>531</v>
      </c>
    </row>
    <row r="360" spans="3:4" hidden="1" x14ac:dyDescent="0.35">
      <c r="C360">
        <v>23611</v>
      </c>
      <c r="D360" t="s">
        <v>532</v>
      </c>
    </row>
    <row r="361" spans="3:4" hidden="1" x14ac:dyDescent="0.35">
      <c r="C361">
        <v>23612</v>
      </c>
      <c r="D361" t="s">
        <v>533</v>
      </c>
    </row>
    <row r="362" spans="3:4" hidden="1" x14ac:dyDescent="0.35">
      <c r="C362">
        <v>23613</v>
      </c>
      <c r="D362" t="s">
        <v>534</v>
      </c>
    </row>
    <row r="363" spans="3:4" hidden="1" x14ac:dyDescent="0.35">
      <c r="C363">
        <v>23614</v>
      </c>
      <c r="D363" t="s">
        <v>535</v>
      </c>
    </row>
    <row r="364" spans="3:4" hidden="1" x14ac:dyDescent="0.35">
      <c r="C364">
        <v>23616</v>
      </c>
      <c r="D364" t="s">
        <v>536</v>
      </c>
    </row>
    <row r="365" spans="3:4" hidden="1" x14ac:dyDescent="0.35">
      <c r="C365">
        <v>23619</v>
      </c>
      <c r="D365" t="s">
        <v>537</v>
      </c>
    </row>
    <row r="366" spans="3:4" hidden="1" x14ac:dyDescent="0.35">
      <c r="C366">
        <v>23620</v>
      </c>
      <c r="D366" t="s">
        <v>538</v>
      </c>
    </row>
    <row r="367" spans="3:4" hidden="1" x14ac:dyDescent="0.35">
      <c r="C367">
        <v>23621</v>
      </c>
      <c r="D367" t="s">
        <v>539</v>
      </c>
    </row>
    <row r="368" spans="3:4" hidden="1" x14ac:dyDescent="0.35">
      <c r="C368">
        <v>23622</v>
      </c>
      <c r="D368" t="s">
        <v>540</v>
      </c>
    </row>
    <row r="369" spans="3:4" hidden="1" x14ac:dyDescent="0.35">
      <c r="C369">
        <v>23625</v>
      </c>
      <c r="D369" t="s">
        <v>541</v>
      </c>
    </row>
    <row r="370" spans="3:4" hidden="1" x14ac:dyDescent="0.35">
      <c r="C370">
        <v>23626</v>
      </c>
      <c r="D370" t="s">
        <v>542</v>
      </c>
    </row>
    <row r="371" spans="3:4" hidden="1" x14ac:dyDescent="0.35">
      <c r="C371">
        <v>23627</v>
      </c>
      <c r="D371" t="s">
        <v>543</v>
      </c>
    </row>
    <row r="372" spans="3:4" hidden="1" x14ac:dyDescent="0.35">
      <c r="C372">
        <v>23628</v>
      </c>
      <c r="D372" t="s">
        <v>544</v>
      </c>
    </row>
    <row r="373" spans="3:4" hidden="1" x14ac:dyDescent="0.35">
      <c r="C373">
        <v>23629</v>
      </c>
      <c r="D373" t="s">
        <v>545</v>
      </c>
    </row>
    <row r="374" spans="3:4" hidden="1" x14ac:dyDescent="0.35">
      <c r="C374">
        <v>23632</v>
      </c>
      <c r="D374" t="s">
        <v>546</v>
      </c>
    </row>
    <row r="375" spans="3:4" hidden="1" x14ac:dyDescent="0.35">
      <c r="C375">
        <v>23639</v>
      </c>
      <c r="D375" t="s">
        <v>547</v>
      </c>
    </row>
    <row r="376" spans="3:4" hidden="1" x14ac:dyDescent="0.35">
      <c r="C376">
        <v>23640</v>
      </c>
      <c r="D376" t="s">
        <v>548</v>
      </c>
    </row>
    <row r="377" spans="3:4" hidden="1" x14ac:dyDescent="0.35">
      <c r="C377">
        <v>23641</v>
      </c>
      <c r="D377" t="s">
        <v>549</v>
      </c>
    </row>
    <row r="378" spans="3:4" hidden="1" x14ac:dyDescent="0.35">
      <c r="C378">
        <v>23642</v>
      </c>
      <c r="D378" t="s">
        <v>550</v>
      </c>
    </row>
    <row r="379" spans="3:4" hidden="1" x14ac:dyDescent="0.35">
      <c r="C379">
        <v>23644</v>
      </c>
      <c r="D379" t="s">
        <v>551</v>
      </c>
    </row>
    <row r="380" spans="3:4" hidden="1" x14ac:dyDescent="0.35">
      <c r="C380">
        <v>23645</v>
      </c>
      <c r="D380" t="s">
        <v>552</v>
      </c>
    </row>
    <row r="381" spans="3:4" hidden="1" x14ac:dyDescent="0.35">
      <c r="C381">
        <v>23646</v>
      </c>
      <c r="D381" t="s">
        <v>553</v>
      </c>
    </row>
    <row r="382" spans="3:4" hidden="1" x14ac:dyDescent="0.35">
      <c r="C382">
        <v>23647</v>
      </c>
      <c r="D382" t="s">
        <v>554</v>
      </c>
    </row>
    <row r="383" spans="3:4" hidden="1" x14ac:dyDescent="0.35">
      <c r="C383">
        <v>23650</v>
      </c>
      <c r="D383" t="s">
        <v>555</v>
      </c>
    </row>
    <row r="384" spans="3:4" hidden="1" x14ac:dyDescent="0.35">
      <c r="C384">
        <v>23651</v>
      </c>
      <c r="D384" t="s">
        <v>556</v>
      </c>
    </row>
    <row r="385" spans="3:4" hidden="1" x14ac:dyDescent="0.35">
      <c r="C385">
        <v>23652</v>
      </c>
      <c r="D385" t="s">
        <v>557</v>
      </c>
    </row>
    <row r="386" spans="3:4" hidden="1" x14ac:dyDescent="0.35">
      <c r="C386">
        <v>23653</v>
      </c>
      <c r="D386" t="s">
        <v>558</v>
      </c>
    </row>
    <row r="387" spans="3:4" hidden="1" x14ac:dyDescent="0.35">
      <c r="C387">
        <v>23654</v>
      </c>
      <c r="D387" t="s">
        <v>559</v>
      </c>
    </row>
    <row r="388" spans="3:4" hidden="1" x14ac:dyDescent="0.35">
      <c r="C388">
        <v>23655</v>
      </c>
      <c r="D388" t="s">
        <v>560</v>
      </c>
    </row>
    <row r="389" spans="3:4" hidden="1" x14ac:dyDescent="0.35">
      <c r="C389">
        <v>23656</v>
      </c>
      <c r="D389" t="s">
        <v>561</v>
      </c>
    </row>
    <row r="390" spans="3:4" hidden="1" x14ac:dyDescent="0.35">
      <c r="C390">
        <v>23657</v>
      </c>
      <c r="D390" t="s">
        <v>562</v>
      </c>
    </row>
    <row r="391" spans="3:4" hidden="1" x14ac:dyDescent="0.35">
      <c r="C391">
        <v>23659</v>
      </c>
      <c r="D391" t="s">
        <v>563</v>
      </c>
    </row>
    <row r="392" spans="3:4" hidden="1" x14ac:dyDescent="0.35">
      <c r="C392">
        <v>23660</v>
      </c>
      <c r="D392" t="s">
        <v>564</v>
      </c>
    </row>
    <row r="393" spans="3:4" hidden="1" x14ac:dyDescent="0.35">
      <c r="C393">
        <v>23663</v>
      </c>
      <c r="D393" t="s">
        <v>565</v>
      </c>
    </row>
    <row r="394" spans="3:4" hidden="1" x14ac:dyDescent="0.35">
      <c r="C394">
        <v>23687</v>
      </c>
      <c r="D394" t="s">
        <v>566</v>
      </c>
    </row>
    <row r="395" spans="3:4" hidden="1" x14ac:dyDescent="0.35">
      <c r="C395">
        <v>23688</v>
      </c>
      <c r="D395" t="s">
        <v>567</v>
      </c>
    </row>
    <row r="396" spans="3:4" hidden="1" x14ac:dyDescent="0.35">
      <c r="C396">
        <v>23689</v>
      </c>
      <c r="D396" t="s">
        <v>568</v>
      </c>
    </row>
    <row r="397" spans="3:4" hidden="1" x14ac:dyDescent="0.35">
      <c r="C397">
        <v>23690</v>
      </c>
      <c r="D397" t="s">
        <v>569</v>
      </c>
    </row>
    <row r="398" spans="3:4" hidden="1" x14ac:dyDescent="0.35">
      <c r="C398">
        <v>23691</v>
      </c>
      <c r="D398" t="s">
        <v>570</v>
      </c>
    </row>
    <row r="399" spans="3:4" hidden="1" x14ac:dyDescent="0.35">
      <c r="C399">
        <v>23692</v>
      </c>
      <c r="D399" t="s">
        <v>571</v>
      </c>
    </row>
    <row r="400" spans="3:4" hidden="1" x14ac:dyDescent="0.35">
      <c r="C400">
        <v>23693</v>
      </c>
      <c r="D400" t="s">
        <v>572</v>
      </c>
    </row>
    <row r="401" spans="3:4" hidden="1" x14ac:dyDescent="0.35">
      <c r="C401">
        <v>23694</v>
      </c>
      <c r="D401" t="s">
        <v>573</v>
      </c>
    </row>
    <row r="402" spans="3:4" hidden="1" x14ac:dyDescent="0.35">
      <c r="C402">
        <v>23695</v>
      </c>
      <c r="D402" t="s">
        <v>574</v>
      </c>
    </row>
    <row r="403" spans="3:4" hidden="1" x14ac:dyDescent="0.35">
      <c r="C403">
        <v>23696</v>
      </c>
      <c r="D403" t="s">
        <v>575</v>
      </c>
    </row>
    <row r="404" spans="3:4" hidden="1" x14ac:dyDescent="0.35">
      <c r="C404">
        <v>23697</v>
      </c>
      <c r="D404" t="s">
        <v>576</v>
      </c>
    </row>
    <row r="405" spans="3:4" hidden="1" x14ac:dyDescent="0.35">
      <c r="C405">
        <v>23698</v>
      </c>
      <c r="D405" t="s">
        <v>577</v>
      </c>
    </row>
    <row r="406" spans="3:4" hidden="1" x14ac:dyDescent="0.35">
      <c r="C406">
        <v>23699</v>
      </c>
      <c r="D406" t="s">
        <v>578</v>
      </c>
    </row>
    <row r="407" spans="3:4" hidden="1" x14ac:dyDescent="0.35">
      <c r="C407">
        <v>23700</v>
      </c>
      <c r="D407" t="s">
        <v>579</v>
      </c>
    </row>
    <row r="408" spans="3:4" hidden="1" x14ac:dyDescent="0.35">
      <c r="C408">
        <v>23701</v>
      </c>
      <c r="D408" t="s">
        <v>580</v>
      </c>
    </row>
    <row r="409" spans="3:4" hidden="1" x14ac:dyDescent="0.35">
      <c r="C409">
        <v>23702</v>
      </c>
      <c r="D409" t="s">
        <v>581</v>
      </c>
    </row>
    <row r="410" spans="3:4" hidden="1" x14ac:dyDescent="0.35">
      <c r="C410">
        <v>23703</v>
      </c>
      <c r="D410" t="s">
        <v>582</v>
      </c>
    </row>
    <row r="411" spans="3:4" hidden="1" x14ac:dyDescent="0.35">
      <c r="C411">
        <v>23704</v>
      </c>
      <c r="D411" t="s">
        <v>583</v>
      </c>
    </row>
    <row r="412" spans="3:4" hidden="1" x14ac:dyDescent="0.35">
      <c r="C412">
        <v>23705</v>
      </c>
      <c r="D412" t="s">
        <v>584</v>
      </c>
    </row>
    <row r="413" spans="3:4" hidden="1" x14ac:dyDescent="0.35">
      <c r="C413">
        <v>23706</v>
      </c>
      <c r="D413" t="s">
        <v>585</v>
      </c>
    </row>
    <row r="414" spans="3:4" hidden="1" x14ac:dyDescent="0.35">
      <c r="C414">
        <v>23707</v>
      </c>
      <c r="D414" t="s">
        <v>586</v>
      </c>
    </row>
    <row r="415" spans="3:4" hidden="1" x14ac:dyDescent="0.35">
      <c r="C415">
        <v>23708</v>
      </c>
      <c r="D415" t="s">
        <v>587</v>
      </c>
    </row>
    <row r="416" spans="3:4" hidden="1" x14ac:dyDescent="0.35">
      <c r="C416">
        <v>23709</v>
      </c>
      <c r="D416" t="s">
        <v>588</v>
      </c>
    </row>
    <row r="417" spans="3:4" hidden="1" x14ac:dyDescent="0.35">
      <c r="C417">
        <v>23710</v>
      </c>
      <c r="D417" t="s">
        <v>589</v>
      </c>
    </row>
    <row r="418" spans="3:4" hidden="1" x14ac:dyDescent="0.35">
      <c r="C418">
        <v>23711</v>
      </c>
      <c r="D418" t="s">
        <v>590</v>
      </c>
    </row>
    <row r="419" spans="3:4" hidden="1" x14ac:dyDescent="0.35">
      <c r="C419">
        <v>23712</v>
      </c>
      <c r="D419" t="s">
        <v>591</v>
      </c>
    </row>
    <row r="420" spans="3:4" hidden="1" x14ac:dyDescent="0.35">
      <c r="C420">
        <v>23713</v>
      </c>
      <c r="D420" t="s">
        <v>592</v>
      </c>
    </row>
    <row r="421" spans="3:4" hidden="1" x14ac:dyDescent="0.35">
      <c r="C421">
        <v>23714</v>
      </c>
      <c r="D421" t="s">
        <v>593</v>
      </c>
    </row>
    <row r="422" spans="3:4" hidden="1" x14ac:dyDescent="0.35">
      <c r="C422">
        <v>23715</v>
      </c>
      <c r="D422" t="s">
        <v>594</v>
      </c>
    </row>
    <row r="423" spans="3:4" hidden="1" x14ac:dyDescent="0.35">
      <c r="C423">
        <v>23716</v>
      </c>
      <c r="D423" t="s">
        <v>595</v>
      </c>
    </row>
    <row r="424" spans="3:4" hidden="1" x14ac:dyDescent="0.35">
      <c r="C424">
        <v>23717</v>
      </c>
      <c r="D424" t="s">
        <v>596</v>
      </c>
    </row>
    <row r="425" spans="3:4" hidden="1" x14ac:dyDescent="0.35">
      <c r="C425">
        <v>23718</v>
      </c>
      <c r="D425" t="s">
        <v>597</v>
      </c>
    </row>
    <row r="426" spans="3:4" hidden="1" x14ac:dyDescent="0.35">
      <c r="C426">
        <v>23719</v>
      </c>
      <c r="D426" t="s">
        <v>598</v>
      </c>
    </row>
    <row r="427" spans="3:4" hidden="1" x14ac:dyDescent="0.35">
      <c r="C427">
        <v>23720</v>
      </c>
      <c r="D427" t="s">
        <v>599</v>
      </c>
    </row>
    <row r="428" spans="3:4" hidden="1" x14ac:dyDescent="0.35">
      <c r="C428">
        <v>23721</v>
      </c>
      <c r="D428" t="s">
        <v>600</v>
      </c>
    </row>
    <row r="429" spans="3:4" hidden="1" x14ac:dyDescent="0.35">
      <c r="C429">
        <v>23722</v>
      </c>
      <c r="D429" t="s">
        <v>601</v>
      </c>
    </row>
    <row r="430" spans="3:4" hidden="1" x14ac:dyDescent="0.35">
      <c r="C430">
        <v>23729</v>
      </c>
      <c r="D430" t="s">
        <v>602</v>
      </c>
    </row>
    <row r="431" spans="3:4" hidden="1" x14ac:dyDescent="0.35">
      <c r="C431">
        <v>23743</v>
      </c>
      <c r="D431" t="s">
        <v>603</v>
      </c>
    </row>
    <row r="432" spans="3:4" hidden="1" x14ac:dyDescent="0.35">
      <c r="C432">
        <v>23744</v>
      </c>
      <c r="D432" t="s">
        <v>604</v>
      </c>
    </row>
    <row r="433" spans="3:4" hidden="1" x14ac:dyDescent="0.35">
      <c r="C433">
        <v>23754</v>
      </c>
      <c r="D433" t="s">
        <v>605</v>
      </c>
    </row>
    <row r="434" spans="3:4" hidden="1" x14ac:dyDescent="0.35">
      <c r="C434">
        <v>23756</v>
      </c>
      <c r="D434" t="s">
        <v>606</v>
      </c>
    </row>
    <row r="435" spans="3:4" hidden="1" x14ac:dyDescent="0.35">
      <c r="C435">
        <v>23757</v>
      </c>
      <c r="D435" t="s">
        <v>607</v>
      </c>
    </row>
    <row r="436" spans="3:4" hidden="1" x14ac:dyDescent="0.35">
      <c r="C436">
        <v>23758</v>
      </c>
      <c r="D436" t="s">
        <v>608</v>
      </c>
    </row>
    <row r="437" spans="3:4" hidden="1" x14ac:dyDescent="0.35">
      <c r="C437">
        <v>23759</v>
      </c>
      <c r="D437" t="s">
        <v>609</v>
      </c>
    </row>
    <row r="438" spans="3:4" hidden="1" x14ac:dyDescent="0.35">
      <c r="C438">
        <v>23760</v>
      </c>
      <c r="D438" t="s">
        <v>610</v>
      </c>
    </row>
    <row r="439" spans="3:4" hidden="1" x14ac:dyDescent="0.35">
      <c r="C439">
        <v>23765</v>
      </c>
      <c r="D439" t="s">
        <v>611</v>
      </c>
    </row>
    <row r="440" spans="3:4" hidden="1" x14ac:dyDescent="0.35">
      <c r="C440">
        <v>23766</v>
      </c>
      <c r="D440" t="s">
        <v>612</v>
      </c>
    </row>
    <row r="441" spans="3:4" hidden="1" x14ac:dyDescent="0.35">
      <c r="C441">
        <v>23767</v>
      </c>
      <c r="D441" t="s">
        <v>613</v>
      </c>
    </row>
    <row r="442" spans="3:4" hidden="1" x14ac:dyDescent="0.35">
      <c r="C442">
        <v>23768</v>
      </c>
      <c r="D442" t="s">
        <v>614</v>
      </c>
    </row>
    <row r="443" spans="3:4" hidden="1" x14ac:dyDescent="0.35">
      <c r="C443">
        <v>23769</v>
      </c>
      <c r="D443" t="s">
        <v>615</v>
      </c>
    </row>
    <row r="444" spans="3:4" hidden="1" x14ac:dyDescent="0.35">
      <c r="C444">
        <v>23770</v>
      </c>
      <c r="D444" t="s">
        <v>616</v>
      </c>
    </row>
    <row r="445" spans="3:4" hidden="1" x14ac:dyDescent="0.35">
      <c r="C445">
        <v>23776</v>
      </c>
      <c r="D445" t="s">
        <v>617</v>
      </c>
    </row>
    <row r="446" spans="3:4" hidden="1" x14ac:dyDescent="0.35">
      <c r="C446">
        <v>23777</v>
      </c>
      <c r="D446" t="s">
        <v>618</v>
      </c>
    </row>
    <row r="447" spans="3:4" hidden="1" x14ac:dyDescent="0.35">
      <c r="C447">
        <v>23778</v>
      </c>
      <c r="D447" t="s">
        <v>619</v>
      </c>
    </row>
    <row r="448" spans="3:4" hidden="1" x14ac:dyDescent="0.35">
      <c r="C448">
        <v>23779</v>
      </c>
      <c r="D448" t="s">
        <v>620</v>
      </c>
    </row>
    <row r="449" spans="3:4" hidden="1" x14ac:dyDescent="0.35">
      <c r="C449">
        <v>23780</v>
      </c>
      <c r="D449" t="s">
        <v>621</v>
      </c>
    </row>
    <row r="450" spans="3:4" hidden="1" x14ac:dyDescent="0.35">
      <c r="C450">
        <v>23780</v>
      </c>
      <c r="D450" t="s">
        <v>622</v>
      </c>
    </row>
    <row r="451" spans="3:4" hidden="1" x14ac:dyDescent="0.35">
      <c r="C451">
        <v>23781</v>
      </c>
      <c r="D451" t="s">
        <v>623</v>
      </c>
    </row>
    <row r="452" spans="3:4" hidden="1" x14ac:dyDescent="0.35">
      <c r="C452">
        <v>23783</v>
      </c>
      <c r="D452" t="s">
        <v>624</v>
      </c>
    </row>
    <row r="453" spans="3:4" hidden="1" x14ac:dyDescent="0.35">
      <c r="C453">
        <v>23786</v>
      </c>
      <c r="D453" t="s">
        <v>625</v>
      </c>
    </row>
    <row r="454" spans="3:4" hidden="1" x14ac:dyDescent="0.35">
      <c r="C454">
        <v>23790</v>
      </c>
      <c r="D454" t="s">
        <v>626</v>
      </c>
    </row>
    <row r="455" spans="3:4" hidden="1" x14ac:dyDescent="0.35">
      <c r="C455">
        <v>23791</v>
      </c>
      <c r="D455" t="s">
        <v>627</v>
      </c>
    </row>
    <row r="456" spans="3:4" hidden="1" x14ac:dyDescent="0.35">
      <c r="C456">
        <v>23792</v>
      </c>
      <c r="D456" t="s">
        <v>628</v>
      </c>
    </row>
    <row r="457" spans="3:4" hidden="1" x14ac:dyDescent="0.35">
      <c r="C457">
        <v>23793</v>
      </c>
      <c r="D457" t="s">
        <v>629</v>
      </c>
    </row>
    <row r="458" spans="3:4" hidden="1" x14ac:dyDescent="0.35">
      <c r="C458">
        <v>23794</v>
      </c>
      <c r="D458" t="s">
        <v>630</v>
      </c>
    </row>
    <row r="459" spans="3:4" hidden="1" x14ac:dyDescent="0.35">
      <c r="C459">
        <v>23796</v>
      </c>
      <c r="D459" t="s">
        <v>631</v>
      </c>
    </row>
    <row r="460" spans="3:4" hidden="1" x14ac:dyDescent="0.35">
      <c r="C460">
        <v>23797</v>
      </c>
      <c r="D460" t="s">
        <v>632</v>
      </c>
    </row>
    <row r="461" spans="3:4" hidden="1" x14ac:dyDescent="0.35">
      <c r="C461">
        <v>23798</v>
      </c>
      <c r="D461" t="s">
        <v>633</v>
      </c>
    </row>
    <row r="462" spans="3:4" hidden="1" x14ac:dyDescent="0.35">
      <c r="C462">
        <v>23799</v>
      </c>
      <c r="D462" t="s">
        <v>634</v>
      </c>
    </row>
    <row r="463" spans="3:4" hidden="1" x14ac:dyDescent="0.35">
      <c r="C463">
        <v>23800</v>
      </c>
      <c r="D463" t="s">
        <v>635</v>
      </c>
    </row>
    <row r="464" spans="3:4" hidden="1" x14ac:dyDescent="0.35">
      <c r="C464">
        <v>23801</v>
      </c>
      <c r="D464" t="s">
        <v>636</v>
      </c>
    </row>
    <row r="465" spans="3:4" hidden="1" x14ac:dyDescent="0.35">
      <c r="C465">
        <v>23802</v>
      </c>
      <c r="D465" t="s">
        <v>637</v>
      </c>
    </row>
    <row r="466" spans="3:4" hidden="1" x14ac:dyDescent="0.35">
      <c r="C466">
        <v>23803</v>
      </c>
      <c r="D466" t="s">
        <v>638</v>
      </c>
    </row>
    <row r="467" spans="3:4" hidden="1" x14ac:dyDescent="0.35">
      <c r="C467">
        <v>23805</v>
      </c>
      <c r="D467" t="s">
        <v>639</v>
      </c>
    </row>
    <row r="468" spans="3:4" hidden="1" x14ac:dyDescent="0.35">
      <c r="C468">
        <v>23807</v>
      </c>
      <c r="D468" t="s">
        <v>640</v>
      </c>
    </row>
    <row r="469" spans="3:4" hidden="1" x14ac:dyDescent="0.35">
      <c r="C469">
        <v>23808</v>
      </c>
      <c r="D469" t="s">
        <v>641</v>
      </c>
    </row>
    <row r="470" spans="3:4" hidden="1" x14ac:dyDescent="0.35">
      <c r="C470">
        <v>23810</v>
      </c>
      <c r="D470" t="s">
        <v>642</v>
      </c>
    </row>
    <row r="471" spans="3:4" hidden="1" x14ac:dyDescent="0.35">
      <c r="C471">
        <v>23811</v>
      </c>
      <c r="D471" t="s">
        <v>643</v>
      </c>
    </row>
    <row r="472" spans="3:4" hidden="1" x14ac:dyDescent="0.35">
      <c r="C472">
        <v>23856</v>
      </c>
      <c r="D472" t="s">
        <v>644</v>
      </c>
    </row>
    <row r="473" spans="3:4" hidden="1" x14ac:dyDescent="0.35">
      <c r="C473">
        <v>23857</v>
      </c>
      <c r="D473" t="s">
        <v>645</v>
      </c>
    </row>
    <row r="474" spans="3:4" hidden="1" x14ac:dyDescent="0.35">
      <c r="C474">
        <v>23858</v>
      </c>
      <c r="D474" t="s">
        <v>646</v>
      </c>
    </row>
    <row r="475" spans="3:4" hidden="1" x14ac:dyDescent="0.35">
      <c r="C475">
        <v>23895</v>
      </c>
      <c r="D475" t="s">
        <v>647</v>
      </c>
    </row>
    <row r="476" spans="3:4" hidden="1" x14ac:dyDescent="0.35">
      <c r="C476">
        <v>23900</v>
      </c>
      <c r="D476" t="s">
        <v>648</v>
      </c>
    </row>
    <row r="477" spans="3:4" hidden="1" x14ac:dyDescent="0.35">
      <c r="C477">
        <v>23901</v>
      </c>
      <c r="D477" t="s">
        <v>649</v>
      </c>
    </row>
    <row r="478" spans="3:4" hidden="1" x14ac:dyDescent="0.35">
      <c r="C478">
        <v>23902</v>
      </c>
      <c r="D478" t="s">
        <v>650</v>
      </c>
    </row>
    <row r="479" spans="3:4" hidden="1" x14ac:dyDescent="0.35">
      <c r="C479">
        <v>23903</v>
      </c>
      <c r="D479" t="s">
        <v>651</v>
      </c>
    </row>
    <row r="480" spans="3:4" hidden="1" x14ac:dyDescent="0.35">
      <c r="C480">
        <v>23913</v>
      </c>
      <c r="D480" t="s">
        <v>652</v>
      </c>
    </row>
    <row r="481" spans="3:4" hidden="1" x14ac:dyDescent="0.35">
      <c r="C481">
        <v>23914</v>
      </c>
      <c r="D481" t="s">
        <v>653</v>
      </c>
    </row>
    <row r="482" spans="3:4" hidden="1" x14ac:dyDescent="0.35">
      <c r="C482">
        <v>23915</v>
      </c>
      <c r="D482" t="s">
        <v>654</v>
      </c>
    </row>
    <row r="483" spans="3:4" hidden="1" x14ac:dyDescent="0.35">
      <c r="C483">
        <v>23982</v>
      </c>
      <c r="D483" t="s">
        <v>655</v>
      </c>
    </row>
    <row r="484" spans="3:4" hidden="1" x14ac:dyDescent="0.35">
      <c r="C484">
        <v>23983</v>
      </c>
      <c r="D484" t="s">
        <v>656</v>
      </c>
    </row>
    <row r="485" spans="3:4" hidden="1" x14ac:dyDescent="0.35">
      <c r="C485">
        <v>23985</v>
      </c>
      <c r="D485" t="s">
        <v>657</v>
      </c>
    </row>
    <row r="486" spans="3:4" hidden="1" x14ac:dyDescent="0.35">
      <c r="C486">
        <v>23986</v>
      </c>
      <c r="D486" t="s">
        <v>658</v>
      </c>
    </row>
    <row r="487" spans="3:4" hidden="1" x14ac:dyDescent="0.35">
      <c r="C487">
        <v>23987</v>
      </c>
      <c r="D487" t="s">
        <v>659</v>
      </c>
    </row>
    <row r="488" spans="3:4" hidden="1" x14ac:dyDescent="0.35">
      <c r="C488">
        <v>23988</v>
      </c>
      <c r="D488" t="s">
        <v>660</v>
      </c>
    </row>
    <row r="489" spans="3:4" hidden="1" x14ac:dyDescent="0.35">
      <c r="C489">
        <v>23990</v>
      </c>
      <c r="D489" t="s">
        <v>661</v>
      </c>
    </row>
    <row r="490" spans="3:4" hidden="1" x14ac:dyDescent="0.35">
      <c r="C490">
        <v>24000</v>
      </c>
      <c r="D490" t="s">
        <v>662</v>
      </c>
    </row>
    <row r="491" spans="3:4" hidden="1" x14ac:dyDescent="0.35">
      <c r="C491">
        <v>24008</v>
      </c>
      <c r="D491" t="s">
        <v>663</v>
      </c>
    </row>
    <row r="492" spans="3:4" hidden="1" x14ac:dyDescent="0.35">
      <c r="C492">
        <v>24010</v>
      </c>
      <c r="D492" t="s">
        <v>664</v>
      </c>
    </row>
    <row r="493" spans="3:4" hidden="1" x14ac:dyDescent="0.35">
      <c r="C493">
        <v>24011</v>
      </c>
      <c r="D493" t="s">
        <v>665</v>
      </c>
    </row>
    <row r="494" spans="3:4" hidden="1" x14ac:dyDescent="0.35">
      <c r="C494">
        <v>24013</v>
      </c>
      <c r="D494" t="s">
        <v>666</v>
      </c>
    </row>
    <row r="495" spans="3:4" hidden="1" x14ac:dyDescent="0.35">
      <c r="C495">
        <v>24014</v>
      </c>
      <c r="D495" t="s">
        <v>667</v>
      </c>
    </row>
    <row r="496" spans="3:4" hidden="1" x14ac:dyDescent="0.35">
      <c r="C496">
        <v>24015</v>
      </c>
      <c r="D496" t="s">
        <v>668</v>
      </c>
    </row>
    <row r="497" spans="3:4" hidden="1" x14ac:dyDescent="0.35">
      <c r="C497">
        <v>24016</v>
      </c>
      <c r="D497" t="s">
        <v>669</v>
      </c>
    </row>
    <row r="498" spans="3:4" hidden="1" x14ac:dyDescent="0.35">
      <c r="C498">
        <v>24017</v>
      </c>
      <c r="D498" t="s">
        <v>670</v>
      </c>
    </row>
    <row r="499" spans="3:4" hidden="1" x14ac:dyDescent="0.35">
      <c r="C499">
        <v>24018</v>
      </c>
      <c r="D499" t="s">
        <v>671</v>
      </c>
    </row>
    <row r="500" spans="3:4" hidden="1" x14ac:dyDescent="0.35">
      <c r="C500">
        <v>24019</v>
      </c>
      <c r="D500" t="s">
        <v>672</v>
      </c>
    </row>
    <row r="501" spans="3:4" hidden="1" x14ac:dyDescent="0.35">
      <c r="C501">
        <v>24020</v>
      </c>
      <c r="D501" t="s">
        <v>673</v>
      </c>
    </row>
    <row r="502" spans="3:4" hidden="1" x14ac:dyDescent="0.35">
      <c r="C502">
        <v>24021</v>
      </c>
      <c r="D502" t="s">
        <v>674</v>
      </c>
    </row>
    <row r="503" spans="3:4" hidden="1" x14ac:dyDescent="0.35">
      <c r="C503">
        <v>24023</v>
      </c>
      <c r="D503" t="s">
        <v>675</v>
      </c>
    </row>
    <row r="504" spans="3:4" hidden="1" x14ac:dyDescent="0.35">
      <c r="C504">
        <v>24024</v>
      </c>
      <c r="D504" t="s">
        <v>676</v>
      </c>
    </row>
    <row r="505" spans="3:4" hidden="1" x14ac:dyDescent="0.35">
      <c r="C505">
        <v>24026</v>
      </c>
      <c r="D505" t="s">
        <v>677</v>
      </c>
    </row>
    <row r="506" spans="3:4" hidden="1" x14ac:dyDescent="0.35">
      <c r="C506">
        <v>24028</v>
      </c>
      <c r="D506" t="s">
        <v>678</v>
      </c>
    </row>
    <row r="507" spans="3:4" hidden="1" x14ac:dyDescent="0.35">
      <c r="C507">
        <v>24039</v>
      </c>
      <c r="D507" t="s">
        <v>679</v>
      </c>
    </row>
    <row r="508" spans="3:4" hidden="1" x14ac:dyDescent="0.35">
      <c r="C508">
        <v>24041</v>
      </c>
      <c r="D508" t="s">
        <v>680</v>
      </c>
    </row>
    <row r="509" spans="3:4" hidden="1" x14ac:dyDescent="0.35">
      <c r="C509">
        <v>24042</v>
      </c>
      <c r="D509" t="s">
        <v>681</v>
      </c>
    </row>
    <row r="510" spans="3:4" hidden="1" x14ac:dyDescent="0.35">
      <c r="C510">
        <v>24043</v>
      </c>
      <c r="D510" t="s">
        <v>682</v>
      </c>
    </row>
    <row r="511" spans="3:4" hidden="1" x14ac:dyDescent="0.35">
      <c r="C511">
        <v>24044</v>
      </c>
      <c r="D511" t="s">
        <v>683</v>
      </c>
    </row>
    <row r="512" spans="3:4" hidden="1" x14ac:dyDescent="0.35">
      <c r="C512">
        <v>24046</v>
      </c>
      <c r="D512" t="s">
        <v>684</v>
      </c>
    </row>
    <row r="513" spans="3:4" hidden="1" x14ac:dyDescent="0.35">
      <c r="C513">
        <v>24047</v>
      </c>
      <c r="D513" t="s">
        <v>685</v>
      </c>
    </row>
    <row r="514" spans="3:4" hidden="1" x14ac:dyDescent="0.35">
      <c r="C514">
        <v>24048</v>
      </c>
      <c r="D514" t="s">
        <v>686</v>
      </c>
    </row>
    <row r="515" spans="3:4" hidden="1" x14ac:dyDescent="0.35">
      <c r="C515">
        <v>24049</v>
      </c>
      <c r="D515" t="s">
        <v>687</v>
      </c>
    </row>
    <row r="516" spans="3:4" hidden="1" x14ac:dyDescent="0.35">
      <c r="C516">
        <v>24050</v>
      </c>
      <c r="D516" t="s">
        <v>688</v>
      </c>
    </row>
    <row r="517" spans="3:4" hidden="1" x14ac:dyDescent="0.35">
      <c r="C517">
        <v>24051</v>
      </c>
      <c r="D517" t="s">
        <v>689</v>
      </c>
    </row>
    <row r="518" spans="3:4" hidden="1" x14ac:dyDescent="0.35">
      <c r="C518">
        <v>24053</v>
      </c>
      <c r="D518" t="s">
        <v>690</v>
      </c>
    </row>
    <row r="519" spans="3:4" hidden="1" x14ac:dyDescent="0.35">
      <c r="C519">
        <v>24054</v>
      </c>
      <c r="D519" t="s">
        <v>691</v>
      </c>
    </row>
    <row r="520" spans="3:4" hidden="1" x14ac:dyDescent="0.35">
      <c r="C520">
        <v>24056</v>
      </c>
      <c r="D520" t="s">
        <v>692</v>
      </c>
    </row>
    <row r="521" spans="3:4" hidden="1" x14ac:dyDescent="0.35">
      <c r="C521">
        <v>24057</v>
      </c>
      <c r="D521" t="s">
        <v>693</v>
      </c>
    </row>
    <row r="522" spans="3:4" hidden="1" x14ac:dyDescent="0.35">
      <c r="C522">
        <v>24058</v>
      </c>
      <c r="D522" t="s">
        <v>694</v>
      </c>
    </row>
    <row r="523" spans="3:4" hidden="1" x14ac:dyDescent="0.35">
      <c r="C523">
        <v>24059</v>
      </c>
      <c r="D523" t="s">
        <v>695</v>
      </c>
    </row>
    <row r="524" spans="3:4" hidden="1" x14ac:dyDescent="0.35">
      <c r="C524">
        <v>24060</v>
      </c>
      <c r="D524" t="s">
        <v>696</v>
      </c>
    </row>
    <row r="525" spans="3:4" hidden="1" x14ac:dyDescent="0.35">
      <c r="C525">
        <v>24062</v>
      </c>
      <c r="D525" t="s">
        <v>697</v>
      </c>
    </row>
    <row r="526" spans="3:4" hidden="1" x14ac:dyDescent="0.35">
      <c r="C526">
        <v>24063</v>
      </c>
      <c r="D526" t="s">
        <v>698</v>
      </c>
    </row>
    <row r="527" spans="3:4" hidden="1" x14ac:dyDescent="0.35">
      <c r="C527">
        <v>24065</v>
      </c>
      <c r="D527" t="s">
        <v>699</v>
      </c>
    </row>
    <row r="528" spans="3:4" hidden="1" x14ac:dyDescent="0.35">
      <c r="C528">
        <v>24077</v>
      </c>
      <c r="D528" t="s">
        <v>700</v>
      </c>
    </row>
    <row r="529" spans="3:4" hidden="1" x14ac:dyDescent="0.35">
      <c r="C529">
        <v>24078</v>
      </c>
      <c r="D529" t="s">
        <v>701</v>
      </c>
    </row>
    <row r="530" spans="3:4" hidden="1" x14ac:dyDescent="0.35">
      <c r="C530">
        <v>24079</v>
      </c>
      <c r="D530" t="s">
        <v>702</v>
      </c>
    </row>
    <row r="531" spans="3:4" hidden="1" x14ac:dyDescent="0.35">
      <c r="C531">
        <v>24080</v>
      </c>
      <c r="D531" t="s">
        <v>703</v>
      </c>
    </row>
    <row r="532" spans="3:4" hidden="1" x14ac:dyDescent="0.35">
      <c r="C532">
        <v>24084</v>
      </c>
      <c r="D532" t="s">
        <v>704</v>
      </c>
    </row>
    <row r="533" spans="3:4" hidden="1" x14ac:dyDescent="0.35">
      <c r="C533">
        <v>24094</v>
      </c>
      <c r="D533" t="s">
        <v>705</v>
      </c>
    </row>
    <row r="534" spans="3:4" hidden="1" x14ac:dyDescent="0.35">
      <c r="C534">
        <v>24095</v>
      </c>
      <c r="D534" t="s">
        <v>706</v>
      </c>
    </row>
    <row r="535" spans="3:4" hidden="1" x14ac:dyDescent="0.35">
      <c r="C535">
        <v>24096</v>
      </c>
      <c r="D535" t="s">
        <v>707</v>
      </c>
    </row>
    <row r="536" spans="3:4" hidden="1" x14ac:dyDescent="0.35">
      <c r="C536">
        <v>24097</v>
      </c>
      <c r="D536" t="s">
        <v>708</v>
      </c>
    </row>
    <row r="537" spans="3:4" hidden="1" x14ac:dyDescent="0.35">
      <c r="C537">
        <v>24098</v>
      </c>
      <c r="D537" t="s">
        <v>709</v>
      </c>
    </row>
    <row r="538" spans="3:4" hidden="1" x14ac:dyDescent="0.35">
      <c r="C538">
        <v>24099</v>
      </c>
      <c r="D538" t="s">
        <v>710</v>
      </c>
    </row>
    <row r="539" spans="3:4" hidden="1" x14ac:dyDescent="0.35">
      <c r="C539">
        <v>24100</v>
      </c>
      <c r="D539" t="s">
        <v>711</v>
      </c>
    </row>
    <row r="540" spans="3:4" hidden="1" x14ac:dyDescent="0.35">
      <c r="C540">
        <v>24101</v>
      </c>
      <c r="D540" t="s">
        <v>712</v>
      </c>
    </row>
    <row r="541" spans="3:4" hidden="1" x14ac:dyDescent="0.35">
      <c r="C541">
        <v>24102</v>
      </c>
      <c r="D541" t="s">
        <v>713</v>
      </c>
    </row>
    <row r="542" spans="3:4" hidden="1" x14ac:dyDescent="0.35">
      <c r="C542">
        <v>24103</v>
      </c>
      <c r="D542" t="s">
        <v>714</v>
      </c>
    </row>
    <row r="543" spans="3:4" hidden="1" x14ac:dyDescent="0.35">
      <c r="C543">
        <v>24104</v>
      </c>
      <c r="D543" t="s">
        <v>715</v>
      </c>
    </row>
    <row r="544" spans="3:4" hidden="1" x14ac:dyDescent="0.35">
      <c r="C544">
        <v>24105</v>
      </c>
      <c r="D544" t="s">
        <v>716</v>
      </c>
    </row>
    <row r="545" spans="3:4" hidden="1" x14ac:dyDescent="0.35">
      <c r="C545">
        <v>24106</v>
      </c>
      <c r="D545" t="s">
        <v>717</v>
      </c>
    </row>
    <row r="546" spans="3:4" hidden="1" x14ac:dyDescent="0.35">
      <c r="C546">
        <v>24107</v>
      </c>
      <c r="D546" t="s">
        <v>718</v>
      </c>
    </row>
    <row r="547" spans="3:4" hidden="1" x14ac:dyDescent="0.35">
      <c r="C547">
        <v>24108</v>
      </c>
      <c r="D547" t="s">
        <v>719</v>
      </c>
    </row>
    <row r="548" spans="3:4" hidden="1" x14ac:dyDescent="0.35">
      <c r="C548">
        <v>24109</v>
      </c>
      <c r="D548" t="s">
        <v>720</v>
      </c>
    </row>
    <row r="549" spans="3:4" hidden="1" x14ac:dyDescent="0.35">
      <c r="C549">
        <v>24110</v>
      </c>
      <c r="D549" t="s">
        <v>721</v>
      </c>
    </row>
    <row r="550" spans="3:4" hidden="1" x14ac:dyDescent="0.35">
      <c r="C550">
        <v>24111</v>
      </c>
      <c r="D550" t="s">
        <v>722</v>
      </c>
    </row>
    <row r="551" spans="3:4" hidden="1" x14ac:dyDescent="0.35">
      <c r="C551">
        <v>24112</v>
      </c>
      <c r="D551" t="s">
        <v>723</v>
      </c>
    </row>
    <row r="552" spans="3:4" hidden="1" x14ac:dyDescent="0.35">
      <c r="C552">
        <v>24113</v>
      </c>
      <c r="D552" t="s">
        <v>724</v>
      </c>
    </row>
    <row r="553" spans="3:4" hidden="1" x14ac:dyDescent="0.35">
      <c r="C553">
        <v>24114</v>
      </c>
      <c r="D553" t="s">
        <v>725</v>
      </c>
    </row>
    <row r="554" spans="3:4" hidden="1" x14ac:dyDescent="0.35">
      <c r="C554">
        <v>24115</v>
      </c>
      <c r="D554" t="s">
        <v>726</v>
      </c>
    </row>
    <row r="555" spans="3:4" hidden="1" x14ac:dyDescent="0.35">
      <c r="C555">
        <v>24116</v>
      </c>
      <c r="D555" t="s">
        <v>727</v>
      </c>
    </row>
    <row r="556" spans="3:4" hidden="1" x14ac:dyDescent="0.35">
      <c r="C556">
        <v>24117</v>
      </c>
      <c r="D556" t="s">
        <v>728</v>
      </c>
    </row>
    <row r="557" spans="3:4" hidden="1" x14ac:dyDescent="0.35">
      <c r="C557">
        <v>24118</v>
      </c>
      <c r="D557" t="s">
        <v>729</v>
      </c>
    </row>
    <row r="558" spans="3:4" hidden="1" x14ac:dyDescent="0.35">
      <c r="C558">
        <v>24119</v>
      </c>
      <c r="D558" t="s">
        <v>730</v>
      </c>
    </row>
    <row r="559" spans="3:4" hidden="1" x14ac:dyDescent="0.35">
      <c r="C559">
        <v>24120</v>
      </c>
      <c r="D559" t="s">
        <v>731</v>
      </c>
    </row>
    <row r="560" spans="3:4" hidden="1" x14ac:dyDescent="0.35">
      <c r="C560">
        <v>24121</v>
      </c>
      <c r="D560" t="s">
        <v>732</v>
      </c>
    </row>
    <row r="561" spans="3:4" hidden="1" x14ac:dyDescent="0.35">
      <c r="C561">
        <v>24122</v>
      </c>
      <c r="D561" t="s">
        <v>733</v>
      </c>
    </row>
    <row r="562" spans="3:4" hidden="1" x14ac:dyDescent="0.35">
      <c r="C562">
        <v>24123</v>
      </c>
      <c r="D562" t="s">
        <v>734</v>
      </c>
    </row>
    <row r="563" spans="3:4" hidden="1" x14ac:dyDescent="0.35">
      <c r="C563">
        <v>24124</v>
      </c>
      <c r="D563" t="s">
        <v>735</v>
      </c>
    </row>
    <row r="564" spans="3:4" hidden="1" x14ac:dyDescent="0.35">
      <c r="C564">
        <v>24125</v>
      </c>
      <c r="D564" t="s">
        <v>736</v>
      </c>
    </row>
    <row r="565" spans="3:4" hidden="1" x14ac:dyDescent="0.35">
      <c r="C565">
        <v>24126</v>
      </c>
      <c r="D565" t="s">
        <v>737</v>
      </c>
    </row>
    <row r="566" spans="3:4" hidden="1" x14ac:dyDescent="0.35">
      <c r="C566">
        <v>24127</v>
      </c>
      <c r="D566" t="s">
        <v>738</v>
      </c>
    </row>
    <row r="567" spans="3:4" hidden="1" x14ac:dyDescent="0.35">
      <c r="C567">
        <v>24128</v>
      </c>
      <c r="D567" t="s">
        <v>739</v>
      </c>
    </row>
    <row r="568" spans="3:4" hidden="1" x14ac:dyDescent="0.35">
      <c r="C568">
        <v>24129</v>
      </c>
      <c r="D568" t="s">
        <v>740</v>
      </c>
    </row>
    <row r="569" spans="3:4" hidden="1" x14ac:dyDescent="0.35">
      <c r="C569">
        <v>24130</v>
      </c>
      <c r="D569" t="s">
        <v>741</v>
      </c>
    </row>
    <row r="570" spans="3:4" hidden="1" x14ac:dyDescent="0.35">
      <c r="C570">
        <v>24131</v>
      </c>
      <c r="D570" t="s">
        <v>742</v>
      </c>
    </row>
    <row r="571" spans="3:4" hidden="1" x14ac:dyDescent="0.35">
      <c r="C571">
        <v>24132</v>
      </c>
      <c r="D571" t="s">
        <v>743</v>
      </c>
    </row>
    <row r="572" spans="3:4" hidden="1" x14ac:dyDescent="0.35">
      <c r="C572">
        <v>24133</v>
      </c>
      <c r="D572" t="s">
        <v>744</v>
      </c>
    </row>
    <row r="573" spans="3:4" hidden="1" x14ac:dyDescent="0.35">
      <c r="C573">
        <v>24134</v>
      </c>
      <c r="D573" t="s">
        <v>745</v>
      </c>
    </row>
    <row r="574" spans="3:4" hidden="1" x14ac:dyDescent="0.35">
      <c r="C574">
        <v>24135</v>
      </c>
      <c r="D574" t="s">
        <v>746</v>
      </c>
    </row>
    <row r="575" spans="3:4" hidden="1" x14ac:dyDescent="0.35">
      <c r="C575">
        <v>24136</v>
      </c>
      <c r="D575" t="s">
        <v>747</v>
      </c>
    </row>
    <row r="576" spans="3:4" hidden="1" x14ac:dyDescent="0.35">
      <c r="C576">
        <v>24137</v>
      </c>
      <c r="D576" t="s">
        <v>748</v>
      </c>
    </row>
    <row r="577" spans="3:4" hidden="1" x14ac:dyDescent="0.35">
      <c r="C577">
        <v>24138</v>
      </c>
      <c r="D577" t="s">
        <v>749</v>
      </c>
    </row>
    <row r="578" spans="3:4" hidden="1" x14ac:dyDescent="0.35">
      <c r="C578">
        <v>24139</v>
      </c>
      <c r="D578" t="s">
        <v>750</v>
      </c>
    </row>
    <row r="579" spans="3:4" hidden="1" x14ac:dyDescent="0.35">
      <c r="C579">
        <v>24147</v>
      </c>
      <c r="D579" t="s">
        <v>751</v>
      </c>
    </row>
    <row r="580" spans="3:4" hidden="1" x14ac:dyDescent="0.35">
      <c r="C580">
        <v>24167</v>
      </c>
      <c r="D580" t="s">
        <v>787</v>
      </c>
    </row>
    <row r="581" spans="3:4" hidden="1" x14ac:dyDescent="0.35">
      <c r="C581">
        <v>24225</v>
      </c>
      <c r="D581" t="s">
        <v>752</v>
      </c>
    </row>
    <row r="582" spans="3:4" hidden="1" x14ac:dyDescent="0.35">
      <c r="C582">
        <v>24226</v>
      </c>
      <c r="D582" t="s">
        <v>753</v>
      </c>
    </row>
    <row r="583" spans="3:4" hidden="1" x14ac:dyDescent="0.35">
      <c r="C583">
        <v>24227</v>
      </c>
      <c r="D583" t="s">
        <v>754</v>
      </c>
    </row>
    <row r="584" spans="3:4" hidden="1" x14ac:dyDescent="0.35">
      <c r="C584">
        <v>24228</v>
      </c>
      <c r="D584" t="s">
        <v>755</v>
      </c>
    </row>
    <row r="585" spans="3:4" hidden="1" x14ac:dyDescent="0.35">
      <c r="C585">
        <v>24229</v>
      </c>
      <c r="D585" t="s">
        <v>756</v>
      </c>
    </row>
    <row r="586" spans="3:4" hidden="1" x14ac:dyDescent="0.35">
      <c r="C586">
        <v>24230</v>
      </c>
      <c r="D586" t="s">
        <v>757</v>
      </c>
    </row>
    <row r="587" spans="3:4" hidden="1" x14ac:dyDescent="0.35">
      <c r="C587">
        <v>24231</v>
      </c>
      <c r="D587" t="s">
        <v>758</v>
      </c>
    </row>
    <row r="588" spans="3:4" hidden="1" x14ac:dyDescent="0.35">
      <c r="C588">
        <v>24232</v>
      </c>
      <c r="D588" t="s">
        <v>759</v>
      </c>
    </row>
    <row r="589" spans="3:4" hidden="1" x14ac:dyDescent="0.35">
      <c r="C589">
        <v>24233</v>
      </c>
      <c r="D589" t="s">
        <v>760</v>
      </c>
    </row>
    <row r="590" spans="3:4" hidden="1" x14ac:dyDescent="0.35">
      <c r="C590">
        <v>24234</v>
      </c>
      <c r="D590" t="s">
        <v>761</v>
      </c>
    </row>
    <row r="591" spans="3:4" hidden="1" x14ac:dyDescent="0.35">
      <c r="C591">
        <v>24235</v>
      </c>
      <c r="D591" t="s">
        <v>762</v>
      </c>
    </row>
    <row r="592" spans="3:4" hidden="1" x14ac:dyDescent="0.35">
      <c r="C592">
        <v>24236</v>
      </c>
      <c r="D592" t="s">
        <v>763</v>
      </c>
    </row>
    <row r="593" spans="3:4" hidden="1" x14ac:dyDescent="0.35">
      <c r="C593">
        <v>24237</v>
      </c>
      <c r="D593" t="s">
        <v>764</v>
      </c>
    </row>
    <row r="594" spans="3:4" hidden="1" x14ac:dyDescent="0.35">
      <c r="C594">
        <v>24238</v>
      </c>
      <c r="D594" t="s">
        <v>765</v>
      </c>
    </row>
    <row r="595" spans="3:4" hidden="1" x14ac:dyDescent="0.35">
      <c r="C595">
        <v>24239</v>
      </c>
      <c r="D595" t="s">
        <v>766</v>
      </c>
    </row>
    <row r="596" spans="3:4" hidden="1" x14ac:dyDescent="0.35">
      <c r="C596">
        <v>24240</v>
      </c>
      <c r="D596" t="s">
        <v>767</v>
      </c>
    </row>
    <row r="597" spans="3:4" hidden="1" x14ac:dyDescent="0.35">
      <c r="C597">
        <v>24241</v>
      </c>
      <c r="D597" t="s">
        <v>768</v>
      </c>
    </row>
    <row r="598" spans="3:4" hidden="1" x14ac:dyDescent="0.35">
      <c r="C598">
        <v>24242</v>
      </c>
      <c r="D598" t="s">
        <v>769</v>
      </c>
    </row>
    <row r="599" spans="3:4" hidden="1" x14ac:dyDescent="0.35">
      <c r="C599">
        <v>24243</v>
      </c>
      <c r="D599" t="s">
        <v>770</v>
      </c>
    </row>
    <row r="600" spans="3:4" hidden="1" x14ac:dyDescent="0.35">
      <c r="C600">
        <v>24244</v>
      </c>
      <c r="D600" t="s">
        <v>810</v>
      </c>
    </row>
    <row r="601" spans="3:4" hidden="1" x14ac:dyDescent="0.35">
      <c r="C601">
        <v>24245</v>
      </c>
      <c r="D601" t="s">
        <v>771</v>
      </c>
    </row>
    <row r="602" spans="3:4" hidden="1" x14ac:dyDescent="0.35">
      <c r="C602">
        <v>24246</v>
      </c>
      <c r="D602" t="s">
        <v>772</v>
      </c>
    </row>
    <row r="603" spans="3:4" hidden="1" x14ac:dyDescent="0.35">
      <c r="C603">
        <v>24247</v>
      </c>
      <c r="D603" t="s">
        <v>773</v>
      </c>
    </row>
    <row r="604" spans="3:4" hidden="1" x14ac:dyDescent="0.35">
      <c r="C604">
        <v>24248</v>
      </c>
      <c r="D604" t="s">
        <v>811</v>
      </c>
    </row>
    <row r="605" spans="3:4" hidden="1" x14ac:dyDescent="0.35">
      <c r="C605">
        <v>24249</v>
      </c>
      <c r="D605" t="s">
        <v>774</v>
      </c>
    </row>
    <row r="606" spans="3:4" hidden="1" x14ac:dyDescent="0.35">
      <c r="C606">
        <v>24250</v>
      </c>
      <c r="D606" t="s">
        <v>775</v>
      </c>
    </row>
    <row r="607" spans="3:4" hidden="1" x14ac:dyDescent="0.35">
      <c r="C607">
        <v>24251</v>
      </c>
      <c r="D607" t="s">
        <v>776</v>
      </c>
    </row>
    <row r="608" spans="3:4" hidden="1" x14ac:dyDescent="0.35">
      <c r="C608">
        <v>24252</v>
      </c>
      <c r="D608" t="s">
        <v>777</v>
      </c>
    </row>
    <row r="609" spans="3:4" hidden="1" x14ac:dyDescent="0.35">
      <c r="C609">
        <v>24253</v>
      </c>
      <c r="D609" t="s">
        <v>779</v>
      </c>
    </row>
    <row r="610" spans="3:4" hidden="1" x14ac:dyDescent="0.35">
      <c r="C610">
        <v>24254</v>
      </c>
      <c r="D610" t="s">
        <v>778</v>
      </c>
    </row>
    <row r="611" spans="3:4" hidden="1" x14ac:dyDescent="0.35">
      <c r="C611">
        <v>24255</v>
      </c>
      <c r="D611" t="s">
        <v>780</v>
      </c>
    </row>
    <row r="612" spans="3:4" hidden="1" x14ac:dyDescent="0.35">
      <c r="C612">
        <v>24256</v>
      </c>
      <c r="D612" t="s">
        <v>812</v>
      </c>
    </row>
    <row r="613" spans="3:4" hidden="1" x14ac:dyDescent="0.35">
      <c r="C613">
        <v>24257</v>
      </c>
      <c r="D613" t="s">
        <v>781</v>
      </c>
    </row>
    <row r="614" spans="3:4" hidden="1" x14ac:dyDescent="0.35">
      <c r="C614">
        <v>24258</v>
      </c>
      <c r="D614" t="s">
        <v>782</v>
      </c>
    </row>
    <row r="615" spans="3:4" hidden="1" x14ac:dyDescent="0.35">
      <c r="C615">
        <v>24259</v>
      </c>
      <c r="D615" t="s">
        <v>783</v>
      </c>
    </row>
    <row r="616" spans="3:4" hidden="1" x14ac:dyDescent="0.35">
      <c r="C616">
        <v>24260</v>
      </c>
      <c r="D616" t="s">
        <v>784</v>
      </c>
    </row>
    <row r="617" spans="3:4" hidden="1" x14ac:dyDescent="0.35">
      <c r="C617">
        <v>24261</v>
      </c>
      <c r="D617" t="s">
        <v>785</v>
      </c>
    </row>
    <row r="618" spans="3:4" hidden="1" x14ac:dyDescent="0.35">
      <c r="C618">
        <v>999999</v>
      </c>
      <c r="D618" t="s">
        <v>788</v>
      </c>
    </row>
    <row r="619" spans="3:4" hidden="1" x14ac:dyDescent="0.35"/>
    <row r="620" spans="3:4" hidden="1" x14ac:dyDescent="0.35"/>
    <row r="621" spans="3:4" hidden="1" x14ac:dyDescent="0.35"/>
    <row r="622" spans="3:4" hidden="1" x14ac:dyDescent="0.35"/>
    <row r="623" spans="3:4" hidden="1" x14ac:dyDescent="0.35"/>
    <row r="624" spans="3:4" hidden="1" x14ac:dyDescent="0.35"/>
    <row r="625" hidden="1" x14ac:dyDescent="0.35"/>
    <row r="626" hidden="1" x14ac:dyDescent="0.35"/>
    <row r="627" hidden="1" x14ac:dyDescent="0.35"/>
    <row r="628" hidden="1" x14ac:dyDescent="0.35"/>
    <row r="629" hidden="1" x14ac:dyDescent="0.35"/>
    <row r="630" hidden="1" x14ac:dyDescent="0.35"/>
    <row r="631" hidden="1" x14ac:dyDescent="0.35"/>
    <row r="632" hidden="1" x14ac:dyDescent="0.35"/>
    <row r="633" hidden="1" x14ac:dyDescent="0.35"/>
    <row r="634" hidden="1" x14ac:dyDescent="0.35"/>
    <row r="635" hidden="1" x14ac:dyDescent="0.35"/>
    <row r="636" hidden="1" x14ac:dyDescent="0.35"/>
    <row r="637" hidden="1" x14ac:dyDescent="0.35"/>
    <row r="638" hidden="1" x14ac:dyDescent="0.35"/>
    <row r="639" hidden="1" x14ac:dyDescent="0.35"/>
    <row r="640" hidden="1" x14ac:dyDescent="0.35"/>
    <row r="641" hidden="1" x14ac:dyDescent="0.35"/>
    <row r="642" hidden="1" x14ac:dyDescent="0.35"/>
    <row r="643" hidden="1" x14ac:dyDescent="0.35"/>
    <row r="644" hidden="1" x14ac:dyDescent="0.35"/>
    <row r="645" hidden="1" x14ac:dyDescent="0.35"/>
    <row r="646" hidden="1" x14ac:dyDescent="0.35"/>
    <row r="647" hidden="1" x14ac:dyDescent="0.35"/>
    <row r="648" hidden="1" x14ac:dyDescent="0.35"/>
    <row r="649" hidden="1" x14ac:dyDescent="0.35"/>
    <row r="650" hidden="1" x14ac:dyDescent="0.35"/>
    <row r="651" hidden="1" x14ac:dyDescent="0.35"/>
    <row r="652" hidden="1" x14ac:dyDescent="0.35"/>
    <row r="653" hidden="1" x14ac:dyDescent="0.35"/>
    <row r="654" hidden="1" x14ac:dyDescent="0.35"/>
    <row r="655" hidden="1" x14ac:dyDescent="0.35"/>
    <row r="656" hidden="1" x14ac:dyDescent="0.35"/>
    <row r="657" hidden="1" x14ac:dyDescent="0.35"/>
    <row r="658" hidden="1" x14ac:dyDescent="0.35"/>
    <row r="659" hidden="1" x14ac:dyDescent="0.35"/>
    <row r="660" hidden="1" x14ac:dyDescent="0.35"/>
    <row r="661" hidden="1" x14ac:dyDescent="0.35"/>
    <row r="662" hidden="1" x14ac:dyDescent="0.35"/>
    <row r="663" hidden="1" x14ac:dyDescent="0.35"/>
    <row r="664" hidden="1" x14ac:dyDescent="0.35"/>
    <row r="665" hidden="1" x14ac:dyDescent="0.35"/>
    <row r="666" hidden="1" x14ac:dyDescent="0.35"/>
    <row r="667" hidden="1" x14ac:dyDescent="0.35"/>
    <row r="668" hidden="1" x14ac:dyDescent="0.35"/>
    <row r="669" hidden="1" x14ac:dyDescent="0.35"/>
    <row r="670" hidden="1" x14ac:dyDescent="0.35"/>
    <row r="671" hidden="1" x14ac:dyDescent="0.35"/>
    <row r="672" hidden="1" x14ac:dyDescent="0.35"/>
    <row r="673" hidden="1" x14ac:dyDescent="0.35"/>
    <row r="674" hidden="1" x14ac:dyDescent="0.35"/>
    <row r="675" hidden="1" x14ac:dyDescent="0.35"/>
    <row r="676" hidden="1" x14ac:dyDescent="0.35"/>
    <row r="677" hidden="1" x14ac:dyDescent="0.35"/>
    <row r="678" hidden="1" x14ac:dyDescent="0.35"/>
    <row r="679" hidden="1" x14ac:dyDescent="0.35"/>
    <row r="680" hidden="1" x14ac:dyDescent="0.35"/>
    <row r="681" hidden="1" x14ac:dyDescent="0.35"/>
    <row r="682" hidden="1" x14ac:dyDescent="0.35"/>
    <row r="683" hidden="1" x14ac:dyDescent="0.35"/>
    <row r="684" hidden="1" x14ac:dyDescent="0.35"/>
    <row r="685" hidden="1" x14ac:dyDescent="0.35"/>
    <row r="686" hidden="1" x14ac:dyDescent="0.35"/>
    <row r="687" hidden="1" x14ac:dyDescent="0.35"/>
    <row r="688" hidden="1" x14ac:dyDescent="0.35"/>
    <row r="689" hidden="1" x14ac:dyDescent="0.35"/>
    <row r="690" hidden="1" x14ac:dyDescent="0.35"/>
    <row r="691" hidden="1" x14ac:dyDescent="0.35"/>
    <row r="692" hidden="1" x14ac:dyDescent="0.35"/>
    <row r="693" hidden="1" x14ac:dyDescent="0.35"/>
    <row r="694" hidden="1" x14ac:dyDescent="0.35"/>
    <row r="695" hidden="1" x14ac:dyDescent="0.35"/>
    <row r="696" hidden="1" x14ac:dyDescent="0.35"/>
    <row r="697" hidden="1" x14ac:dyDescent="0.35"/>
    <row r="698" hidden="1" x14ac:dyDescent="0.35"/>
    <row r="699" hidden="1" x14ac:dyDescent="0.35"/>
    <row r="700" hidden="1" x14ac:dyDescent="0.35"/>
  </sheetData>
  <mergeCells count="1">
    <mergeCell ref="F33:X41"/>
  </mergeCells>
  <phoneticPr fontId="26" type="noConversion"/>
  <dataValidations count="3">
    <dataValidation type="list" allowBlank="1" showInputMessage="1" showErrorMessage="1" errorTitle="Registrant Name" error="You have entered your Registrant Name incorrectly" sqref="E11" xr:uid="{E46ADE14-F62C-4AF1-8C9E-1E135F149AA5}">
      <formula1>$A$80:$A$300</formula1>
    </dataValidation>
    <dataValidation type="list" allowBlank="1" showInputMessage="1" showErrorMessage="1" errorTitle="Mitigated Units" error="NYC mitigated units must enter Y._x000a_All other untis must enter N." sqref="C17:C24" xr:uid="{0F89A9E5-E7FA-4079-BDAD-B0DC807DDC7C}">
      <formula1>$B$80:$B$81</formula1>
    </dataValidation>
    <dataValidation type="list" allowBlank="1" showInputMessage="1" showErrorMessage="1" errorTitle="PTID Number" error="Please enter a PTID from the provided list." sqref="D17:D24" xr:uid="{5571F1B1-A660-4D7E-8DE8-4C0042868175}">
      <formula1>$C$80:$C$700</formula1>
    </dataValidation>
  </dataValidations>
  <pageMargins left="0.75" right="0.75" top="1" bottom="1" header="0.5" footer="0.5"/>
  <pageSetup scale="72" orientation="landscape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051" r:id="rId4" name="CommandButton3">
          <controlPr autoLine="0" r:id="rId5">
            <anchor moveWithCells="1">
              <from>
                <xdr:col>12</xdr:col>
                <xdr:colOff>461963</xdr:colOff>
                <xdr:row>9</xdr:row>
                <xdr:rowOff>147638</xdr:rowOff>
              </from>
              <to>
                <xdr:col>23</xdr:col>
                <xdr:colOff>252413</xdr:colOff>
                <xdr:row>11</xdr:row>
                <xdr:rowOff>109538</xdr:rowOff>
              </to>
            </anchor>
          </controlPr>
        </control>
      </mc:Choice>
      <mc:Fallback>
        <control shapeId="2051" r:id="rId4" name="CommandButton3"/>
      </mc:Fallback>
    </mc:AlternateContent>
    <mc:AlternateContent xmlns:mc="http://schemas.openxmlformats.org/markup-compatibility/2006">
      <mc:Choice Requires="x14">
        <control shapeId="2050" r:id="rId6" name="CommandButton2">
          <controlPr defaultSize="0" autoLine="0" r:id="rId7">
            <anchor moveWithCells="1">
              <from>
                <xdr:col>10</xdr:col>
                <xdr:colOff>523875</xdr:colOff>
                <xdr:row>9</xdr:row>
                <xdr:rowOff>76200</xdr:rowOff>
              </from>
              <to>
                <xdr:col>12</xdr:col>
                <xdr:colOff>209550</xdr:colOff>
                <xdr:row>12</xdr:row>
                <xdr:rowOff>23813</xdr:rowOff>
              </to>
            </anchor>
          </controlPr>
        </control>
      </mc:Choice>
      <mc:Fallback>
        <control shapeId="2050" r:id="rId6" name="CommandButton2"/>
      </mc:Fallback>
    </mc:AlternateContent>
    <mc:AlternateContent xmlns:mc="http://schemas.openxmlformats.org/markup-compatibility/2006">
      <mc:Choice Requires="x14">
        <control shapeId="2049" r:id="rId8" name="CommandButton1">
          <controlPr defaultSize="0" autoLine="0" r:id="rId9">
            <anchor moveWithCells="1">
              <from>
                <xdr:col>8</xdr:col>
                <xdr:colOff>481013</xdr:colOff>
                <xdr:row>9</xdr:row>
                <xdr:rowOff>66675</xdr:rowOff>
              </from>
              <to>
                <xdr:col>10</xdr:col>
                <xdr:colOff>233363</xdr:colOff>
                <xdr:row>12</xdr:row>
                <xdr:rowOff>14288</xdr:rowOff>
              </to>
            </anchor>
          </controlPr>
        </control>
      </mc:Choice>
      <mc:Fallback>
        <control shapeId="2049" r:id="rId8" name="CommandButton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A4CC5-8245-4D31-BB4A-55D271066DF1}">
  <sheetPr codeName="Sheet5">
    <pageSetUpPr fitToPage="1"/>
  </sheetPr>
  <dimension ref="A1:AF1251"/>
  <sheetViews>
    <sheetView showGridLines="0" showOutlineSymbols="0" topLeftCell="A3" zoomScale="75" workbookViewId="0">
      <selection activeCell="C73" sqref="C73"/>
    </sheetView>
  </sheetViews>
  <sheetFormatPr defaultRowHeight="12.75" x14ac:dyDescent="0.35"/>
  <cols>
    <col min="1" max="1" width="6.3984375" bestFit="1" customWidth="1"/>
    <col min="2" max="2" width="27.1328125" customWidth="1"/>
    <col min="3" max="3" width="10.86328125" bestFit="1" customWidth="1"/>
    <col min="4" max="4" width="14.265625" customWidth="1"/>
    <col min="5" max="5" width="17.1328125" bestFit="1" customWidth="1"/>
    <col min="6" max="6" width="20.1328125" bestFit="1" customWidth="1"/>
    <col min="7" max="7" width="15" bestFit="1" customWidth="1"/>
    <col min="8" max="13" width="7.73046875" customWidth="1"/>
    <col min="14" max="14" width="7.86328125" customWidth="1"/>
    <col min="15" max="18" width="7.73046875" hidden="1" customWidth="1"/>
    <col min="19" max="19" width="6" hidden="1" customWidth="1"/>
    <col min="20" max="20" width="6.265625" hidden="1" customWidth="1"/>
    <col min="21" max="21" width="6.73046875" hidden="1" customWidth="1"/>
    <col min="22" max="23" width="9.1328125" hidden="1" customWidth="1"/>
  </cols>
  <sheetData>
    <row r="1" spans="1:32" hidden="1" x14ac:dyDescent="0.35"/>
    <row r="2" spans="1:32" hidden="1" x14ac:dyDescent="0.35"/>
    <row r="3" spans="1:32" ht="19.899999999999999" x14ac:dyDescent="0.5">
      <c r="A3" s="140"/>
      <c r="B3" s="141"/>
      <c r="C3" s="141"/>
      <c r="D3" s="142" t="s">
        <v>37</v>
      </c>
      <c r="E3" s="143"/>
      <c r="F3" s="143"/>
      <c r="G3" s="143"/>
      <c r="H3" s="143"/>
      <c r="I3" s="144" t="s">
        <v>9</v>
      </c>
      <c r="J3" s="143"/>
      <c r="K3" s="143"/>
      <c r="L3" s="143"/>
      <c r="M3" s="143"/>
      <c r="N3" s="145"/>
      <c r="O3" s="145"/>
      <c r="P3" s="145"/>
      <c r="Q3" s="145"/>
      <c r="R3" s="145"/>
      <c r="S3" s="146"/>
      <c r="T3" s="146"/>
      <c r="U3" s="146"/>
      <c r="V3" s="146"/>
      <c r="W3" s="146"/>
      <c r="X3" s="147"/>
      <c r="AC3" s="54"/>
      <c r="AD3" s="54"/>
      <c r="AE3" s="54"/>
      <c r="AF3" s="54"/>
    </row>
    <row r="4" spans="1:32" ht="15" x14ac:dyDescent="0.4">
      <c r="A4" s="148"/>
      <c r="B4" s="149"/>
      <c r="C4" s="149"/>
      <c r="D4" s="150" t="s">
        <v>38</v>
      </c>
      <c r="E4" s="26"/>
      <c r="F4" s="26"/>
      <c r="G4" s="26"/>
      <c r="H4" s="151"/>
      <c r="I4" s="104" t="s">
        <v>288</v>
      </c>
      <c r="J4" s="26"/>
      <c r="K4" s="26"/>
      <c r="L4" s="26"/>
      <c r="M4" s="26"/>
      <c r="N4" s="26"/>
      <c r="O4" s="26"/>
      <c r="P4" s="26"/>
      <c r="Q4" s="26"/>
      <c r="R4" s="26"/>
      <c r="S4" s="9"/>
      <c r="T4" s="9"/>
      <c r="U4" s="9"/>
      <c r="V4" s="9"/>
      <c r="W4" s="9"/>
      <c r="X4" s="152"/>
      <c r="AC4" s="54"/>
      <c r="AD4" s="54"/>
      <c r="AE4" s="54"/>
      <c r="AF4" s="54"/>
    </row>
    <row r="5" spans="1:32" ht="13.15" x14ac:dyDescent="0.4">
      <c r="A5" s="153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9"/>
      <c r="T5" s="9"/>
      <c r="U5" s="9"/>
      <c r="V5" s="9"/>
      <c r="W5" s="9"/>
      <c r="X5" s="152"/>
      <c r="AC5" s="54"/>
      <c r="AD5" s="54"/>
      <c r="AE5" s="54"/>
      <c r="AF5" s="54"/>
    </row>
    <row r="6" spans="1:32" ht="15" x14ac:dyDescent="0.4">
      <c r="A6" s="153"/>
      <c r="B6" s="26"/>
      <c r="C6" s="26"/>
      <c r="D6" s="154"/>
      <c r="E6" s="154"/>
      <c r="F6" s="154"/>
      <c r="G6" s="154"/>
      <c r="H6" s="154"/>
      <c r="I6" s="154" t="s">
        <v>7</v>
      </c>
      <c r="J6" s="154"/>
      <c r="K6" s="154"/>
      <c r="L6" s="154"/>
      <c r="M6" s="154"/>
      <c r="N6" s="26"/>
      <c r="O6" s="26"/>
      <c r="P6" s="26"/>
      <c r="Q6" s="26"/>
      <c r="R6" s="26"/>
      <c r="S6" s="9"/>
      <c r="T6" s="9"/>
      <c r="U6" s="9"/>
      <c r="V6" s="9"/>
      <c r="W6" s="9"/>
      <c r="X6" s="152"/>
      <c r="AC6" s="54"/>
      <c r="AD6" s="54"/>
      <c r="AE6" s="54"/>
      <c r="AF6" s="54"/>
    </row>
    <row r="7" spans="1:32" ht="15" x14ac:dyDescent="0.4">
      <c r="A7" s="153"/>
      <c r="B7" s="26"/>
      <c r="C7" s="26"/>
      <c r="D7" s="154"/>
      <c r="E7" s="154"/>
      <c r="F7" s="154"/>
      <c r="G7" s="154"/>
      <c r="H7" s="86" t="s">
        <v>103</v>
      </c>
      <c r="I7" s="154"/>
      <c r="J7" s="154"/>
      <c r="K7" s="154"/>
      <c r="L7" s="154"/>
      <c r="M7" s="154"/>
      <c r="N7" s="26"/>
      <c r="O7" s="26"/>
      <c r="P7" s="26"/>
      <c r="Q7" s="26"/>
      <c r="R7" s="26"/>
      <c r="S7" s="9"/>
      <c r="T7" s="9"/>
      <c r="U7" s="9"/>
      <c r="V7" s="9"/>
      <c r="W7" s="9"/>
      <c r="X7" s="152"/>
      <c r="AC7" s="54"/>
      <c r="AD7" s="54"/>
      <c r="AE7" s="54"/>
      <c r="AF7" s="54"/>
    </row>
    <row r="8" spans="1:32" ht="13.15" x14ac:dyDescent="0.4">
      <c r="A8" s="153"/>
      <c r="B8" s="26"/>
      <c r="C8" s="28" t="s">
        <v>27</v>
      </c>
      <c r="D8" s="9"/>
      <c r="E8" s="21" t="s">
        <v>281</v>
      </c>
      <c r="F8" s="9"/>
      <c r="G8" s="21">
        <v>1</v>
      </c>
      <c r="H8" s="26"/>
      <c r="I8" s="26"/>
      <c r="J8" s="26"/>
      <c r="K8" s="28" t="s">
        <v>25</v>
      </c>
      <c r="L8" s="26"/>
      <c r="M8" s="87">
        <f>+'Nov OPP'!M8</f>
        <v>36526</v>
      </c>
      <c r="N8" s="22"/>
      <c r="O8" s="26"/>
      <c r="P8" s="26"/>
      <c r="Q8" s="26"/>
      <c r="R8" s="26"/>
      <c r="S8" s="9"/>
      <c r="T8" s="9"/>
      <c r="U8" s="9"/>
      <c r="V8" s="9"/>
      <c r="W8" s="9"/>
      <c r="X8" s="152"/>
      <c r="AC8" s="54"/>
      <c r="AD8" s="54"/>
      <c r="AE8" s="54"/>
      <c r="AF8" s="54"/>
    </row>
    <row r="9" spans="1:32" ht="13.15" x14ac:dyDescent="0.4">
      <c r="A9" s="153"/>
      <c r="B9" s="26"/>
      <c r="C9" s="26"/>
      <c r="D9" s="75"/>
      <c r="E9" s="28"/>
      <c r="F9" s="26"/>
      <c r="G9" s="24" t="s">
        <v>104</v>
      </c>
      <c r="H9" s="26"/>
      <c r="I9" s="26"/>
      <c r="J9" s="26"/>
      <c r="K9" s="28" t="s">
        <v>26</v>
      </c>
      <c r="L9" s="26"/>
      <c r="M9" s="90">
        <f>+'Nov OPP'!M9</f>
        <v>0.625</v>
      </c>
      <c r="N9" s="25"/>
      <c r="O9" s="26"/>
      <c r="P9" s="26"/>
      <c r="Q9" s="26"/>
      <c r="R9" s="26"/>
      <c r="S9" s="9"/>
      <c r="T9" s="9"/>
      <c r="U9" s="9"/>
      <c r="V9" s="9"/>
      <c r="W9" s="9"/>
      <c r="X9" s="152"/>
      <c r="AC9" s="54"/>
      <c r="AD9" s="54"/>
      <c r="AE9" s="54"/>
      <c r="AF9" s="54"/>
    </row>
    <row r="10" spans="1:32" ht="13.15" x14ac:dyDescent="0.4">
      <c r="A10" s="153"/>
      <c r="B10" s="26"/>
      <c r="C10" s="26"/>
      <c r="D10" s="75"/>
      <c r="E10" s="28"/>
      <c r="F10" s="26"/>
      <c r="G10" s="26"/>
      <c r="H10" s="26"/>
      <c r="I10" s="26"/>
      <c r="J10" s="28"/>
      <c r="K10" s="26"/>
      <c r="L10" s="26"/>
      <c r="M10" s="26"/>
      <c r="N10" s="26"/>
      <c r="O10" s="26"/>
      <c r="P10" s="26"/>
      <c r="Q10" s="26"/>
      <c r="R10" s="26"/>
      <c r="S10" s="9"/>
      <c r="T10" s="155"/>
      <c r="U10" s="155"/>
      <c r="V10" s="155"/>
      <c r="W10" s="9"/>
      <c r="X10" s="152"/>
      <c r="AC10" s="54"/>
      <c r="AD10" s="54"/>
      <c r="AE10" s="54"/>
      <c r="AF10" s="54"/>
    </row>
    <row r="11" spans="1:32" ht="13.15" x14ac:dyDescent="0.4">
      <c r="A11" s="153"/>
      <c r="B11" s="26"/>
      <c r="C11" s="28" t="s">
        <v>20</v>
      </c>
      <c r="D11" s="9"/>
      <c r="E11" s="89"/>
      <c r="F11" s="9"/>
      <c r="G11" s="28"/>
      <c r="H11" s="26"/>
      <c r="I11" s="26"/>
      <c r="J11" s="26"/>
      <c r="K11" s="28"/>
      <c r="L11" s="26"/>
      <c r="M11" s="28"/>
      <c r="N11" s="156"/>
      <c r="O11" s="156"/>
      <c r="P11" s="156"/>
      <c r="Q11" s="156"/>
      <c r="R11" s="156"/>
      <c r="S11" s="155"/>
      <c r="T11" s="9"/>
      <c r="U11" s="9"/>
      <c r="V11" s="9"/>
      <c r="W11" s="9"/>
      <c r="X11" s="152"/>
      <c r="AC11" s="54"/>
      <c r="AD11" s="54"/>
      <c r="AE11" s="54"/>
      <c r="AF11" s="54"/>
    </row>
    <row r="12" spans="1:32" ht="13.15" x14ac:dyDescent="0.4">
      <c r="A12" s="153"/>
      <c r="B12" s="26"/>
      <c r="C12" s="26"/>
      <c r="D12" s="26"/>
      <c r="E12" s="26"/>
      <c r="F12" s="26"/>
      <c r="G12" s="26"/>
      <c r="H12" s="26"/>
      <c r="I12" s="26"/>
      <c r="J12" s="28"/>
      <c r="K12" s="86"/>
      <c r="L12" s="26"/>
      <c r="M12" s="28"/>
      <c r="N12" s="26"/>
      <c r="O12" s="26"/>
      <c r="P12" s="26"/>
      <c r="Q12" s="26"/>
      <c r="R12" s="26"/>
      <c r="S12" s="9"/>
      <c r="T12" s="155"/>
      <c r="U12" s="9"/>
      <c r="V12" s="9"/>
      <c r="W12" s="9"/>
      <c r="X12" s="152"/>
      <c r="AC12" s="54"/>
      <c r="AD12" s="54"/>
      <c r="AE12" s="54"/>
      <c r="AF12" s="54"/>
    </row>
    <row r="13" spans="1:32" ht="13.5" thickBot="1" x14ac:dyDescent="0.45">
      <c r="A13" s="153"/>
      <c r="B13" s="26"/>
      <c r="C13" s="26"/>
      <c r="D13" s="26"/>
      <c r="E13" s="104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9"/>
      <c r="T13" s="9"/>
      <c r="U13" s="9"/>
      <c r="V13" s="9"/>
      <c r="W13" s="9"/>
      <c r="X13" s="152"/>
      <c r="AC13" s="54"/>
      <c r="AD13" s="54"/>
      <c r="AE13" s="54"/>
      <c r="AF13" s="54"/>
    </row>
    <row r="14" spans="1:32" ht="13.15" x14ac:dyDescent="0.4">
      <c r="A14" s="39"/>
      <c r="B14" s="41" t="s">
        <v>43</v>
      </c>
      <c r="C14" s="41"/>
      <c r="D14" s="40"/>
      <c r="E14" s="41"/>
      <c r="F14" s="41" t="s">
        <v>33</v>
      </c>
      <c r="G14" s="42" t="s">
        <v>31</v>
      </c>
      <c r="H14" s="52" t="s">
        <v>46</v>
      </c>
      <c r="I14" s="43"/>
      <c r="J14" s="44"/>
      <c r="K14" s="43"/>
      <c r="L14" s="43"/>
      <c r="M14" s="43"/>
      <c r="N14" s="45"/>
      <c r="O14" s="26"/>
      <c r="P14" s="26"/>
      <c r="Q14" s="26"/>
      <c r="R14" s="26"/>
      <c r="S14" s="9"/>
      <c r="T14" s="9"/>
      <c r="U14" s="9"/>
      <c r="V14" s="9"/>
      <c r="W14" s="9"/>
      <c r="X14" s="152"/>
      <c r="AC14" s="54"/>
      <c r="AD14" s="54"/>
      <c r="AE14" s="54"/>
      <c r="AF14" s="54"/>
    </row>
    <row r="15" spans="1:32" ht="13.15" x14ac:dyDescent="0.4">
      <c r="A15" s="46" t="s">
        <v>39</v>
      </c>
      <c r="B15" s="30" t="s">
        <v>44</v>
      </c>
      <c r="C15" s="30" t="s">
        <v>2</v>
      </c>
      <c r="D15" s="30" t="s">
        <v>41</v>
      </c>
      <c r="E15" s="30" t="s">
        <v>40</v>
      </c>
      <c r="F15" s="36" t="s">
        <v>53</v>
      </c>
      <c r="G15" s="37" t="s">
        <v>35</v>
      </c>
      <c r="H15" s="29" t="s">
        <v>2</v>
      </c>
      <c r="I15" s="29" t="s">
        <v>3</v>
      </c>
      <c r="J15" s="29" t="s">
        <v>28</v>
      </c>
      <c r="K15" s="29" t="s">
        <v>4</v>
      </c>
      <c r="L15" s="29" t="s">
        <v>29</v>
      </c>
      <c r="M15" s="29" t="s">
        <v>5</v>
      </c>
      <c r="N15" s="47" t="s">
        <v>30</v>
      </c>
      <c r="O15" s="104"/>
      <c r="P15" s="104"/>
      <c r="Q15" s="104"/>
      <c r="R15" s="104"/>
      <c r="S15" s="9"/>
      <c r="T15" s="9"/>
      <c r="U15" s="9"/>
      <c r="V15" s="9"/>
      <c r="W15" s="9"/>
      <c r="X15" s="152"/>
      <c r="AC15" s="54"/>
      <c r="AD15" s="54"/>
      <c r="AE15" s="54"/>
      <c r="AF15" s="54"/>
    </row>
    <row r="16" spans="1:32" ht="13.5" thickBot="1" x14ac:dyDescent="0.45">
      <c r="A16" s="48"/>
      <c r="B16" s="31"/>
      <c r="C16" s="32" t="s">
        <v>105</v>
      </c>
      <c r="D16" s="31"/>
      <c r="E16" s="31"/>
      <c r="F16" s="38" t="s">
        <v>48</v>
      </c>
      <c r="G16" s="51" t="s">
        <v>36</v>
      </c>
      <c r="H16" s="31"/>
      <c r="I16" s="31"/>
      <c r="J16" s="31"/>
      <c r="K16" s="31"/>
      <c r="L16" s="32"/>
      <c r="M16" s="32"/>
      <c r="N16" s="49"/>
      <c r="O16" s="104"/>
      <c r="P16" s="104"/>
      <c r="Q16" s="104"/>
      <c r="R16" s="104"/>
      <c r="S16" s="9"/>
      <c r="T16" s="9"/>
      <c r="U16" s="9"/>
      <c r="V16" s="9"/>
      <c r="W16" s="9"/>
      <c r="X16" s="152"/>
      <c r="AC16" s="54"/>
      <c r="AD16" s="54"/>
      <c r="AE16" s="54"/>
      <c r="AF16" s="54"/>
    </row>
    <row r="17" spans="1:32" s="34" customFormat="1" ht="13.15" x14ac:dyDescent="0.4">
      <c r="A17" s="158">
        <v>1</v>
      </c>
      <c r="B17" s="85" t="str">
        <f t="shared" ref="B17:B24" si="0">IF(D17=0," ",+$E$11)</f>
        <v xml:space="preserve"> </v>
      </c>
      <c r="C17" s="35" t="s">
        <v>106</v>
      </c>
      <c r="D17" s="80"/>
      <c r="E17" s="85" t="str">
        <f>IF(ISERROR(VLOOKUP(D17,$C$80:$D$700,2)),"",VLOOKUP(D17,$C$80:$D$700,2))</f>
        <v/>
      </c>
      <c r="F17" s="81"/>
      <c r="G17" s="81"/>
      <c r="H17" s="58">
        <v>0</v>
      </c>
      <c r="I17" s="58">
        <v>0</v>
      </c>
      <c r="J17" s="58">
        <v>0</v>
      </c>
      <c r="K17" s="58">
        <v>0</v>
      </c>
      <c r="L17" s="58">
        <v>0</v>
      </c>
      <c r="M17" s="58">
        <v>0</v>
      </c>
      <c r="N17" s="58">
        <v>0</v>
      </c>
      <c r="O17" s="53" t="str">
        <f>+$E$8</f>
        <v>December</v>
      </c>
      <c r="P17" s="53">
        <f>+$G$8</f>
        <v>1</v>
      </c>
      <c r="Q17" s="105">
        <f>+$M$8</f>
        <v>36526</v>
      </c>
      <c r="R17" s="107">
        <f>+$M$9</f>
        <v>0.625</v>
      </c>
      <c r="S17" s="175">
        <f t="shared" ref="S17:S24" si="1">IF(AND(OR(H17=0,H17=1),OR(I17=0,I17=1),OR(J17=0,J17=1),OR(K17=0,K17=1),OR(L17=0,L17=1),OR(N17=0,N17=1),OR(M17=0,M17=1)),0,1)</f>
        <v>0</v>
      </c>
      <c r="T17" s="175">
        <f t="shared" ref="T17:T24" si="2">IF(L17+N17&gt;0,1,0)</f>
        <v>0</v>
      </c>
      <c r="U17" s="54">
        <f t="shared" ref="U17:U24" si="3">IF(SUM(H17:N17)&gt;1,1,0)</f>
        <v>0</v>
      </c>
      <c r="V17" s="54">
        <f t="shared" ref="V17:V24" si="4">IF(AND(G17&gt;0,SUM(H17:N17)=0),1,0)</f>
        <v>0</v>
      </c>
      <c r="W17" s="175">
        <f t="shared" ref="W17:W24" si="5">IF(H17&gt;0,1,0)</f>
        <v>0</v>
      </c>
      <c r="X17" s="176"/>
      <c r="AC17" s="54"/>
      <c r="AD17" s="54"/>
      <c r="AE17" s="54"/>
      <c r="AF17" s="54"/>
    </row>
    <row r="18" spans="1:32" s="34" customFormat="1" ht="13.15" x14ac:dyDescent="0.4">
      <c r="A18" s="158">
        <f>COUNT($A$17:A17)+1</f>
        <v>2</v>
      </c>
      <c r="B18" s="85" t="str">
        <f t="shared" si="0"/>
        <v xml:space="preserve"> </v>
      </c>
      <c r="C18" s="35" t="s">
        <v>106</v>
      </c>
      <c r="D18" s="78"/>
      <c r="E18" s="85" t="str">
        <f t="shared" ref="E18:E24" si="6">IF(ISERROR(VLOOKUP(D18,$C$80:$D$700,2)),"",VLOOKUP(D18,$C$80:$D$700,2))</f>
        <v/>
      </c>
      <c r="F18" s="79"/>
      <c r="G18" s="79"/>
      <c r="H18" s="58">
        <v>0</v>
      </c>
      <c r="I18" s="58">
        <v>0</v>
      </c>
      <c r="J18" s="58">
        <v>0</v>
      </c>
      <c r="K18" s="58">
        <v>0</v>
      </c>
      <c r="L18" s="58">
        <v>0</v>
      </c>
      <c r="M18" s="58">
        <v>0</v>
      </c>
      <c r="N18" s="58">
        <v>0</v>
      </c>
      <c r="O18" s="53" t="str">
        <f t="shared" ref="O18:O24" si="7">+$E$8</f>
        <v>December</v>
      </c>
      <c r="P18" s="53">
        <f t="shared" ref="P18:P24" si="8">+$G$8</f>
        <v>1</v>
      </c>
      <c r="Q18" s="105">
        <f t="shared" ref="Q18:Q24" si="9">+$M$8</f>
        <v>36526</v>
      </c>
      <c r="R18" s="107">
        <f t="shared" ref="R18:R24" si="10">+$M$9</f>
        <v>0.625</v>
      </c>
      <c r="S18" s="175">
        <f t="shared" si="1"/>
        <v>0</v>
      </c>
      <c r="T18" s="175">
        <f t="shared" si="2"/>
        <v>0</v>
      </c>
      <c r="U18" s="54">
        <f t="shared" si="3"/>
        <v>0</v>
      </c>
      <c r="V18" s="54">
        <f t="shared" si="4"/>
        <v>0</v>
      </c>
      <c r="W18" s="175">
        <f t="shared" si="5"/>
        <v>0</v>
      </c>
      <c r="X18" s="176"/>
      <c r="AC18" s="54"/>
      <c r="AD18" s="54"/>
      <c r="AE18" s="54"/>
      <c r="AF18" s="54"/>
    </row>
    <row r="19" spans="1:32" s="34" customFormat="1" ht="13.15" x14ac:dyDescent="0.4">
      <c r="A19" s="158">
        <f>COUNT($A$17:A18)+1</f>
        <v>3</v>
      </c>
      <c r="B19" s="85" t="str">
        <f t="shared" si="0"/>
        <v xml:space="preserve"> </v>
      </c>
      <c r="C19" s="35" t="s">
        <v>106</v>
      </c>
      <c r="D19" s="78"/>
      <c r="E19" s="85" t="str">
        <f t="shared" si="6"/>
        <v/>
      </c>
      <c r="F19" s="79"/>
      <c r="G19" s="79"/>
      <c r="H19" s="58">
        <v>0</v>
      </c>
      <c r="I19" s="58">
        <v>0</v>
      </c>
      <c r="J19" s="58">
        <v>0</v>
      </c>
      <c r="K19" s="58">
        <v>0</v>
      </c>
      <c r="L19" s="58">
        <v>0</v>
      </c>
      <c r="M19" s="58">
        <v>0</v>
      </c>
      <c r="N19" s="58">
        <v>0</v>
      </c>
      <c r="O19" s="53" t="str">
        <f t="shared" si="7"/>
        <v>December</v>
      </c>
      <c r="P19" s="53">
        <f t="shared" si="8"/>
        <v>1</v>
      </c>
      <c r="Q19" s="105">
        <f t="shared" si="9"/>
        <v>36526</v>
      </c>
      <c r="R19" s="107">
        <f t="shared" si="10"/>
        <v>0.625</v>
      </c>
      <c r="S19" s="175">
        <f>IF(AND(OR(H19=0,H19=1),OR(I19=0,I19=1),OR(J19=0,J19=1),OR(K19=0,K19=1),OR(L19=0,L19=1),OR(N19=0,N19=1),OR(M19=0,M19=1)),0,1)</f>
        <v>0</v>
      </c>
      <c r="T19" s="175">
        <f>IF(L19+N19&gt;0,1,0)</f>
        <v>0</v>
      </c>
      <c r="U19" s="54">
        <f>IF(SUM(H19:N19)&gt;1,1,0)</f>
        <v>0</v>
      </c>
      <c r="V19" s="54">
        <f>IF(AND(G19&gt;0,SUM(H19:N19)=0),1,0)</f>
        <v>0</v>
      </c>
      <c r="W19" s="175">
        <f>IF(H19&gt;0,1,0)</f>
        <v>0</v>
      </c>
      <c r="X19" s="176"/>
      <c r="AC19" s="54"/>
      <c r="AD19" s="54"/>
      <c r="AE19" s="54"/>
      <c r="AF19" s="54"/>
    </row>
    <row r="20" spans="1:32" s="34" customFormat="1" ht="22.9" ph="1" x14ac:dyDescent="0.4">
      <c r="A20" s="158">
        <f>COUNT($A$17:A19)+1</f>
        <v>4</v>
      </c>
      <c r="B20" s="85" t="str">
        <f t="shared" si="0"/>
        <v xml:space="preserve"> </v>
      </c>
      <c r="C20" s="35" t="s">
        <v>106</v>
      </c>
      <c r="D20" s="78"/>
      <c r="E20" s="85" t="str">
        <f t="shared" si="6"/>
        <v/>
      </c>
      <c r="F20" s="79"/>
      <c r="G20" s="79"/>
      <c r="H20" s="58">
        <v>0</v>
      </c>
      <c r="I20" s="58">
        <v>0</v>
      </c>
      <c r="J20" s="58">
        <v>0</v>
      </c>
      <c r="K20" s="58">
        <v>0</v>
      </c>
      <c r="L20" s="58">
        <v>0</v>
      </c>
      <c r="M20" s="58">
        <v>0</v>
      </c>
      <c r="N20" s="58">
        <v>0</v>
      </c>
      <c r="O20" s="53" t="str">
        <f t="shared" si="7"/>
        <v>December</v>
      </c>
      <c r="P20" s="53">
        <f t="shared" si="8"/>
        <v>1</v>
      </c>
      <c r="Q20" s="105">
        <f t="shared" si="9"/>
        <v>36526</v>
      </c>
      <c r="R20" s="107">
        <f t="shared" si="10"/>
        <v>0.625</v>
      </c>
      <c r="S20" s="175">
        <f>IF(AND(OR(H20=0,H20=1),OR(I20=0,I20=1),OR(J20=0,J20=1),OR(K20=0,K20=1),OR(L20=0,L20=1),OR(N20=0,N20=1),OR(M20=0,M20=1)),0,1)</f>
        <v>0</v>
      </c>
      <c r="T20" s="175">
        <f>IF(L20+N20&gt;0,1,0)</f>
        <v>0</v>
      </c>
      <c r="U20" s="54">
        <f>IF(SUM(H20:N20)&gt;1,1,0)</f>
        <v>0</v>
      </c>
      <c r="V20" s="54">
        <f>IF(AND(G20&gt;0,SUM(H20:N20)=0),1,0)</f>
        <v>0</v>
      </c>
      <c r="W20" s="175">
        <f>IF(H20&gt;0,1,0)</f>
        <v>0</v>
      </c>
      <c r="X20" s="176"/>
      <c r="Y20" s="34"/>
      <c r="Z20" s="34"/>
      <c r="AA20" s="34"/>
      <c r="AB20" s="34"/>
      <c r="AC20" s="54"/>
      <c r="AD20" s="54"/>
      <c r="AE20" s="54"/>
      <c r="AF20" s="54"/>
    </row>
    <row r="21" spans="1:32" s="34" customFormat="1" ht="13.15" x14ac:dyDescent="0.4">
      <c r="A21" s="158">
        <f>COUNT($A$17:A20)+1</f>
        <v>5</v>
      </c>
      <c r="B21" s="85" t="str">
        <f t="shared" si="0"/>
        <v xml:space="preserve"> </v>
      </c>
      <c r="C21" s="35" t="s">
        <v>106</v>
      </c>
      <c r="D21" s="78"/>
      <c r="E21" s="85" t="str">
        <f t="shared" si="6"/>
        <v/>
      </c>
      <c r="F21" s="79"/>
      <c r="G21" s="79"/>
      <c r="H21" s="58">
        <v>0</v>
      </c>
      <c r="I21" s="58">
        <v>0</v>
      </c>
      <c r="J21" s="58">
        <v>0</v>
      </c>
      <c r="K21" s="58">
        <v>0</v>
      </c>
      <c r="L21" s="58">
        <v>0</v>
      </c>
      <c r="M21" s="58">
        <v>0</v>
      </c>
      <c r="N21" s="58">
        <v>0</v>
      </c>
      <c r="O21" s="53" t="str">
        <f t="shared" si="7"/>
        <v>December</v>
      </c>
      <c r="P21" s="53">
        <f t="shared" si="8"/>
        <v>1</v>
      </c>
      <c r="Q21" s="105">
        <f t="shared" si="9"/>
        <v>36526</v>
      </c>
      <c r="R21" s="107">
        <f t="shared" si="10"/>
        <v>0.625</v>
      </c>
      <c r="S21" s="175">
        <f>IF(AND(OR(H21=0,H21=1),OR(I21=0,I21=1),OR(J21=0,J21=1),OR(K21=0,K21=1),OR(L21=0,L21=1),OR(N21=0,N21=1),OR(M21=0,M21=1)),0,1)</f>
        <v>0</v>
      </c>
      <c r="T21" s="175">
        <f>IF(L21+N21&gt;0,1,0)</f>
        <v>0</v>
      </c>
      <c r="U21" s="54">
        <f>IF(SUM(H21:N21)&gt;1,1,0)</f>
        <v>0</v>
      </c>
      <c r="V21" s="54">
        <f>IF(AND(G21&gt;0,SUM(H21:N21)=0),1,0)</f>
        <v>0</v>
      </c>
      <c r="W21" s="175">
        <f>IF(H21&gt;0,1,0)</f>
        <v>0</v>
      </c>
      <c r="X21" s="176"/>
      <c r="AC21" s="54"/>
      <c r="AD21" s="54"/>
      <c r="AE21" s="54"/>
      <c r="AF21" s="54"/>
    </row>
    <row r="22" spans="1:32" s="34" customFormat="1" ht="13.15" x14ac:dyDescent="0.4">
      <c r="A22" s="158">
        <f>COUNT($A$17:A21)+1</f>
        <v>6</v>
      </c>
      <c r="B22" s="85" t="str">
        <f t="shared" si="0"/>
        <v xml:space="preserve"> </v>
      </c>
      <c r="C22" s="35" t="s">
        <v>106</v>
      </c>
      <c r="D22" s="78"/>
      <c r="E22" s="85" t="str">
        <f t="shared" si="6"/>
        <v/>
      </c>
      <c r="F22" s="79"/>
      <c r="G22" s="79"/>
      <c r="H22" s="58">
        <v>0</v>
      </c>
      <c r="I22" s="58">
        <v>0</v>
      </c>
      <c r="J22" s="58">
        <v>0</v>
      </c>
      <c r="K22" s="58">
        <v>0</v>
      </c>
      <c r="L22" s="58">
        <v>0</v>
      </c>
      <c r="M22" s="58">
        <v>0</v>
      </c>
      <c r="N22" s="58">
        <v>0</v>
      </c>
      <c r="O22" s="53" t="str">
        <f t="shared" si="7"/>
        <v>December</v>
      </c>
      <c r="P22" s="53">
        <f t="shared" si="8"/>
        <v>1</v>
      </c>
      <c r="Q22" s="105">
        <f t="shared" si="9"/>
        <v>36526</v>
      </c>
      <c r="R22" s="107">
        <f t="shared" si="10"/>
        <v>0.625</v>
      </c>
      <c r="S22" s="175">
        <f t="shared" si="1"/>
        <v>0</v>
      </c>
      <c r="T22" s="175">
        <f t="shared" si="2"/>
        <v>0</v>
      </c>
      <c r="U22" s="54">
        <f t="shared" si="3"/>
        <v>0</v>
      </c>
      <c r="V22" s="54">
        <f t="shared" si="4"/>
        <v>0</v>
      </c>
      <c r="W22" s="175">
        <f t="shared" si="5"/>
        <v>0</v>
      </c>
      <c r="X22" s="176"/>
      <c r="AC22" s="54"/>
      <c r="AD22" s="54"/>
      <c r="AE22" s="54"/>
      <c r="AF22" s="54"/>
    </row>
    <row r="23" spans="1:32" s="34" customFormat="1" ht="13.15" x14ac:dyDescent="0.4">
      <c r="A23" s="158">
        <f>COUNT($A$17:A22)+1</f>
        <v>7</v>
      </c>
      <c r="B23" s="85" t="str">
        <f t="shared" si="0"/>
        <v xml:space="preserve"> </v>
      </c>
      <c r="C23" s="35" t="s">
        <v>106</v>
      </c>
      <c r="D23" s="78"/>
      <c r="E23" s="85" t="str">
        <f t="shared" si="6"/>
        <v/>
      </c>
      <c r="F23" s="79"/>
      <c r="G23" s="79"/>
      <c r="H23" s="58">
        <v>0</v>
      </c>
      <c r="I23" s="58">
        <v>0</v>
      </c>
      <c r="J23" s="58">
        <v>0</v>
      </c>
      <c r="K23" s="58">
        <v>0</v>
      </c>
      <c r="L23" s="58">
        <v>0</v>
      </c>
      <c r="M23" s="58">
        <v>0</v>
      </c>
      <c r="N23" s="58">
        <v>0</v>
      </c>
      <c r="O23" s="53" t="str">
        <f t="shared" si="7"/>
        <v>December</v>
      </c>
      <c r="P23" s="53">
        <f t="shared" si="8"/>
        <v>1</v>
      </c>
      <c r="Q23" s="105">
        <f t="shared" si="9"/>
        <v>36526</v>
      </c>
      <c r="R23" s="107">
        <f t="shared" si="10"/>
        <v>0.625</v>
      </c>
      <c r="S23" s="175">
        <f t="shared" si="1"/>
        <v>0</v>
      </c>
      <c r="T23" s="175">
        <f t="shared" si="2"/>
        <v>0</v>
      </c>
      <c r="U23" s="54">
        <f t="shared" si="3"/>
        <v>0</v>
      </c>
      <c r="V23" s="54">
        <f t="shared" si="4"/>
        <v>0</v>
      </c>
      <c r="W23" s="175">
        <f t="shared" si="5"/>
        <v>0</v>
      </c>
      <c r="X23" s="176"/>
      <c r="AC23" s="54"/>
      <c r="AD23" s="54"/>
      <c r="AE23" s="54"/>
      <c r="AF23" s="54"/>
    </row>
    <row r="24" spans="1:32" s="34" customFormat="1" ht="13.15" x14ac:dyDescent="0.4">
      <c r="A24" s="158">
        <f>COUNT($A$17:A23)+1</f>
        <v>8</v>
      </c>
      <c r="B24" s="85" t="str">
        <f t="shared" si="0"/>
        <v xml:space="preserve"> </v>
      </c>
      <c r="C24" s="103" t="s">
        <v>106</v>
      </c>
      <c r="D24" s="82"/>
      <c r="E24" s="85" t="str">
        <f t="shared" si="6"/>
        <v/>
      </c>
      <c r="F24" s="83"/>
      <c r="G24" s="83"/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53" t="str">
        <f t="shared" si="7"/>
        <v>December</v>
      </c>
      <c r="P24" s="53">
        <f t="shared" si="8"/>
        <v>1</v>
      </c>
      <c r="Q24" s="105">
        <f t="shared" si="9"/>
        <v>36526</v>
      </c>
      <c r="R24" s="107">
        <f t="shared" si="10"/>
        <v>0.625</v>
      </c>
      <c r="S24" s="159">
        <f t="shared" si="1"/>
        <v>0</v>
      </c>
      <c r="T24" s="159">
        <f t="shared" si="2"/>
        <v>0</v>
      </c>
      <c r="U24" s="60">
        <f t="shared" si="3"/>
        <v>0</v>
      </c>
      <c r="V24" s="60">
        <f t="shared" si="4"/>
        <v>0</v>
      </c>
      <c r="W24" s="159">
        <f t="shared" si="5"/>
        <v>0</v>
      </c>
      <c r="X24" s="176"/>
      <c r="AC24" s="54"/>
      <c r="AD24" s="54"/>
      <c r="AE24" s="54"/>
      <c r="AF24" s="54"/>
    </row>
    <row r="25" spans="1:32" ht="15.4" x14ac:dyDescent="0.4">
      <c r="A25" s="153"/>
      <c r="B25" s="26"/>
      <c r="C25" s="26"/>
      <c r="D25" s="26"/>
      <c r="E25" s="26"/>
      <c r="F25" s="26"/>
      <c r="G25" s="26"/>
      <c r="H25" s="161"/>
      <c r="I25" s="162" t="str">
        <f>IF(T25+S25+U25+V25&gt;0,"WARNING:","")</f>
        <v/>
      </c>
      <c r="J25" s="163" t="str">
        <f>IF(S25&gt;0,"Values above must be 1's or 0's",IF(T25&gt;0,"NE and Ontario are not participating. These must be 0's",IF(U25&gt;0,"Choose one location only",IF(V25&gt;0,"You must select a location",""))))</f>
        <v/>
      </c>
      <c r="K25" s="164"/>
      <c r="L25" s="164"/>
      <c r="M25" s="164"/>
      <c r="N25" s="165"/>
      <c r="O25" s="165"/>
      <c r="P25" s="165"/>
      <c r="Q25" s="165"/>
      <c r="R25" s="165"/>
      <c r="S25" s="9">
        <f>SUM(S17:S24)</f>
        <v>0</v>
      </c>
      <c r="T25" s="9">
        <f>SUM(T17:T24)</f>
        <v>0</v>
      </c>
      <c r="U25" s="9">
        <f>SUM(U17:U24)</f>
        <v>0</v>
      </c>
      <c r="V25" s="9">
        <f>SUM(V17:V24)</f>
        <v>0</v>
      </c>
      <c r="W25" s="9">
        <f>SUM(W17:W24)</f>
        <v>0</v>
      </c>
      <c r="X25" s="152"/>
      <c r="AC25" s="54"/>
      <c r="AD25" s="54"/>
      <c r="AE25" s="54"/>
      <c r="AF25" s="54"/>
    </row>
    <row r="26" spans="1:32" ht="13.15" x14ac:dyDescent="0.4">
      <c r="A26" s="166" t="s">
        <v>32</v>
      </c>
      <c r="B26" s="26"/>
      <c r="C26" s="26"/>
      <c r="D26" s="26"/>
      <c r="E26" s="26"/>
      <c r="F26" s="26"/>
      <c r="G26" s="9"/>
      <c r="H26" s="9"/>
      <c r="I26" s="26"/>
      <c r="J26" s="167"/>
      <c r="K26" s="167"/>
      <c r="L26" s="167"/>
      <c r="M26" s="167"/>
      <c r="N26" s="167"/>
      <c r="O26" s="167"/>
      <c r="P26" s="167"/>
      <c r="Q26" s="167"/>
      <c r="R26" s="167"/>
      <c r="S26" s="9"/>
      <c r="T26" s="9"/>
      <c r="U26" s="9"/>
      <c r="V26" s="9"/>
      <c r="W26" s="9"/>
      <c r="X26" s="152"/>
      <c r="AC26" s="54"/>
      <c r="AD26" s="54"/>
      <c r="AE26" s="54"/>
      <c r="AF26" s="54"/>
    </row>
    <row r="27" spans="1:32" ht="13.15" x14ac:dyDescent="0.4">
      <c r="A27" s="168" t="s">
        <v>45</v>
      </c>
      <c r="B27" s="26"/>
      <c r="C27" s="26"/>
      <c r="D27" s="26"/>
      <c r="E27" s="26"/>
      <c r="F27" s="26"/>
      <c r="G27" s="9"/>
      <c r="H27" s="9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9"/>
      <c r="T27" s="9"/>
      <c r="U27" s="9"/>
      <c r="V27" s="9"/>
      <c r="W27" s="9"/>
      <c r="X27" s="152"/>
      <c r="AC27" s="54"/>
      <c r="AD27" s="54"/>
      <c r="AE27" s="54"/>
      <c r="AF27" s="54"/>
    </row>
    <row r="28" spans="1:32" ht="13.15" x14ac:dyDescent="0.4">
      <c r="A28" s="169"/>
      <c r="B28" s="28" t="s">
        <v>73</v>
      </c>
      <c r="C28" s="28"/>
      <c r="D28" s="26"/>
      <c r="E28" s="26"/>
      <c r="F28" s="26"/>
      <c r="G28" s="9"/>
      <c r="H28" s="9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9"/>
      <c r="T28" s="9"/>
      <c r="U28" s="9"/>
      <c r="V28" s="9"/>
      <c r="W28" s="9"/>
      <c r="X28" s="152"/>
      <c r="AC28" s="54"/>
      <c r="AD28" s="54"/>
      <c r="AE28" s="54"/>
      <c r="AF28" s="54"/>
    </row>
    <row r="29" spans="1:32" ht="13.15" x14ac:dyDescent="0.4">
      <c r="A29" s="170"/>
      <c r="B29" s="171" t="s">
        <v>75</v>
      </c>
      <c r="C29" s="171"/>
      <c r="D29" s="172"/>
      <c r="E29" s="172"/>
      <c r="F29" s="172"/>
      <c r="G29" s="9"/>
      <c r="H29" s="9"/>
      <c r="I29" s="172"/>
      <c r="J29" s="172"/>
      <c r="K29" s="172"/>
      <c r="L29" s="172"/>
      <c r="M29" s="172"/>
      <c r="N29" s="172"/>
      <c r="O29" s="172"/>
      <c r="P29" s="172"/>
      <c r="Q29" s="172"/>
      <c r="R29" s="172"/>
      <c r="S29" s="54"/>
      <c r="T29" s="54"/>
      <c r="U29" s="54"/>
      <c r="V29" s="54"/>
      <c r="W29" s="54"/>
      <c r="X29" s="152"/>
      <c r="AC29" s="54"/>
      <c r="AD29" s="54"/>
      <c r="AE29" s="54"/>
      <c r="AF29" s="54"/>
    </row>
    <row r="30" spans="1:32" ht="13.15" hidden="1" x14ac:dyDescent="0.4">
      <c r="A30" s="153"/>
      <c r="B30" s="26"/>
      <c r="C30" s="26"/>
      <c r="D30" s="26" t="s">
        <v>15</v>
      </c>
      <c r="E30" s="26"/>
      <c r="F30" s="22"/>
      <c r="G30" s="22"/>
      <c r="H30" s="22"/>
      <c r="I30" s="22"/>
      <c r="J30" s="26"/>
      <c r="K30" s="26" t="s">
        <v>34</v>
      </c>
      <c r="L30" s="26"/>
      <c r="M30" s="22"/>
      <c r="N30" s="22"/>
      <c r="O30" s="26"/>
      <c r="P30" s="26"/>
      <c r="Q30" s="26"/>
      <c r="R30" s="26"/>
      <c r="S30" s="9"/>
      <c r="T30" s="9"/>
      <c r="U30" s="9"/>
      <c r="V30" s="9"/>
      <c r="W30" s="9"/>
      <c r="X30" s="152"/>
      <c r="AC30" s="54"/>
      <c r="AD30" s="54"/>
      <c r="AE30" s="54"/>
      <c r="AF30" s="54"/>
    </row>
    <row r="31" spans="1:32" ht="13.15" x14ac:dyDescent="0.4">
      <c r="A31" s="153"/>
      <c r="B31" s="26"/>
      <c r="C31" s="26"/>
      <c r="D31" s="26"/>
      <c r="E31" s="26"/>
      <c r="F31" s="26"/>
      <c r="G31" s="26"/>
      <c r="H31" s="26"/>
      <c r="I31" s="26"/>
      <c r="J31" s="26"/>
      <c r="K31" s="173"/>
      <c r="L31" s="26"/>
      <c r="M31" s="26"/>
      <c r="N31" s="26"/>
      <c r="O31" s="26"/>
      <c r="P31" s="26"/>
      <c r="Q31" s="26"/>
      <c r="R31" s="26"/>
      <c r="S31" s="9"/>
      <c r="T31" s="9"/>
      <c r="U31" s="9"/>
      <c r="V31" s="9"/>
      <c r="W31" s="9"/>
      <c r="X31" s="152"/>
      <c r="AC31" s="54"/>
      <c r="AD31" s="54"/>
      <c r="AE31" s="54"/>
      <c r="AF31" s="54"/>
    </row>
    <row r="32" spans="1:32" ht="13.5" thickBot="1" x14ac:dyDescent="0.45">
      <c r="A32" s="153"/>
      <c r="B32" s="26" t="s">
        <v>49</v>
      </c>
      <c r="C32" s="55" t="str">
        <f>+'Nov OPP'!C32</f>
        <v>Your Name Goes Here</v>
      </c>
      <c r="D32" s="55"/>
      <c r="E32" s="55"/>
      <c r="I32" s="26"/>
      <c r="J32" s="26" t="s">
        <v>34</v>
      </c>
      <c r="K32" s="26"/>
      <c r="L32" s="22" t="str">
        <f>+'Nov OPP'!L32</f>
        <v>Your Phone # Here</v>
      </c>
      <c r="M32" s="22"/>
      <c r="N32" s="22"/>
      <c r="O32" s="26"/>
      <c r="P32" s="26"/>
      <c r="Q32" s="26"/>
      <c r="R32" s="26"/>
      <c r="S32" s="9"/>
      <c r="T32" s="9"/>
      <c r="U32" s="9"/>
      <c r="V32" s="9"/>
      <c r="W32" s="9"/>
      <c r="X32" s="152"/>
      <c r="AC32" s="54"/>
      <c r="AD32" s="54"/>
      <c r="AE32" s="54"/>
      <c r="AF32" s="54"/>
    </row>
    <row r="33" spans="1:32" ht="13.15" x14ac:dyDescent="0.4">
      <c r="A33" s="153"/>
      <c r="B33" s="26"/>
      <c r="C33" s="26"/>
      <c r="D33" s="26"/>
      <c r="E33" s="26"/>
      <c r="F33" s="192" t="s">
        <v>786</v>
      </c>
      <c r="G33" s="192"/>
      <c r="H33" s="192"/>
      <c r="I33" s="192"/>
      <c r="J33" s="192"/>
      <c r="K33" s="192"/>
      <c r="L33" s="192"/>
      <c r="M33" s="192"/>
      <c r="N33" s="192"/>
      <c r="O33" s="192"/>
      <c r="P33" s="192"/>
      <c r="Q33" s="192"/>
      <c r="R33" s="192"/>
      <c r="S33" s="192"/>
      <c r="T33" s="192"/>
      <c r="U33" s="192"/>
      <c r="V33" s="192"/>
      <c r="W33" s="192"/>
      <c r="X33" s="193"/>
      <c r="AC33" s="54"/>
      <c r="AD33" s="54"/>
      <c r="AE33" s="54"/>
      <c r="AF33" s="54"/>
    </row>
    <row r="34" spans="1:32" ht="13.15" x14ac:dyDescent="0.4">
      <c r="A34" s="153"/>
      <c r="B34" s="26" t="s">
        <v>17</v>
      </c>
      <c r="C34" s="22" t="str">
        <f>+'Nov OPP'!C34</f>
        <v>Company</v>
      </c>
      <c r="D34" s="22"/>
      <c r="E34" s="22"/>
      <c r="F34" s="192"/>
      <c r="G34" s="192"/>
      <c r="H34" s="192"/>
      <c r="I34" s="192"/>
      <c r="J34" s="192"/>
      <c r="K34" s="192"/>
      <c r="L34" s="192"/>
      <c r="M34" s="192"/>
      <c r="N34" s="192"/>
      <c r="O34" s="192"/>
      <c r="P34" s="192"/>
      <c r="Q34" s="192"/>
      <c r="R34" s="192"/>
      <c r="S34" s="192"/>
      <c r="T34" s="192"/>
      <c r="U34" s="192"/>
      <c r="V34" s="192"/>
      <c r="W34" s="192"/>
      <c r="X34" s="193"/>
      <c r="AC34" s="54"/>
      <c r="AD34" s="54"/>
      <c r="AE34" s="54"/>
      <c r="AF34" s="54"/>
    </row>
    <row r="35" spans="1:32" ht="13.15" x14ac:dyDescent="0.4">
      <c r="A35" s="153"/>
      <c r="B35" s="26" t="s">
        <v>16</v>
      </c>
      <c r="C35" s="22" t="str">
        <f>+'Nov OPP'!C35</f>
        <v>Address 1</v>
      </c>
      <c r="D35" s="22"/>
      <c r="E35" s="2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3"/>
      <c r="AC35" s="54"/>
      <c r="AD35" s="54"/>
      <c r="AE35" s="54"/>
      <c r="AF35" s="54"/>
    </row>
    <row r="36" spans="1:32" ht="13.15" x14ac:dyDescent="0.4">
      <c r="A36" s="153"/>
      <c r="B36" s="26"/>
      <c r="C36" s="22" t="str">
        <f>+'Nov OPP'!C36</f>
        <v>Address 2</v>
      </c>
      <c r="D36" s="25"/>
      <c r="E36" s="25"/>
      <c r="F36" s="192"/>
      <c r="G36" s="192"/>
      <c r="H36" s="192"/>
      <c r="I36" s="192"/>
      <c r="J36" s="192"/>
      <c r="K36" s="192"/>
      <c r="L36" s="192"/>
      <c r="M36" s="192"/>
      <c r="N36" s="192"/>
      <c r="O36" s="192"/>
      <c r="P36" s="192"/>
      <c r="Q36" s="192"/>
      <c r="R36" s="192"/>
      <c r="S36" s="192"/>
      <c r="T36" s="192"/>
      <c r="U36" s="192"/>
      <c r="V36" s="192"/>
      <c r="W36" s="192"/>
      <c r="X36" s="193"/>
      <c r="AC36" s="54"/>
      <c r="AD36" s="54"/>
      <c r="AE36" s="54"/>
      <c r="AF36" s="54"/>
    </row>
    <row r="37" spans="1:32" ht="13.15" x14ac:dyDescent="0.4">
      <c r="A37" s="153"/>
      <c r="B37" s="26"/>
      <c r="C37" s="22" t="str">
        <f>+'Nov OPP'!C37</f>
        <v>Address 3</v>
      </c>
      <c r="D37" s="25"/>
      <c r="E37" s="25"/>
      <c r="F37" s="192"/>
      <c r="G37" s="192"/>
      <c r="H37" s="192"/>
      <c r="I37" s="192"/>
      <c r="J37" s="192"/>
      <c r="K37" s="192"/>
      <c r="L37" s="192"/>
      <c r="M37" s="192"/>
      <c r="N37" s="192"/>
      <c r="O37" s="192"/>
      <c r="P37" s="192"/>
      <c r="Q37" s="192"/>
      <c r="R37" s="192"/>
      <c r="S37" s="192"/>
      <c r="T37" s="192"/>
      <c r="U37" s="192"/>
      <c r="V37" s="192"/>
      <c r="W37" s="192"/>
      <c r="X37" s="193"/>
      <c r="AC37" s="54"/>
      <c r="AD37" s="54"/>
      <c r="AE37" s="54"/>
      <c r="AF37" s="54"/>
    </row>
    <row r="38" spans="1:32" ht="13.15" x14ac:dyDescent="0.4">
      <c r="A38" s="153"/>
      <c r="B38" s="26"/>
      <c r="C38" s="25" t="str">
        <f>+'Nov OPP'!C38</f>
        <v>City, State Zip</v>
      </c>
      <c r="D38" s="25"/>
      <c r="E38" s="25"/>
      <c r="F38" s="192"/>
      <c r="G38" s="192"/>
      <c r="H38" s="192"/>
      <c r="I38" s="192"/>
      <c r="J38" s="192"/>
      <c r="K38" s="192"/>
      <c r="L38" s="192"/>
      <c r="M38" s="192"/>
      <c r="N38" s="192"/>
      <c r="O38" s="192"/>
      <c r="P38" s="192"/>
      <c r="Q38" s="192"/>
      <c r="R38" s="192"/>
      <c r="S38" s="192"/>
      <c r="T38" s="192"/>
      <c r="U38" s="192"/>
      <c r="V38" s="192"/>
      <c r="W38" s="192"/>
      <c r="X38" s="193"/>
      <c r="AC38" s="54"/>
      <c r="AD38" s="54"/>
      <c r="AE38" s="54"/>
      <c r="AF38" s="54"/>
    </row>
    <row r="39" spans="1:32" ht="13.15" x14ac:dyDescent="0.4">
      <c r="A39" s="153"/>
      <c r="B39" s="26"/>
      <c r="C39" s="26"/>
      <c r="D39" s="26"/>
      <c r="E39" s="26"/>
      <c r="F39" s="192"/>
      <c r="G39" s="192"/>
      <c r="H39" s="192"/>
      <c r="I39" s="192"/>
      <c r="J39" s="192"/>
      <c r="K39" s="192"/>
      <c r="L39" s="192"/>
      <c r="M39" s="192"/>
      <c r="N39" s="192"/>
      <c r="O39" s="192"/>
      <c r="P39" s="192"/>
      <c r="Q39" s="192"/>
      <c r="R39" s="192"/>
      <c r="S39" s="192"/>
      <c r="T39" s="192"/>
      <c r="U39" s="192"/>
      <c r="V39" s="192"/>
      <c r="W39" s="192"/>
      <c r="X39" s="193"/>
      <c r="AC39" s="54"/>
      <c r="AD39" s="54"/>
      <c r="AE39" s="54"/>
      <c r="AF39" s="54"/>
    </row>
    <row r="40" spans="1:32" ht="13.15" x14ac:dyDescent="0.4">
      <c r="A40" s="153"/>
      <c r="B40" s="26" t="s">
        <v>19</v>
      </c>
      <c r="C40" s="22" t="str">
        <f>+'Nov OPP'!C40</f>
        <v>your @ address here</v>
      </c>
      <c r="D40" s="22"/>
      <c r="E40" s="22"/>
      <c r="F40" s="192"/>
      <c r="G40" s="192"/>
      <c r="H40" s="192"/>
      <c r="I40" s="192"/>
      <c r="J40" s="192"/>
      <c r="K40" s="192"/>
      <c r="L40" s="192"/>
      <c r="M40" s="192"/>
      <c r="N40" s="192"/>
      <c r="O40" s="192"/>
      <c r="P40" s="192"/>
      <c r="Q40" s="192"/>
      <c r="R40" s="192"/>
      <c r="S40" s="192"/>
      <c r="T40" s="192"/>
      <c r="U40" s="192"/>
      <c r="V40" s="192"/>
      <c r="W40" s="192"/>
      <c r="X40" s="193"/>
      <c r="AC40" s="54"/>
      <c r="AD40" s="54"/>
      <c r="AE40" s="54"/>
      <c r="AF40" s="54"/>
    </row>
    <row r="41" spans="1:32" ht="13.15" thickBot="1" x14ac:dyDescent="0.4">
      <c r="A41" s="178"/>
      <c r="B41" s="177"/>
      <c r="C41" s="177"/>
      <c r="D41" s="177"/>
      <c r="E41" s="177"/>
      <c r="F41" s="194"/>
      <c r="G41" s="194"/>
      <c r="H41" s="194"/>
      <c r="I41" s="194"/>
      <c r="J41" s="194"/>
      <c r="K41" s="194"/>
      <c r="L41" s="194"/>
      <c r="M41" s="194"/>
      <c r="N41" s="194"/>
      <c r="O41" s="194"/>
      <c r="P41" s="194"/>
      <c r="Q41" s="194"/>
      <c r="R41" s="194"/>
      <c r="S41" s="194"/>
      <c r="T41" s="194"/>
      <c r="U41" s="194"/>
      <c r="V41" s="194"/>
      <c r="W41" s="194"/>
      <c r="X41" s="195"/>
      <c r="Y41" s="54"/>
      <c r="Z41" s="54"/>
      <c r="AA41" s="54"/>
      <c r="AB41" s="54"/>
      <c r="AC41" s="54"/>
      <c r="AD41" s="54"/>
      <c r="AE41" s="54"/>
      <c r="AF41" s="54"/>
    </row>
    <row r="42" spans="1:32" x14ac:dyDescent="0.35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</row>
    <row r="43" spans="1:32" x14ac:dyDescent="0.35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</row>
    <row r="44" spans="1:32" x14ac:dyDescent="0.3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</row>
    <row r="45" spans="1:32" x14ac:dyDescent="0.3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</row>
    <row r="46" spans="1:32" x14ac:dyDescent="0.35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</row>
    <row r="47" spans="1:32" x14ac:dyDescent="0.35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</row>
    <row r="48" spans="1:32" x14ac:dyDescent="0.35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</row>
    <row r="49" spans="1:32" x14ac:dyDescent="0.35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</row>
    <row r="50" spans="1:32" x14ac:dyDescent="0.35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</row>
    <row r="51" spans="1:32" x14ac:dyDescent="0.35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</row>
    <row r="52" spans="1:32" x14ac:dyDescent="0.35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</row>
    <row r="53" spans="1:32" x14ac:dyDescent="0.35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</row>
    <row r="54" spans="1:32" x14ac:dyDescent="0.35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</row>
    <row r="55" spans="1:32" x14ac:dyDescent="0.35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</row>
    <row r="56" spans="1:32" x14ac:dyDescent="0.35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</row>
    <row r="57" spans="1:32" x14ac:dyDescent="0.35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</row>
    <row r="58" spans="1:32" x14ac:dyDescent="0.35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</row>
    <row r="59" spans="1:32" x14ac:dyDescent="0.35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</row>
    <row r="60" spans="1:32" x14ac:dyDescent="0.35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</row>
    <row r="61" spans="1:32" x14ac:dyDescent="0.35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</row>
    <row r="62" spans="1:32" x14ac:dyDescent="0.35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</row>
    <row r="63" spans="1:32" x14ac:dyDescent="0.35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</row>
    <row r="64" spans="1:32" x14ac:dyDescent="0.35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</row>
    <row r="65" spans="1:32" x14ac:dyDescent="0.35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</row>
    <row r="66" spans="1:32" x14ac:dyDescent="0.35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</row>
    <row r="67" spans="1:32" x14ac:dyDescent="0.35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</row>
    <row r="68" spans="1:32" x14ac:dyDescent="0.35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</row>
    <row r="69" spans="1:32" x14ac:dyDescent="0.35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</row>
    <row r="70" spans="1:32" x14ac:dyDescent="0.35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</row>
    <row r="71" spans="1:32" x14ac:dyDescent="0.35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</row>
    <row r="72" spans="1:32" x14ac:dyDescent="0.35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</row>
    <row r="73" spans="1:32" x14ac:dyDescent="0.35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</row>
    <row r="74" spans="1:32" x14ac:dyDescent="0.35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</row>
    <row r="75" spans="1:32" x14ac:dyDescent="0.35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</row>
    <row r="76" spans="1:32" x14ac:dyDescent="0.35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</row>
    <row r="77" spans="1:32" x14ac:dyDescent="0.35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</row>
    <row r="78" spans="1:32" x14ac:dyDescent="0.35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</row>
    <row r="79" spans="1:32" hidden="1" x14ac:dyDescent="0.35">
      <c r="A79" t="s">
        <v>108</v>
      </c>
      <c r="B79" s="54" t="s">
        <v>275</v>
      </c>
      <c r="C79" s="54" t="s">
        <v>289</v>
      </c>
      <c r="D79" s="54" t="s">
        <v>40</v>
      </c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</row>
    <row r="80" spans="1:32" hidden="1" x14ac:dyDescent="0.35">
      <c r="A80" t="s">
        <v>109</v>
      </c>
      <c r="B80" s="54" t="s">
        <v>276</v>
      </c>
      <c r="C80" s="54">
        <v>1</v>
      </c>
      <c r="D80" s="54" t="s">
        <v>808</v>
      </c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</row>
    <row r="81" spans="1:32" hidden="1" x14ac:dyDescent="0.35">
      <c r="A81" t="s">
        <v>110</v>
      </c>
      <c r="B81" s="54" t="s">
        <v>106</v>
      </c>
      <c r="C81" s="54">
        <v>2</v>
      </c>
      <c r="D81" s="54" t="s">
        <v>196</v>
      </c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</row>
    <row r="82" spans="1:32" hidden="1" x14ac:dyDescent="0.35">
      <c r="A82" t="s">
        <v>111</v>
      </c>
      <c r="B82" s="54"/>
      <c r="C82" s="54">
        <v>3</v>
      </c>
      <c r="D82" s="54" t="s">
        <v>184</v>
      </c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</row>
    <row r="83" spans="1:32" hidden="1" x14ac:dyDescent="0.35">
      <c r="A83" t="s">
        <v>112</v>
      </c>
      <c r="B83" s="54"/>
      <c r="C83" s="54">
        <v>4</v>
      </c>
      <c r="D83" s="54" t="s">
        <v>797</v>
      </c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</row>
    <row r="84" spans="1:32" hidden="1" x14ac:dyDescent="0.35">
      <c r="A84" t="s">
        <v>113</v>
      </c>
      <c r="B84" s="54"/>
      <c r="C84" s="54">
        <v>5</v>
      </c>
      <c r="D84" s="54" t="s">
        <v>194</v>
      </c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</row>
    <row r="85" spans="1:32" hidden="1" x14ac:dyDescent="0.35">
      <c r="A85" t="s">
        <v>114</v>
      </c>
      <c r="B85" s="54"/>
      <c r="C85" s="54">
        <v>6</v>
      </c>
      <c r="D85" s="54" t="s">
        <v>182</v>
      </c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</row>
    <row r="86" spans="1:32" hidden="1" x14ac:dyDescent="0.35">
      <c r="A86" t="s">
        <v>115</v>
      </c>
      <c r="B86" s="54"/>
      <c r="C86" s="54">
        <v>7</v>
      </c>
      <c r="D86" s="54" t="s">
        <v>795</v>
      </c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</row>
    <row r="87" spans="1:32" hidden="1" x14ac:dyDescent="0.35">
      <c r="A87" t="s">
        <v>116</v>
      </c>
      <c r="B87" s="54"/>
      <c r="C87" s="54">
        <v>8</v>
      </c>
      <c r="D87" s="54" t="s">
        <v>193</v>
      </c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</row>
    <row r="88" spans="1:32" hidden="1" x14ac:dyDescent="0.35">
      <c r="A88" t="s">
        <v>117</v>
      </c>
      <c r="B88" s="54"/>
      <c r="C88" s="54">
        <v>9</v>
      </c>
      <c r="D88" s="54" t="s">
        <v>181</v>
      </c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</row>
    <row r="89" spans="1:32" hidden="1" x14ac:dyDescent="0.35">
      <c r="A89" t="s">
        <v>118</v>
      </c>
      <c r="B89" s="54"/>
      <c r="C89" s="54">
        <v>10</v>
      </c>
      <c r="D89" s="54" t="s">
        <v>794</v>
      </c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</row>
    <row r="90" spans="1:32" hidden="1" x14ac:dyDescent="0.35">
      <c r="A90" t="s">
        <v>119</v>
      </c>
      <c r="B90" s="54"/>
      <c r="C90" s="54">
        <v>11</v>
      </c>
      <c r="D90" s="54" t="s">
        <v>189</v>
      </c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</row>
    <row r="91" spans="1:32" hidden="1" x14ac:dyDescent="0.35">
      <c r="A91" t="s">
        <v>120</v>
      </c>
      <c r="B91" s="54"/>
      <c r="C91" s="54">
        <v>12</v>
      </c>
      <c r="D91" s="54" t="s">
        <v>177</v>
      </c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</row>
    <row r="92" spans="1:32" hidden="1" x14ac:dyDescent="0.35">
      <c r="A92" t="s">
        <v>121</v>
      </c>
      <c r="B92" s="54"/>
      <c r="C92" s="54">
        <v>13</v>
      </c>
      <c r="D92" s="54" t="s">
        <v>790</v>
      </c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</row>
    <row r="93" spans="1:32" hidden="1" x14ac:dyDescent="0.35">
      <c r="A93" t="s">
        <v>122</v>
      </c>
      <c r="B93" s="54"/>
      <c r="C93" s="54">
        <v>14</v>
      </c>
      <c r="D93" s="54" t="s">
        <v>199</v>
      </c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</row>
    <row r="94" spans="1:32" hidden="1" x14ac:dyDescent="0.35">
      <c r="A94" t="s">
        <v>123</v>
      </c>
      <c r="B94" s="54"/>
      <c r="C94" s="54">
        <v>15</v>
      </c>
      <c r="D94" s="54" t="s">
        <v>187</v>
      </c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</row>
    <row r="95" spans="1:32" hidden="1" x14ac:dyDescent="0.35">
      <c r="A95" t="s">
        <v>124</v>
      </c>
      <c r="B95" s="54"/>
      <c r="C95" s="54">
        <v>16</v>
      </c>
      <c r="D95" s="54" t="s">
        <v>800</v>
      </c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</row>
    <row r="96" spans="1:32" hidden="1" x14ac:dyDescent="0.35">
      <c r="A96" t="s">
        <v>125</v>
      </c>
      <c r="B96" s="54"/>
      <c r="C96" s="54">
        <v>17</v>
      </c>
      <c r="D96" s="54" t="s">
        <v>198</v>
      </c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</row>
    <row r="97" spans="1:32" hidden="1" x14ac:dyDescent="0.35">
      <c r="A97" t="s">
        <v>126</v>
      </c>
      <c r="B97" s="54"/>
      <c r="C97" s="54">
        <v>18</v>
      </c>
      <c r="D97" s="54" t="s">
        <v>186</v>
      </c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</row>
    <row r="98" spans="1:32" hidden="1" x14ac:dyDescent="0.35">
      <c r="A98" t="s">
        <v>127</v>
      </c>
      <c r="B98" s="54"/>
      <c r="C98" s="54">
        <v>19</v>
      </c>
      <c r="D98" s="54" t="s">
        <v>799</v>
      </c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</row>
    <row r="99" spans="1:32" hidden="1" x14ac:dyDescent="0.35">
      <c r="A99" t="s">
        <v>128</v>
      </c>
      <c r="B99" s="54"/>
      <c r="C99" s="54">
        <v>20</v>
      </c>
      <c r="D99" s="54" t="s">
        <v>809</v>
      </c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</row>
    <row r="100" spans="1:32" hidden="1" x14ac:dyDescent="0.35">
      <c r="A100" t="s">
        <v>129</v>
      </c>
      <c r="B100" s="54"/>
      <c r="C100" s="54">
        <v>21</v>
      </c>
      <c r="D100" s="54" t="s">
        <v>197</v>
      </c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</row>
    <row r="101" spans="1:32" hidden="1" x14ac:dyDescent="0.35">
      <c r="A101" t="s">
        <v>130</v>
      </c>
      <c r="B101" s="54"/>
      <c r="C101" s="54">
        <v>22</v>
      </c>
      <c r="D101" s="54" t="s">
        <v>185</v>
      </c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</row>
    <row r="102" spans="1:32" hidden="1" x14ac:dyDescent="0.35">
      <c r="A102" t="s">
        <v>131</v>
      </c>
      <c r="B102" s="54"/>
      <c r="C102" s="54">
        <v>23</v>
      </c>
      <c r="D102" s="54" t="s">
        <v>798</v>
      </c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</row>
    <row r="103" spans="1:32" hidden="1" x14ac:dyDescent="0.35">
      <c r="A103" t="s">
        <v>132</v>
      </c>
      <c r="B103" s="54"/>
      <c r="C103" s="54">
        <v>24</v>
      </c>
      <c r="D103" s="54" t="s">
        <v>190</v>
      </c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4"/>
    </row>
    <row r="104" spans="1:32" hidden="1" x14ac:dyDescent="0.35">
      <c r="A104" t="s">
        <v>133</v>
      </c>
      <c r="B104" s="54"/>
      <c r="C104" s="54">
        <v>25</v>
      </c>
      <c r="D104" s="54" t="s">
        <v>178</v>
      </c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</row>
    <row r="105" spans="1:32" hidden="1" x14ac:dyDescent="0.35">
      <c r="A105" t="s">
        <v>134</v>
      </c>
      <c r="B105" s="54"/>
      <c r="C105" s="54">
        <v>26</v>
      </c>
      <c r="D105" s="54" t="s">
        <v>791</v>
      </c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</row>
    <row r="106" spans="1:32" hidden="1" x14ac:dyDescent="0.35">
      <c r="A106" t="s">
        <v>135</v>
      </c>
      <c r="B106" s="54"/>
      <c r="C106" s="54">
        <v>27</v>
      </c>
      <c r="D106" s="54" t="s">
        <v>192</v>
      </c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</row>
    <row r="107" spans="1:32" hidden="1" x14ac:dyDescent="0.35">
      <c r="A107" t="s">
        <v>136</v>
      </c>
      <c r="B107" s="54"/>
      <c r="C107" s="54">
        <v>28</v>
      </c>
      <c r="D107" s="54" t="s">
        <v>180</v>
      </c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  <c r="AF107" s="54"/>
    </row>
    <row r="108" spans="1:32" hidden="1" x14ac:dyDescent="0.35">
      <c r="A108" t="s">
        <v>137</v>
      </c>
      <c r="B108" s="54"/>
      <c r="C108" s="54">
        <v>29</v>
      </c>
      <c r="D108" s="54" t="s">
        <v>793</v>
      </c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  <c r="AF108" s="54"/>
    </row>
    <row r="109" spans="1:32" hidden="1" x14ac:dyDescent="0.35">
      <c r="A109" t="s">
        <v>138</v>
      </c>
      <c r="B109" s="54"/>
      <c r="C109" s="54">
        <v>30</v>
      </c>
      <c r="D109" s="54" t="s">
        <v>191</v>
      </c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</row>
    <row r="110" spans="1:32" hidden="1" x14ac:dyDescent="0.35">
      <c r="A110" t="s">
        <v>139</v>
      </c>
      <c r="B110" s="54"/>
      <c r="C110" s="54">
        <v>31</v>
      </c>
      <c r="D110" s="54" t="s">
        <v>179</v>
      </c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</row>
    <row r="111" spans="1:32" hidden="1" x14ac:dyDescent="0.35">
      <c r="A111" t="s">
        <v>140</v>
      </c>
      <c r="B111" s="54"/>
      <c r="C111" s="54">
        <v>32</v>
      </c>
      <c r="D111" s="54" t="s">
        <v>792</v>
      </c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</row>
    <row r="112" spans="1:32" hidden="1" x14ac:dyDescent="0.35">
      <c r="A112" t="s">
        <v>141</v>
      </c>
      <c r="B112" s="54"/>
      <c r="C112" s="54">
        <v>33</v>
      </c>
      <c r="D112" s="54" t="s">
        <v>195</v>
      </c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</row>
    <row r="113" spans="1:32" hidden="1" x14ac:dyDescent="0.35">
      <c r="A113" t="s">
        <v>142</v>
      </c>
      <c r="B113" s="54"/>
      <c r="C113" s="54">
        <v>34</v>
      </c>
      <c r="D113" s="54" t="s">
        <v>183</v>
      </c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</row>
    <row r="114" spans="1:32" hidden="1" x14ac:dyDescent="0.35">
      <c r="A114" t="s">
        <v>143</v>
      </c>
      <c r="B114" s="54"/>
      <c r="C114" s="54">
        <v>35</v>
      </c>
      <c r="D114" s="54" t="s">
        <v>796</v>
      </c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</row>
    <row r="115" spans="1:32" hidden="1" x14ac:dyDescent="0.35">
      <c r="A115" t="s">
        <v>144</v>
      </c>
      <c r="B115" s="54"/>
      <c r="C115" s="54">
        <v>36</v>
      </c>
      <c r="D115" s="54" t="s">
        <v>188</v>
      </c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  <c r="AE115" s="54"/>
      <c r="AF115" s="54"/>
    </row>
    <row r="116" spans="1:32" hidden="1" x14ac:dyDescent="0.35">
      <c r="A116" t="s">
        <v>145</v>
      </c>
      <c r="B116" s="54"/>
      <c r="C116" s="54">
        <v>37</v>
      </c>
      <c r="D116" s="54" t="s">
        <v>176</v>
      </c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  <c r="AE116" s="54"/>
      <c r="AF116" s="54"/>
    </row>
    <row r="117" spans="1:32" hidden="1" x14ac:dyDescent="0.35">
      <c r="A117" t="s">
        <v>146</v>
      </c>
      <c r="B117" s="54"/>
      <c r="C117" s="54">
        <v>38</v>
      </c>
      <c r="D117" s="54" t="s">
        <v>789</v>
      </c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  <c r="AE117" s="54"/>
      <c r="AF117" s="54"/>
    </row>
    <row r="118" spans="1:32" hidden="1" x14ac:dyDescent="0.35">
      <c r="A118" t="s">
        <v>147</v>
      </c>
      <c r="B118" s="54"/>
      <c r="C118" s="54">
        <v>101</v>
      </c>
      <c r="D118" s="54" t="s">
        <v>290</v>
      </c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  <c r="AE118" s="54"/>
      <c r="AF118" s="54"/>
    </row>
    <row r="119" spans="1:32" hidden="1" x14ac:dyDescent="0.35">
      <c r="A119" t="s">
        <v>148</v>
      </c>
      <c r="B119" s="54"/>
      <c r="C119" s="54">
        <v>102</v>
      </c>
      <c r="D119" s="54" t="s">
        <v>291</v>
      </c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  <c r="AE119" s="54"/>
      <c r="AF119" s="54"/>
    </row>
    <row r="120" spans="1:32" hidden="1" x14ac:dyDescent="0.35">
      <c r="A120" t="s">
        <v>149</v>
      </c>
      <c r="B120" s="54"/>
      <c r="C120" s="54">
        <v>103</v>
      </c>
      <c r="D120" s="54" t="s">
        <v>292</v>
      </c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</row>
    <row r="121" spans="1:32" hidden="1" x14ac:dyDescent="0.35">
      <c r="A121" t="s">
        <v>150</v>
      </c>
      <c r="B121" s="54"/>
      <c r="C121" s="54">
        <v>104</v>
      </c>
      <c r="D121" s="54" t="s">
        <v>293</v>
      </c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</row>
    <row r="122" spans="1:32" hidden="1" x14ac:dyDescent="0.35">
      <c r="A122" t="s">
        <v>151</v>
      </c>
      <c r="B122" s="54"/>
      <c r="C122" s="54">
        <v>105</v>
      </c>
      <c r="D122" s="54" t="s">
        <v>294</v>
      </c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  <c r="AE122" s="54"/>
      <c r="AF122" s="54"/>
    </row>
    <row r="123" spans="1:32" hidden="1" x14ac:dyDescent="0.35">
      <c r="A123" t="s">
        <v>152</v>
      </c>
      <c r="B123" s="54"/>
      <c r="C123" s="54">
        <v>106</v>
      </c>
      <c r="D123" s="54" t="s">
        <v>295</v>
      </c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</row>
    <row r="124" spans="1:32" hidden="1" x14ac:dyDescent="0.35">
      <c r="A124" t="s">
        <v>153</v>
      </c>
      <c r="B124" s="54"/>
      <c r="C124" s="54">
        <v>107</v>
      </c>
      <c r="D124" s="54" t="s">
        <v>296</v>
      </c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</row>
    <row r="125" spans="1:32" hidden="1" x14ac:dyDescent="0.35">
      <c r="A125" t="s">
        <v>154</v>
      </c>
      <c r="B125" s="54"/>
      <c r="C125" s="54">
        <v>108</v>
      </c>
      <c r="D125" s="54" t="s">
        <v>297</v>
      </c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</row>
    <row r="126" spans="1:32" hidden="1" x14ac:dyDescent="0.35">
      <c r="A126" t="s">
        <v>155</v>
      </c>
      <c r="B126" s="54"/>
      <c r="C126" s="54">
        <v>109</v>
      </c>
      <c r="D126" s="54" t="s">
        <v>298</v>
      </c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</row>
    <row r="127" spans="1:32" hidden="1" x14ac:dyDescent="0.35">
      <c r="A127" t="s">
        <v>156</v>
      </c>
      <c r="B127" s="54"/>
      <c r="C127" s="54">
        <v>110</v>
      </c>
      <c r="D127" s="54" t="s">
        <v>299</v>
      </c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</row>
    <row r="128" spans="1:32" hidden="1" x14ac:dyDescent="0.35">
      <c r="A128" t="s">
        <v>157</v>
      </c>
      <c r="B128" s="54"/>
      <c r="C128" s="54">
        <v>111</v>
      </c>
      <c r="D128" s="54" t="s">
        <v>300</v>
      </c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</row>
    <row r="129" spans="1:32" hidden="1" x14ac:dyDescent="0.35">
      <c r="A129" t="s">
        <v>158</v>
      </c>
      <c r="B129" s="54"/>
      <c r="C129" s="54">
        <v>201</v>
      </c>
      <c r="D129" s="54" t="s">
        <v>301</v>
      </c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</row>
    <row r="130" spans="1:32" hidden="1" x14ac:dyDescent="0.35">
      <c r="A130" t="s">
        <v>159</v>
      </c>
      <c r="B130" s="54"/>
      <c r="C130" s="54">
        <v>202</v>
      </c>
      <c r="D130" s="54" t="s">
        <v>302</v>
      </c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</row>
    <row r="131" spans="1:32" hidden="1" x14ac:dyDescent="0.35">
      <c r="A131" t="s">
        <v>160</v>
      </c>
      <c r="B131" s="54"/>
      <c r="C131" s="54">
        <v>203</v>
      </c>
      <c r="D131" s="54" t="s">
        <v>303</v>
      </c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</row>
    <row r="132" spans="1:32" hidden="1" x14ac:dyDescent="0.35">
      <c r="A132" t="s">
        <v>161</v>
      </c>
      <c r="B132" s="54"/>
      <c r="C132" s="54">
        <v>204</v>
      </c>
      <c r="D132" s="54" t="s">
        <v>304</v>
      </c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</row>
    <row r="133" spans="1:32" hidden="1" x14ac:dyDescent="0.35">
      <c r="A133" t="s">
        <v>162</v>
      </c>
      <c r="B133" s="54"/>
      <c r="C133" s="54">
        <v>205</v>
      </c>
      <c r="D133" s="54" t="s">
        <v>305</v>
      </c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</row>
    <row r="134" spans="1:32" hidden="1" x14ac:dyDescent="0.35">
      <c r="A134" t="s">
        <v>163</v>
      </c>
      <c r="B134" s="54"/>
      <c r="C134" s="54">
        <v>206</v>
      </c>
      <c r="D134" s="54" t="s">
        <v>306</v>
      </c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</row>
    <row r="135" spans="1:32" hidden="1" x14ac:dyDescent="0.35">
      <c r="A135" t="s">
        <v>164</v>
      </c>
      <c r="B135" s="54"/>
      <c r="C135" s="54">
        <v>207</v>
      </c>
      <c r="D135" s="54" t="s">
        <v>307</v>
      </c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  <c r="AE135" s="54"/>
      <c r="AF135" s="54"/>
    </row>
    <row r="136" spans="1:32" hidden="1" x14ac:dyDescent="0.35">
      <c r="A136" t="s">
        <v>165</v>
      </c>
      <c r="B136" s="54"/>
      <c r="C136" s="54">
        <v>208</v>
      </c>
      <c r="D136" s="54" t="s">
        <v>308</v>
      </c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  <c r="AE136" s="54"/>
      <c r="AF136" s="54"/>
    </row>
    <row r="137" spans="1:32" hidden="1" x14ac:dyDescent="0.35">
      <c r="A137" t="s">
        <v>166</v>
      </c>
      <c r="B137" s="54"/>
      <c r="C137" s="54">
        <v>209</v>
      </c>
      <c r="D137" s="54" t="s">
        <v>309</v>
      </c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  <c r="AE137" s="54"/>
      <c r="AF137" s="54"/>
    </row>
    <row r="138" spans="1:32" hidden="1" x14ac:dyDescent="0.35">
      <c r="A138" t="s">
        <v>167</v>
      </c>
      <c r="B138" s="54"/>
      <c r="C138" s="54">
        <v>210</v>
      </c>
      <c r="D138" s="54" t="s">
        <v>310</v>
      </c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  <c r="AE138" s="54"/>
      <c r="AF138" s="54"/>
    </row>
    <row r="139" spans="1:32" hidden="1" x14ac:dyDescent="0.35">
      <c r="A139" t="s">
        <v>168</v>
      </c>
      <c r="B139" s="54"/>
      <c r="C139" s="54">
        <v>211</v>
      </c>
      <c r="D139" s="54" t="s">
        <v>311</v>
      </c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  <c r="AC139" s="54"/>
      <c r="AD139" s="54"/>
      <c r="AE139" s="54"/>
      <c r="AF139" s="54"/>
    </row>
    <row r="140" spans="1:32" hidden="1" x14ac:dyDescent="0.35">
      <c r="A140" t="s">
        <v>169</v>
      </c>
      <c r="B140" s="54"/>
      <c r="C140" s="54">
        <v>212</v>
      </c>
      <c r="D140" s="54" t="s">
        <v>312</v>
      </c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</row>
    <row r="141" spans="1:32" hidden="1" x14ac:dyDescent="0.35">
      <c r="A141" t="s">
        <v>170</v>
      </c>
      <c r="B141" s="54"/>
      <c r="C141" s="54">
        <v>213</v>
      </c>
      <c r="D141" s="54" t="s">
        <v>313</v>
      </c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  <c r="AD141" s="54"/>
      <c r="AE141" s="54"/>
      <c r="AF141" s="54"/>
    </row>
    <row r="142" spans="1:32" hidden="1" x14ac:dyDescent="0.35">
      <c r="A142" t="s">
        <v>171</v>
      </c>
      <c r="B142" s="54"/>
      <c r="C142" s="54">
        <v>214</v>
      </c>
      <c r="D142" s="54" t="s">
        <v>314</v>
      </c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  <c r="AC142" s="54"/>
      <c r="AD142" s="54"/>
      <c r="AE142" s="54"/>
      <c r="AF142" s="54"/>
    </row>
    <row r="143" spans="1:32" hidden="1" x14ac:dyDescent="0.35">
      <c r="A143" t="s">
        <v>172</v>
      </c>
      <c r="B143" s="54"/>
      <c r="C143" s="54">
        <v>215</v>
      </c>
      <c r="D143" s="54" t="s">
        <v>315</v>
      </c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  <c r="AB143" s="54"/>
      <c r="AC143" s="54"/>
      <c r="AD143" s="54"/>
      <c r="AE143" s="54"/>
      <c r="AF143" s="54"/>
    </row>
    <row r="144" spans="1:32" hidden="1" x14ac:dyDescent="0.35">
      <c r="A144" t="s">
        <v>173</v>
      </c>
      <c r="B144" s="54"/>
      <c r="C144" s="54">
        <v>216</v>
      </c>
      <c r="D144" s="54" t="s">
        <v>316</v>
      </c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  <c r="AC144" s="54"/>
      <c r="AD144" s="54"/>
      <c r="AE144" s="54"/>
      <c r="AF144" s="54"/>
    </row>
    <row r="145" spans="1:32" hidden="1" x14ac:dyDescent="0.35">
      <c r="A145" t="s">
        <v>174</v>
      </c>
      <c r="B145" s="54"/>
      <c r="C145" s="54">
        <v>217</v>
      </c>
      <c r="D145" s="54" t="s">
        <v>317</v>
      </c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  <c r="AC145" s="54"/>
      <c r="AD145" s="54"/>
      <c r="AE145" s="54"/>
      <c r="AF145" s="54"/>
    </row>
    <row r="146" spans="1:32" hidden="1" x14ac:dyDescent="0.35">
      <c r="A146" t="s">
        <v>175</v>
      </c>
      <c r="B146" s="54"/>
      <c r="C146" s="54">
        <v>218</v>
      </c>
      <c r="D146" s="54" t="s">
        <v>318</v>
      </c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</row>
    <row r="147" spans="1:32" hidden="1" x14ac:dyDescent="0.35">
      <c r="A147" t="s">
        <v>176</v>
      </c>
      <c r="B147" s="54"/>
      <c r="C147" s="54">
        <v>219</v>
      </c>
      <c r="D147" s="54" t="s">
        <v>319</v>
      </c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  <c r="AB147" s="54"/>
      <c r="AC147" s="54"/>
      <c r="AD147" s="54"/>
      <c r="AE147" s="54"/>
      <c r="AF147" s="54"/>
    </row>
    <row r="148" spans="1:32" hidden="1" x14ac:dyDescent="0.35">
      <c r="A148" t="s">
        <v>177</v>
      </c>
      <c r="B148" s="54"/>
      <c r="C148" s="54">
        <v>220</v>
      </c>
      <c r="D148" s="54" t="s">
        <v>320</v>
      </c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  <c r="AB148" s="54"/>
      <c r="AC148" s="54"/>
      <c r="AD148" s="54"/>
      <c r="AE148" s="54"/>
      <c r="AF148" s="54"/>
    </row>
    <row r="149" spans="1:32" hidden="1" x14ac:dyDescent="0.35">
      <c r="A149" t="s">
        <v>178</v>
      </c>
      <c r="B149" s="54"/>
      <c r="C149" s="54">
        <v>221</v>
      </c>
      <c r="D149" s="54" t="s">
        <v>321</v>
      </c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  <c r="AC149" s="54"/>
      <c r="AD149" s="54"/>
      <c r="AE149" s="54"/>
      <c r="AF149" s="54"/>
    </row>
    <row r="150" spans="1:32" hidden="1" x14ac:dyDescent="0.35">
      <c r="A150" t="s">
        <v>179</v>
      </c>
      <c r="B150" s="54"/>
      <c r="C150" s="54">
        <v>222</v>
      </c>
      <c r="D150" s="54" t="s">
        <v>322</v>
      </c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  <c r="AB150" s="54"/>
      <c r="AC150" s="54"/>
      <c r="AD150" s="54"/>
      <c r="AE150" s="54"/>
      <c r="AF150" s="54"/>
    </row>
    <row r="151" spans="1:32" hidden="1" x14ac:dyDescent="0.35">
      <c r="A151" t="s">
        <v>180</v>
      </c>
      <c r="B151" s="54"/>
      <c r="C151" s="54">
        <v>223</v>
      </c>
      <c r="D151" s="54" t="s">
        <v>323</v>
      </c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  <c r="AB151" s="54"/>
      <c r="AC151" s="54"/>
      <c r="AD151" s="54"/>
      <c r="AE151" s="54"/>
      <c r="AF151" s="54"/>
    </row>
    <row r="152" spans="1:32" hidden="1" x14ac:dyDescent="0.35">
      <c r="A152" t="s">
        <v>181</v>
      </c>
      <c r="B152" s="54"/>
      <c r="C152" s="54">
        <v>224</v>
      </c>
      <c r="D152" s="54" t="s">
        <v>324</v>
      </c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  <c r="AC152" s="54"/>
      <c r="AD152" s="54"/>
      <c r="AE152" s="54"/>
      <c r="AF152" s="54"/>
    </row>
    <row r="153" spans="1:32" hidden="1" x14ac:dyDescent="0.35">
      <c r="A153" t="s">
        <v>182</v>
      </c>
      <c r="B153" s="54"/>
      <c r="C153" s="54">
        <v>225</v>
      </c>
      <c r="D153" s="54" t="s">
        <v>325</v>
      </c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  <c r="AC153" s="54"/>
      <c r="AD153" s="54"/>
      <c r="AE153" s="54"/>
      <c r="AF153" s="54"/>
    </row>
    <row r="154" spans="1:32" hidden="1" x14ac:dyDescent="0.35">
      <c r="A154" t="s">
        <v>183</v>
      </c>
      <c r="B154" s="54"/>
      <c r="C154" s="54">
        <v>226</v>
      </c>
      <c r="D154" s="54" t="s">
        <v>326</v>
      </c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  <c r="AC154" s="54"/>
      <c r="AD154" s="54"/>
      <c r="AE154" s="54"/>
      <c r="AF154" s="54"/>
    </row>
    <row r="155" spans="1:32" hidden="1" x14ac:dyDescent="0.35">
      <c r="A155" t="s">
        <v>184</v>
      </c>
      <c r="B155" s="54"/>
      <c r="C155" s="54">
        <v>227</v>
      </c>
      <c r="D155" s="54" t="s">
        <v>327</v>
      </c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</row>
    <row r="156" spans="1:32" hidden="1" x14ac:dyDescent="0.35">
      <c r="A156" t="s">
        <v>185</v>
      </c>
      <c r="B156" s="54"/>
      <c r="C156" s="54">
        <v>228</v>
      </c>
      <c r="D156" s="54" t="s">
        <v>328</v>
      </c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  <c r="AC156" s="54"/>
      <c r="AD156" s="54"/>
      <c r="AE156" s="54"/>
      <c r="AF156" s="54"/>
    </row>
    <row r="157" spans="1:32" hidden="1" x14ac:dyDescent="0.35">
      <c r="A157" t="s">
        <v>186</v>
      </c>
      <c r="B157" s="54"/>
      <c r="C157" s="54">
        <v>229</v>
      </c>
      <c r="D157" s="54" t="s">
        <v>329</v>
      </c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</row>
    <row r="158" spans="1:32" hidden="1" x14ac:dyDescent="0.35">
      <c r="A158" t="s">
        <v>187</v>
      </c>
      <c r="B158" s="54"/>
      <c r="C158" s="54">
        <v>230</v>
      </c>
      <c r="D158" s="54" t="s">
        <v>330</v>
      </c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</row>
    <row r="159" spans="1:32" hidden="1" x14ac:dyDescent="0.35">
      <c r="A159" t="s">
        <v>188</v>
      </c>
      <c r="B159" s="54"/>
      <c r="C159" s="54">
        <v>231</v>
      </c>
      <c r="D159" s="54" t="s">
        <v>331</v>
      </c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</row>
    <row r="160" spans="1:32" hidden="1" x14ac:dyDescent="0.35">
      <c r="A160" t="s">
        <v>189</v>
      </c>
      <c r="B160" s="54"/>
      <c r="C160" s="54">
        <v>232</v>
      </c>
      <c r="D160" s="54" t="s">
        <v>332</v>
      </c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  <c r="AC160" s="54"/>
      <c r="AD160" s="54"/>
      <c r="AE160" s="54"/>
      <c r="AF160" s="54"/>
    </row>
    <row r="161" spans="1:32" hidden="1" x14ac:dyDescent="0.35">
      <c r="A161" t="s">
        <v>190</v>
      </c>
      <c r="B161" s="54"/>
      <c r="C161" s="54">
        <v>233</v>
      </c>
      <c r="D161" s="54" t="s">
        <v>333</v>
      </c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</row>
    <row r="162" spans="1:32" hidden="1" x14ac:dyDescent="0.35">
      <c r="A162" t="s">
        <v>191</v>
      </c>
      <c r="B162" s="54"/>
      <c r="C162" s="54">
        <v>234</v>
      </c>
      <c r="D162" s="54" t="s">
        <v>334</v>
      </c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</row>
    <row r="163" spans="1:32" hidden="1" x14ac:dyDescent="0.35">
      <c r="A163" t="s">
        <v>192</v>
      </c>
      <c r="B163" s="54"/>
      <c r="C163" s="54">
        <v>235</v>
      </c>
      <c r="D163" s="54" t="s">
        <v>335</v>
      </c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  <c r="AE163" s="54"/>
      <c r="AF163" s="54"/>
    </row>
    <row r="164" spans="1:32" hidden="1" x14ac:dyDescent="0.35">
      <c r="A164" t="s">
        <v>193</v>
      </c>
      <c r="B164" s="54"/>
      <c r="C164" s="54">
        <v>236</v>
      </c>
      <c r="D164" s="54" t="s">
        <v>336</v>
      </c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</row>
    <row r="165" spans="1:32" hidden="1" x14ac:dyDescent="0.35">
      <c r="A165" t="s">
        <v>194</v>
      </c>
      <c r="B165" s="54"/>
      <c r="C165" s="54">
        <v>237</v>
      </c>
      <c r="D165" s="54" t="s">
        <v>337</v>
      </c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</row>
    <row r="166" spans="1:32" hidden="1" x14ac:dyDescent="0.35">
      <c r="A166" t="s">
        <v>195</v>
      </c>
      <c r="B166" s="54"/>
      <c r="C166" s="54">
        <v>238</v>
      </c>
      <c r="D166" s="54" t="s">
        <v>338</v>
      </c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</row>
    <row r="167" spans="1:32" hidden="1" x14ac:dyDescent="0.35">
      <c r="A167" t="s">
        <v>196</v>
      </c>
      <c r="B167" s="54"/>
      <c r="C167" s="54">
        <v>239</v>
      </c>
      <c r="D167" s="54" t="s">
        <v>339</v>
      </c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  <c r="AF167" s="54"/>
    </row>
    <row r="168" spans="1:32" hidden="1" x14ac:dyDescent="0.35">
      <c r="A168" t="s">
        <v>197</v>
      </c>
      <c r="B168" s="54"/>
      <c r="C168" s="54">
        <v>240</v>
      </c>
      <c r="D168" s="54" t="s">
        <v>340</v>
      </c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</row>
    <row r="169" spans="1:32" hidden="1" x14ac:dyDescent="0.35">
      <c r="A169" t="s">
        <v>198</v>
      </c>
      <c r="B169" s="54"/>
      <c r="C169" s="54">
        <v>241</v>
      </c>
      <c r="D169" s="54" t="s">
        <v>341</v>
      </c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</row>
    <row r="170" spans="1:32" hidden="1" x14ac:dyDescent="0.35">
      <c r="A170" t="s">
        <v>199</v>
      </c>
      <c r="B170" s="54"/>
      <c r="C170" s="54">
        <v>242</v>
      </c>
      <c r="D170" s="54" t="s">
        <v>342</v>
      </c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</row>
    <row r="171" spans="1:32" hidden="1" x14ac:dyDescent="0.35">
      <c r="A171" t="s">
        <v>200</v>
      </c>
      <c r="B171" s="54"/>
      <c r="C171" s="54">
        <v>243</v>
      </c>
      <c r="D171" s="54" t="s">
        <v>343</v>
      </c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</row>
    <row r="172" spans="1:32" hidden="1" x14ac:dyDescent="0.35">
      <c r="A172" t="s">
        <v>201</v>
      </c>
      <c r="B172" s="54"/>
      <c r="C172" s="54">
        <v>244</v>
      </c>
      <c r="D172" s="54" t="s">
        <v>344</v>
      </c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  <c r="AC172" s="54"/>
      <c r="AD172" s="54"/>
      <c r="AE172" s="54"/>
      <c r="AF172" s="54"/>
    </row>
    <row r="173" spans="1:32" hidden="1" x14ac:dyDescent="0.35">
      <c r="A173" t="s">
        <v>789</v>
      </c>
      <c r="B173" s="54"/>
      <c r="C173" s="54">
        <v>245</v>
      </c>
      <c r="D173" s="54" t="s">
        <v>345</v>
      </c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  <c r="AC173" s="54"/>
      <c r="AD173" s="54"/>
      <c r="AE173" s="54"/>
      <c r="AF173" s="54"/>
    </row>
    <row r="174" spans="1:32" hidden="1" x14ac:dyDescent="0.35">
      <c r="A174" t="s">
        <v>790</v>
      </c>
      <c r="B174" s="54"/>
      <c r="C174" s="54">
        <v>246</v>
      </c>
      <c r="D174" s="54" t="s">
        <v>346</v>
      </c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  <c r="AC174" s="54"/>
      <c r="AD174" s="54"/>
      <c r="AE174" s="54"/>
      <c r="AF174" s="54"/>
    </row>
    <row r="175" spans="1:32" hidden="1" x14ac:dyDescent="0.35">
      <c r="A175" t="s">
        <v>791</v>
      </c>
      <c r="B175" s="54"/>
      <c r="C175" s="54">
        <v>247</v>
      </c>
      <c r="D175" s="54" t="s">
        <v>347</v>
      </c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  <c r="AC175" s="54"/>
      <c r="AD175" s="54"/>
      <c r="AE175" s="54"/>
      <c r="AF175" s="54"/>
    </row>
    <row r="176" spans="1:32" hidden="1" x14ac:dyDescent="0.35">
      <c r="A176" t="s">
        <v>792</v>
      </c>
      <c r="B176" s="54"/>
      <c r="C176" s="54">
        <v>248</v>
      </c>
      <c r="D176" s="54" t="s">
        <v>348</v>
      </c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  <c r="AE176" s="54"/>
      <c r="AF176" s="54"/>
    </row>
    <row r="177" spans="1:32" hidden="1" x14ac:dyDescent="0.35">
      <c r="A177" t="s">
        <v>793</v>
      </c>
      <c r="B177" s="54"/>
      <c r="C177" s="54">
        <v>249</v>
      </c>
      <c r="D177" s="54" t="s">
        <v>349</v>
      </c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  <c r="AE177" s="54"/>
      <c r="AF177" s="54"/>
    </row>
    <row r="178" spans="1:32" hidden="1" x14ac:dyDescent="0.35">
      <c r="A178" t="s">
        <v>794</v>
      </c>
      <c r="B178" s="54"/>
      <c r="C178" s="54">
        <v>250</v>
      </c>
      <c r="D178" s="54" t="s">
        <v>350</v>
      </c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  <c r="AC178" s="54"/>
      <c r="AD178" s="54"/>
      <c r="AE178" s="54"/>
      <c r="AF178" s="54"/>
    </row>
    <row r="179" spans="1:32" hidden="1" x14ac:dyDescent="0.35">
      <c r="A179" t="s">
        <v>795</v>
      </c>
      <c r="B179" s="54"/>
      <c r="C179" s="54">
        <v>251</v>
      </c>
      <c r="D179" s="54" t="s">
        <v>351</v>
      </c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  <c r="AC179" s="54"/>
      <c r="AD179" s="54"/>
      <c r="AE179" s="54"/>
      <c r="AF179" s="54"/>
    </row>
    <row r="180" spans="1:32" hidden="1" x14ac:dyDescent="0.35">
      <c r="A180" t="s">
        <v>796</v>
      </c>
      <c r="B180" s="54"/>
      <c r="C180" s="54">
        <v>252</v>
      </c>
      <c r="D180" s="54" t="s">
        <v>352</v>
      </c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  <c r="AB180" s="54"/>
      <c r="AC180" s="54"/>
      <c r="AD180" s="54"/>
      <c r="AE180" s="54"/>
      <c r="AF180" s="54"/>
    </row>
    <row r="181" spans="1:32" hidden="1" x14ac:dyDescent="0.35">
      <c r="A181" t="s">
        <v>797</v>
      </c>
      <c r="B181" s="54"/>
      <c r="C181" s="54">
        <v>253</v>
      </c>
      <c r="D181" s="54" t="s">
        <v>353</v>
      </c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  <c r="AC181" s="54"/>
      <c r="AD181" s="54"/>
      <c r="AE181" s="54"/>
      <c r="AF181" s="54"/>
    </row>
    <row r="182" spans="1:32" hidden="1" x14ac:dyDescent="0.35">
      <c r="A182" t="s">
        <v>798</v>
      </c>
      <c r="B182" s="54"/>
      <c r="C182" s="54">
        <v>254</v>
      </c>
      <c r="D182" s="54" t="s">
        <v>354</v>
      </c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</row>
    <row r="183" spans="1:32" hidden="1" x14ac:dyDescent="0.35">
      <c r="A183" t="s">
        <v>799</v>
      </c>
      <c r="B183" s="54"/>
      <c r="C183" s="54">
        <v>255</v>
      </c>
      <c r="D183" s="54" t="s">
        <v>355</v>
      </c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</row>
    <row r="184" spans="1:32" hidden="1" x14ac:dyDescent="0.35">
      <c r="A184" t="s">
        <v>800</v>
      </c>
      <c r="B184" s="54"/>
      <c r="C184" s="54">
        <v>256</v>
      </c>
      <c r="D184" s="54" t="s">
        <v>356</v>
      </c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  <c r="AB184" s="54"/>
      <c r="AC184" s="54"/>
      <c r="AD184" s="54"/>
      <c r="AE184" s="54"/>
      <c r="AF184" s="54"/>
    </row>
    <row r="185" spans="1:32" hidden="1" x14ac:dyDescent="0.35">
      <c r="A185" t="s">
        <v>202</v>
      </c>
      <c r="B185" s="54"/>
      <c r="C185" s="54">
        <v>257</v>
      </c>
      <c r="D185" s="54" t="s">
        <v>357</v>
      </c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  <c r="AC185" s="54"/>
      <c r="AD185" s="54"/>
      <c r="AE185" s="54"/>
      <c r="AF185" s="54"/>
    </row>
    <row r="186" spans="1:32" hidden="1" x14ac:dyDescent="0.35">
      <c r="A186" t="s">
        <v>203</v>
      </c>
      <c r="B186" s="54"/>
      <c r="C186" s="54">
        <v>258</v>
      </c>
      <c r="D186" s="54" t="s">
        <v>358</v>
      </c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</row>
    <row r="187" spans="1:32" hidden="1" x14ac:dyDescent="0.35">
      <c r="A187" t="s">
        <v>204</v>
      </c>
      <c r="B187" s="54"/>
      <c r="C187" s="54">
        <v>259</v>
      </c>
      <c r="D187" s="54" t="s">
        <v>359</v>
      </c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</row>
    <row r="188" spans="1:32" hidden="1" x14ac:dyDescent="0.35">
      <c r="A188" t="s">
        <v>205</v>
      </c>
      <c r="B188" s="54"/>
      <c r="C188" s="54">
        <v>260</v>
      </c>
      <c r="D188" s="54" t="s">
        <v>360</v>
      </c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  <c r="AC188" s="54"/>
      <c r="AD188" s="54"/>
      <c r="AE188" s="54"/>
      <c r="AF188" s="54"/>
    </row>
    <row r="189" spans="1:32" hidden="1" x14ac:dyDescent="0.35">
      <c r="A189" t="s">
        <v>206</v>
      </c>
      <c r="B189" s="54"/>
      <c r="C189" s="54">
        <v>261</v>
      </c>
      <c r="D189" s="54" t="s">
        <v>361</v>
      </c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  <c r="AB189" s="54"/>
      <c r="AC189" s="54"/>
      <c r="AD189" s="54"/>
      <c r="AE189" s="54"/>
      <c r="AF189" s="54"/>
    </row>
    <row r="190" spans="1:32" hidden="1" x14ac:dyDescent="0.35">
      <c r="A190" t="s">
        <v>207</v>
      </c>
      <c r="B190" s="54"/>
      <c r="C190" s="54">
        <v>262</v>
      </c>
      <c r="D190" s="54" t="s">
        <v>362</v>
      </c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  <c r="AB190" s="54"/>
      <c r="AC190" s="54"/>
      <c r="AD190" s="54"/>
      <c r="AE190" s="54"/>
      <c r="AF190" s="54"/>
    </row>
    <row r="191" spans="1:32" hidden="1" x14ac:dyDescent="0.35">
      <c r="A191" t="s">
        <v>208</v>
      </c>
      <c r="B191" s="54"/>
      <c r="C191" s="54">
        <v>263</v>
      </c>
      <c r="D191" s="54" t="s">
        <v>363</v>
      </c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4"/>
      <c r="AB191" s="54"/>
      <c r="AC191" s="54"/>
      <c r="AD191" s="54"/>
      <c r="AE191" s="54"/>
      <c r="AF191" s="54"/>
    </row>
    <row r="192" spans="1:32" hidden="1" x14ac:dyDescent="0.35">
      <c r="A192" t="s">
        <v>209</v>
      </c>
      <c r="B192" s="54"/>
      <c r="C192" s="54">
        <v>264</v>
      </c>
      <c r="D192" s="54" t="s">
        <v>364</v>
      </c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  <c r="AB192" s="54"/>
      <c r="AC192" s="54"/>
      <c r="AD192" s="54"/>
      <c r="AE192" s="54"/>
      <c r="AF192" s="54"/>
    </row>
    <row r="193" spans="1:32" hidden="1" x14ac:dyDescent="0.35">
      <c r="A193" t="s">
        <v>210</v>
      </c>
      <c r="B193" s="54"/>
      <c r="C193" s="54">
        <v>265</v>
      </c>
      <c r="D193" s="54" t="s">
        <v>365</v>
      </c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  <c r="AC193" s="54"/>
      <c r="AD193" s="54"/>
      <c r="AE193" s="54"/>
      <c r="AF193" s="54"/>
    </row>
    <row r="194" spans="1:32" hidden="1" x14ac:dyDescent="0.35">
      <c r="A194" t="s">
        <v>211</v>
      </c>
      <c r="B194" s="54"/>
      <c r="C194" s="54">
        <v>266</v>
      </c>
      <c r="D194" s="54" t="s">
        <v>366</v>
      </c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  <c r="AC194" s="54"/>
      <c r="AD194" s="54"/>
      <c r="AE194" s="54"/>
      <c r="AF194" s="54"/>
    </row>
    <row r="195" spans="1:32" hidden="1" x14ac:dyDescent="0.35">
      <c r="A195" t="s">
        <v>212</v>
      </c>
      <c r="B195" s="54"/>
      <c r="C195" s="54">
        <v>267</v>
      </c>
      <c r="D195" s="54" t="s">
        <v>367</v>
      </c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  <c r="AB195" s="54"/>
      <c r="AC195" s="54"/>
      <c r="AD195" s="54"/>
      <c r="AE195" s="54"/>
      <c r="AF195" s="54"/>
    </row>
    <row r="196" spans="1:32" hidden="1" x14ac:dyDescent="0.35">
      <c r="A196" t="s">
        <v>213</v>
      </c>
      <c r="B196" s="54"/>
      <c r="C196" s="54">
        <v>268</v>
      </c>
      <c r="D196" s="54" t="s">
        <v>368</v>
      </c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  <c r="AC196" s="54"/>
      <c r="AD196" s="54"/>
      <c r="AE196" s="54"/>
      <c r="AF196" s="54"/>
    </row>
    <row r="197" spans="1:32" hidden="1" x14ac:dyDescent="0.35">
      <c r="A197" t="s">
        <v>214</v>
      </c>
      <c r="B197" s="54"/>
      <c r="C197" s="54">
        <v>269</v>
      </c>
      <c r="D197" s="54" t="s">
        <v>369</v>
      </c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  <c r="AC197" s="54"/>
      <c r="AD197" s="54"/>
      <c r="AE197" s="54"/>
      <c r="AF197" s="54"/>
    </row>
    <row r="198" spans="1:32" hidden="1" x14ac:dyDescent="0.35">
      <c r="A198" t="s">
        <v>215</v>
      </c>
      <c r="B198" s="54"/>
      <c r="C198" s="54">
        <v>270</v>
      </c>
      <c r="D198" s="54" t="s">
        <v>370</v>
      </c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  <c r="AB198" s="54"/>
      <c r="AC198" s="54"/>
      <c r="AD198" s="54"/>
      <c r="AE198" s="54"/>
      <c r="AF198" s="54"/>
    </row>
    <row r="199" spans="1:32" hidden="1" x14ac:dyDescent="0.35">
      <c r="A199" t="s">
        <v>216</v>
      </c>
      <c r="B199" s="54"/>
      <c r="C199" s="54">
        <v>271</v>
      </c>
      <c r="D199" s="54" t="s">
        <v>371</v>
      </c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  <c r="AC199" s="54"/>
      <c r="AD199" s="54"/>
      <c r="AE199" s="54"/>
      <c r="AF199" s="54"/>
    </row>
    <row r="200" spans="1:32" hidden="1" x14ac:dyDescent="0.35">
      <c r="A200" t="s">
        <v>217</v>
      </c>
      <c r="B200" s="54"/>
      <c r="C200" s="54">
        <v>272</v>
      </c>
      <c r="D200" s="54" t="s">
        <v>372</v>
      </c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  <c r="AF200" s="54"/>
    </row>
    <row r="201" spans="1:32" hidden="1" x14ac:dyDescent="0.35">
      <c r="A201" t="s">
        <v>801</v>
      </c>
      <c r="B201" s="54"/>
      <c r="C201" s="54">
        <v>273</v>
      </c>
      <c r="D201" s="54" t="s">
        <v>373</v>
      </c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  <c r="AC201" s="54"/>
      <c r="AD201" s="54"/>
      <c r="AE201" s="54"/>
      <c r="AF201" s="54"/>
    </row>
    <row r="202" spans="1:32" hidden="1" x14ac:dyDescent="0.35">
      <c r="A202" t="s">
        <v>802</v>
      </c>
      <c r="B202" s="54"/>
      <c r="C202" s="54">
        <v>274</v>
      </c>
      <c r="D202" s="54" t="s">
        <v>374</v>
      </c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  <c r="AC202" s="54"/>
      <c r="AD202" s="54"/>
      <c r="AE202" s="54"/>
      <c r="AF202" s="54"/>
    </row>
    <row r="203" spans="1:32" hidden="1" x14ac:dyDescent="0.35">
      <c r="A203" t="s">
        <v>218</v>
      </c>
      <c r="B203" s="54"/>
      <c r="C203" s="54">
        <v>275</v>
      </c>
      <c r="D203" s="54" t="s">
        <v>375</v>
      </c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  <c r="AE203" s="54"/>
      <c r="AF203" s="54"/>
    </row>
    <row r="204" spans="1:32" hidden="1" x14ac:dyDescent="0.35">
      <c r="A204" t="s">
        <v>219</v>
      </c>
      <c r="B204" s="54"/>
      <c r="C204" s="54">
        <v>276</v>
      </c>
      <c r="D204" s="54" t="s">
        <v>376</v>
      </c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  <c r="AC204" s="54"/>
      <c r="AD204" s="54"/>
      <c r="AE204" s="54"/>
      <c r="AF204" s="54"/>
    </row>
    <row r="205" spans="1:32" hidden="1" x14ac:dyDescent="0.35">
      <c r="A205" t="s">
        <v>220</v>
      </c>
      <c r="B205" s="54"/>
      <c r="C205" s="54">
        <v>277</v>
      </c>
      <c r="D205" s="54" t="s">
        <v>377</v>
      </c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  <c r="AC205" s="54"/>
      <c r="AD205" s="54"/>
      <c r="AE205" s="54"/>
      <c r="AF205" s="54"/>
    </row>
    <row r="206" spans="1:32" hidden="1" x14ac:dyDescent="0.35">
      <c r="A206" t="s">
        <v>221</v>
      </c>
      <c r="B206" s="54"/>
      <c r="C206" s="54">
        <v>278</v>
      </c>
      <c r="D206" s="54" t="s">
        <v>378</v>
      </c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  <c r="AC206" s="54"/>
      <c r="AD206" s="54"/>
      <c r="AE206" s="54"/>
      <c r="AF206" s="54"/>
    </row>
    <row r="207" spans="1:32" hidden="1" x14ac:dyDescent="0.35">
      <c r="A207" t="s">
        <v>222</v>
      </c>
      <c r="B207" s="54"/>
      <c r="C207" s="54">
        <v>279</v>
      </c>
      <c r="D207" s="54" t="s">
        <v>379</v>
      </c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  <c r="AF207" s="54"/>
    </row>
    <row r="208" spans="1:32" hidden="1" x14ac:dyDescent="0.35">
      <c r="A208" t="s">
        <v>223</v>
      </c>
      <c r="B208" s="54"/>
      <c r="C208" s="54">
        <v>280</v>
      </c>
      <c r="D208" s="54" t="s">
        <v>380</v>
      </c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  <c r="AC208" s="54"/>
      <c r="AD208" s="54"/>
      <c r="AE208" s="54"/>
      <c r="AF208" s="54"/>
    </row>
    <row r="209" spans="1:32" hidden="1" x14ac:dyDescent="0.35">
      <c r="A209" t="s">
        <v>224</v>
      </c>
      <c r="B209" s="54"/>
      <c r="C209" s="54">
        <v>281</v>
      </c>
      <c r="D209" s="54" t="s">
        <v>381</v>
      </c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</row>
    <row r="210" spans="1:32" hidden="1" x14ac:dyDescent="0.35">
      <c r="A210" t="s">
        <v>225</v>
      </c>
      <c r="B210" s="54"/>
      <c r="C210" s="54">
        <v>282</v>
      </c>
      <c r="D210" s="54" t="s">
        <v>382</v>
      </c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  <c r="AB210" s="54"/>
      <c r="AC210" s="54"/>
      <c r="AD210" s="54"/>
      <c r="AE210" s="54"/>
      <c r="AF210" s="54"/>
    </row>
    <row r="211" spans="1:32" hidden="1" x14ac:dyDescent="0.35">
      <c r="A211" t="s">
        <v>226</v>
      </c>
      <c r="B211" s="54"/>
      <c r="C211" s="54">
        <v>283</v>
      </c>
      <c r="D211" s="54" t="s">
        <v>383</v>
      </c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  <c r="AB211" s="54"/>
      <c r="AC211" s="54"/>
      <c r="AD211" s="54"/>
      <c r="AE211" s="54"/>
      <c r="AF211" s="54"/>
    </row>
    <row r="212" spans="1:32" hidden="1" x14ac:dyDescent="0.35">
      <c r="A212" t="s">
        <v>227</v>
      </c>
      <c r="B212" s="54"/>
      <c r="C212" s="54">
        <v>284</v>
      </c>
      <c r="D212" s="54" t="s">
        <v>384</v>
      </c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  <c r="AB212" s="54"/>
      <c r="AC212" s="54"/>
      <c r="AD212" s="54"/>
      <c r="AE212" s="54"/>
      <c r="AF212" s="54"/>
    </row>
    <row r="213" spans="1:32" hidden="1" x14ac:dyDescent="0.35">
      <c r="A213" t="s">
        <v>228</v>
      </c>
      <c r="B213" s="54"/>
      <c r="C213" s="54">
        <v>285</v>
      </c>
      <c r="D213" s="54" t="s">
        <v>385</v>
      </c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  <c r="AB213" s="54"/>
      <c r="AC213" s="54"/>
      <c r="AD213" s="54"/>
      <c r="AE213" s="54"/>
      <c r="AF213" s="54"/>
    </row>
    <row r="214" spans="1:32" hidden="1" x14ac:dyDescent="0.35">
      <c r="A214" t="s">
        <v>229</v>
      </c>
      <c r="B214" s="54"/>
      <c r="C214" s="54">
        <v>286</v>
      </c>
      <c r="D214" s="54" t="s">
        <v>386</v>
      </c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  <c r="AC214" s="54"/>
      <c r="AD214" s="54"/>
      <c r="AE214" s="54"/>
      <c r="AF214" s="54"/>
    </row>
    <row r="215" spans="1:32" hidden="1" x14ac:dyDescent="0.35">
      <c r="A215" t="s">
        <v>230</v>
      </c>
      <c r="B215" s="54"/>
      <c r="C215" s="54">
        <v>287</v>
      </c>
      <c r="D215" s="54" t="s">
        <v>387</v>
      </c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  <c r="AC215" s="54"/>
      <c r="AD215" s="54"/>
      <c r="AE215" s="54"/>
      <c r="AF215" s="54"/>
    </row>
    <row r="216" spans="1:32" hidden="1" x14ac:dyDescent="0.35">
      <c r="A216" t="s">
        <v>231</v>
      </c>
      <c r="B216" s="54"/>
      <c r="C216" s="54">
        <v>301</v>
      </c>
      <c r="D216" s="54" t="s">
        <v>388</v>
      </c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  <c r="AB216" s="54"/>
      <c r="AC216" s="54"/>
      <c r="AD216" s="54"/>
      <c r="AE216" s="54"/>
      <c r="AF216" s="54"/>
    </row>
    <row r="217" spans="1:32" hidden="1" x14ac:dyDescent="0.35">
      <c r="A217" t="s">
        <v>232</v>
      </c>
      <c r="B217" s="54"/>
      <c r="C217" s="54">
        <v>302</v>
      </c>
      <c r="D217" s="54" t="s">
        <v>389</v>
      </c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  <c r="AC217" s="54"/>
      <c r="AD217" s="54"/>
      <c r="AE217" s="54"/>
      <c r="AF217" s="54"/>
    </row>
    <row r="218" spans="1:32" hidden="1" x14ac:dyDescent="0.35">
      <c r="A218" t="s">
        <v>233</v>
      </c>
      <c r="B218" s="54"/>
      <c r="C218" s="54">
        <v>303</v>
      </c>
      <c r="D218" s="54" t="s">
        <v>390</v>
      </c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  <c r="AB218" s="54"/>
      <c r="AC218" s="54"/>
      <c r="AD218" s="54"/>
      <c r="AE218" s="54"/>
      <c r="AF218" s="54"/>
    </row>
    <row r="219" spans="1:32" hidden="1" x14ac:dyDescent="0.35">
      <c r="A219" t="s">
        <v>234</v>
      </c>
      <c r="B219" s="54"/>
      <c r="C219" s="54">
        <v>304</v>
      </c>
      <c r="D219" s="54" t="s">
        <v>391</v>
      </c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  <c r="AC219" s="54"/>
      <c r="AD219" s="54"/>
      <c r="AE219" s="54"/>
      <c r="AF219" s="54"/>
    </row>
    <row r="220" spans="1:32" hidden="1" x14ac:dyDescent="0.35">
      <c r="A220" t="s">
        <v>235</v>
      </c>
      <c r="B220" s="54"/>
      <c r="C220" s="54">
        <v>305</v>
      </c>
      <c r="D220" s="54" t="s">
        <v>392</v>
      </c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  <c r="AB220" s="54"/>
      <c r="AC220" s="54"/>
      <c r="AD220" s="54"/>
      <c r="AE220" s="54"/>
      <c r="AF220" s="54"/>
    </row>
    <row r="221" spans="1:32" hidden="1" x14ac:dyDescent="0.35">
      <c r="A221" t="s">
        <v>236</v>
      </c>
      <c r="B221" s="54"/>
      <c r="C221" s="54">
        <v>306</v>
      </c>
      <c r="D221" s="54" t="s">
        <v>393</v>
      </c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  <c r="AC221" s="54"/>
      <c r="AD221" s="54"/>
      <c r="AE221" s="54"/>
      <c r="AF221" s="54"/>
    </row>
    <row r="222" spans="1:32" hidden="1" x14ac:dyDescent="0.35">
      <c r="A222" t="s">
        <v>237</v>
      </c>
      <c r="B222" s="54"/>
      <c r="C222" s="54">
        <v>307</v>
      </c>
      <c r="D222" s="54" t="s">
        <v>394</v>
      </c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  <c r="AB222" s="54"/>
      <c r="AC222" s="54"/>
      <c r="AD222" s="54"/>
      <c r="AE222" s="54"/>
      <c r="AF222" s="54"/>
    </row>
    <row r="223" spans="1:32" hidden="1" x14ac:dyDescent="0.35">
      <c r="A223" t="s">
        <v>238</v>
      </c>
      <c r="B223" s="54"/>
      <c r="C223" s="54">
        <v>308</v>
      </c>
      <c r="D223" s="54" t="s">
        <v>395</v>
      </c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  <c r="AB223" s="54"/>
      <c r="AC223" s="54"/>
      <c r="AD223" s="54"/>
      <c r="AE223" s="54"/>
      <c r="AF223" s="54"/>
    </row>
    <row r="224" spans="1:32" hidden="1" x14ac:dyDescent="0.35">
      <c r="A224" t="s">
        <v>239</v>
      </c>
      <c r="B224" s="54"/>
      <c r="C224" s="54">
        <v>309</v>
      </c>
      <c r="D224" s="54" t="s">
        <v>396</v>
      </c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  <c r="AC224" s="54"/>
      <c r="AD224" s="54"/>
      <c r="AE224" s="54"/>
      <c r="AF224" s="54"/>
    </row>
    <row r="225" spans="1:32" hidden="1" x14ac:dyDescent="0.35">
      <c r="A225" t="s">
        <v>240</v>
      </c>
      <c r="B225" s="54"/>
      <c r="C225" s="54">
        <v>310</v>
      </c>
      <c r="D225" s="54" t="s">
        <v>397</v>
      </c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  <c r="AC225" s="54"/>
      <c r="AD225" s="54"/>
      <c r="AE225" s="54"/>
      <c r="AF225" s="54"/>
    </row>
    <row r="226" spans="1:32" hidden="1" x14ac:dyDescent="0.35">
      <c r="A226" t="s">
        <v>241</v>
      </c>
      <c r="B226" s="54"/>
      <c r="C226" s="54">
        <v>311</v>
      </c>
      <c r="D226" s="54" t="s">
        <v>398</v>
      </c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  <c r="AC226" s="54"/>
      <c r="AD226" s="54"/>
      <c r="AE226" s="54"/>
      <c r="AF226" s="54"/>
    </row>
    <row r="227" spans="1:32" hidden="1" x14ac:dyDescent="0.35">
      <c r="A227" t="s">
        <v>242</v>
      </c>
      <c r="B227" s="54"/>
      <c r="C227" s="54">
        <v>312</v>
      </c>
      <c r="D227" s="54" t="s">
        <v>399</v>
      </c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  <c r="AC227" s="54"/>
      <c r="AD227" s="54"/>
      <c r="AE227" s="54"/>
      <c r="AF227" s="54"/>
    </row>
    <row r="228" spans="1:32" hidden="1" x14ac:dyDescent="0.35">
      <c r="A228" t="s">
        <v>243</v>
      </c>
      <c r="B228" s="54"/>
      <c r="C228" s="54">
        <v>313</v>
      </c>
      <c r="D228" s="54" t="s">
        <v>400</v>
      </c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  <c r="AC228" s="54"/>
      <c r="AD228" s="54"/>
      <c r="AE228" s="54"/>
      <c r="AF228" s="54"/>
    </row>
    <row r="229" spans="1:32" hidden="1" x14ac:dyDescent="0.35">
      <c r="A229" t="s">
        <v>244</v>
      </c>
      <c r="B229" s="54"/>
      <c r="C229" s="54">
        <v>314</v>
      </c>
      <c r="D229" s="54" t="s">
        <v>401</v>
      </c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  <c r="AB229" s="54"/>
      <c r="AC229" s="54"/>
      <c r="AD229" s="54"/>
      <c r="AE229" s="54"/>
      <c r="AF229" s="54"/>
    </row>
    <row r="230" spans="1:32" hidden="1" x14ac:dyDescent="0.35">
      <c r="A230" t="s">
        <v>245</v>
      </c>
      <c r="B230" s="54"/>
      <c r="C230" s="54">
        <v>315</v>
      </c>
      <c r="D230" s="54" t="s">
        <v>402</v>
      </c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  <c r="AC230" s="54"/>
      <c r="AD230" s="54"/>
      <c r="AE230" s="54"/>
      <c r="AF230" s="54"/>
    </row>
    <row r="231" spans="1:32" hidden="1" x14ac:dyDescent="0.35">
      <c r="A231" t="s">
        <v>246</v>
      </c>
      <c r="B231" s="54"/>
      <c r="C231" s="54">
        <v>316</v>
      </c>
      <c r="D231" s="54" t="s">
        <v>403</v>
      </c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  <c r="AB231" s="54"/>
      <c r="AC231" s="54"/>
      <c r="AD231" s="54"/>
      <c r="AE231" s="54"/>
      <c r="AF231" s="54"/>
    </row>
    <row r="232" spans="1:32" hidden="1" x14ac:dyDescent="0.35">
      <c r="A232" t="s">
        <v>247</v>
      </c>
      <c r="B232" s="54"/>
      <c r="C232" s="54">
        <v>401</v>
      </c>
      <c r="D232" s="54" t="s">
        <v>404</v>
      </c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  <c r="AB232" s="54"/>
      <c r="AC232" s="54"/>
      <c r="AD232" s="54"/>
      <c r="AE232" s="54"/>
      <c r="AF232" s="54"/>
    </row>
    <row r="233" spans="1:32" hidden="1" x14ac:dyDescent="0.35">
      <c r="A233" t="s">
        <v>248</v>
      </c>
      <c r="B233" s="54"/>
      <c r="C233" s="54">
        <v>402</v>
      </c>
      <c r="D233" s="54" t="s">
        <v>405</v>
      </c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  <c r="AC233" s="54"/>
      <c r="AD233" s="54"/>
      <c r="AE233" s="54"/>
      <c r="AF233" s="54"/>
    </row>
    <row r="234" spans="1:32" hidden="1" x14ac:dyDescent="0.35">
      <c r="A234" t="s">
        <v>249</v>
      </c>
      <c r="B234" s="54"/>
      <c r="C234" s="54">
        <v>403</v>
      </c>
      <c r="D234" s="54" t="s">
        <v>406</v>
      </c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  <c r="AE234" s="54"/>
      <c r="AF234" s="54"/>
    </row>
    <row r="235" spans="1:32" hidden="1" x14ac:dyDescent="0.35">
      <c r="A235" t="s">
        <v>250</v>
      </c>
      <c r="B235" s="54"/>
      <c r="C235" s="54">
        <v>404</v>
      </c>
      <c r="D235" s="54" t="s">
        <v>407</v>
      </c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  <c r="AE235" s="54"/>
      <c r="AF235" s="54"/>
    </row>
    <row r="236" spans="1:32" hidden="1" x14ac:dyDescent="0.35">
      <c r="A236" t="s">
        <v>251</v>
      </c>
      <c r="B236" s="54"/>
      <c r="C236" s="54">
        <v>405</v>
      </c>
      <c r="D236" s="54" t="s">
        <v>408</v>
      </c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  <c r="AC236" s="54"/>
      <c r="AD236" s="54"/>
      <c r="AE236" s="54"/>
      <c r="AF236" s="54"/>
    </row>
    <row r="237" spans="1:32" hidden="1" x14ac:dyDescent="0.35">
      <c r="A237" t="s">
        <v>252</v>
      </c>
      <c r="B237" s="54"/>
      <c r="C237" s="54">
        <v>406</v>
      </c>
      <c r="D237" s="54" t="s">
        <v>409</v>
      </c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  <c r="AE237" s="54"/>
      <c r="AF237" s="54"/>
    </row>
    <row r="238" spans="1:32" hidden="1" x14ac:dyDescent="0.35">
      <c r="A238" t="s">
        <v>253</v>
      </c>
      <c r="B238" s="54"/>
      <c r="C238" s="54">
        <v>407</v>
      </c>
      <c r="D238" s="54" t="s">
        <v>410</v>
      </c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  <c r="AE238" s="54"/>
      <c r="AF238" s="54"/>
    </row>
    <row r="239" spans="1:32" hidden="1" x14ac:dyDescent="0.35">
      <c r="A239" t="s">
        <v>254</v>
      </c>
      <c r="B239" s="54"/>
      <c r="C239" s="54">
        <v>501</v>
      </c>
      <c r="D239" s="54" t="s">
        <v>411</v>
      </c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  <c r="AE239" s="54"/>
      <c r="AF239" s="54"/>
    </row>
    <row r="240" spans="1:32" hidden="1" x14ac:dyDescent="0.35">
      <c r="A240" t="s">
        <v>255</v>
      </c>
      <c r="B240" s="54"/>
      <c r="C240" s="54">
        <v>502</v>
      </c>
      <c r="D240" s="54" t="s">
        <v>412</v>
      </c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  <c r="AE240" s="54"/>
      <c r="AF240" s="54"/>
    </row>
    <row r="241" spans="1:32" hidden="1" x14ac:dyDescent="0.35">
      <c r="A241" t="s">
        <v>256</v>
      </c>
      <c r="B241" s="54"/>
      <c r="C241" s="54">
        <v>503</v>
      </c>
      <c r="D241" s="54" t="s">
        <v>413</v>
      </c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  <c r="AE241" s="54"/>
      <c r="AF241" s="54"/>
    </row>
    <row r="242" spans="1:32" hidden="1" x14ac:dyDescent="0.35">
      <c r="A242" t="s">
        <v>257</v>
      </c>
      <c r="B242" s="54"/>
      <c r="C242" s="54">
        <v>504</v>
      </c>
      <c r="D242" s="54" t="s">
        <v>414</v>
      </c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  <c r="AE242" s="54"/>
      <c r="AF242" s="54"/>
    </row>
    <row r="243" spans="1:32" hidden="1" x14ac:dyDescent="0.35">
      <c r="A243" t="s">
        <v>258</v>
      </c>
      <c r="B243" s="54"/>
      <c r="C243" s="54">
        <v>505</v>
      </c>
      <c r="D243" s="54" t="s">
        <v>415</v>
      </c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  <c r="AE243" s="54"/>
      <c r="AF243" s="54"/>
    </row>
    <row r="244" spans="1:32" hidden="1" x14ac:dyDescent="0.35">
      <c r="A244" t="s">
        <v>259</v>
      </c>
      <c r="B244" s="54"/>
      <c r="C244" s="54">
        <v>506</v>
      </c>
      <c r="D244" s="54" t="s">
        <v>416</v>
      </c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  <c r="AE244" s="54"/>
      <c r="AF244" s="54"/>
    </row>
    <row r="245" spans="1:32" hidden="1" x14ac:dyDescent="0.35">
      <c r="A245" t="s">
        <v>260</v>
      </c>
      <c r="B245" s="54"/>
      <c r="C245" s="54">
        <v>507</v>
      </c>
      <c r="D245" s="54" t="s">
        <v>417</v>
      </c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  <c r="AE245" s="54"/>
      <c r="AF245" s="54"/>
    </row>
    <row r="246" spans="1:32" hidden="1" x14ac:dyDescent="0.35">
      <c r="A246" t="s">
        <v>261</v>
      </c>
      <c r="B246" s="54"/>
      <c r="C246" s="54">
        <v>508</v>
      </c>
      <c r="D246" s="54" t="s">
        <v>418</v>
      </c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  <c r="AE246" s="54"/>
      <c r="AF246" s="54"/>
    </row>
    <row r="247" spans="1:32" hidden="1" x14ac:dyDescent="0.35">
      <c r="A247" t="s">
        <v>262</v>
      </c>
      <c r="B247" s="54"/>
      <c r="C247" s="54">
        <v>509</v>
      </c>
      <c r="D247" s="54" t="s">
        <v>419</v>
      </c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</row>
    <row r="248" spans="1:32" hidden="1" x14ac:dyDescent="0.35">
      <c r="A248" t="s">
        <v>263</v>
      </c>
      <c r="B248" s="54"/>
      <c r="C248" s="54">
        <v>510</v>
      </c>
      <c r="D248" s="54" t="s">
        <v>420</v>
      </c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54"/>
      <c r="AC248" s="54"/>
      <c r="AD248" s="54"/>
      <c r="AE248" s="54"/>
      <c r="AF248" s="54"/>
    </row>
    <row r="249" spans="1:32" hidden="1" x14ac:dyDescent="0.35">
      <c r="A249" t="s">
        <v>264</v>
      </c>
      <c r="B249" s="54"/>
      <c r="C249" s="54">
        <v>511</v>
      </c>
      <c r="D249" s="54" t="s">
        <v>421</v>
      </c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  <c r="AC249" s="54"/>
      <c r="AD249" s="54"/>
      <c r="AE249" s="54"/>
      <c r="AF249" s="54"/>
    </row>
    <row r="250" spans="1:32" hidden="1" x14ac:dyDescent="0.35">
      <c r="A250" s="54" t="s">
        <v>265</v>
      </c>
      <c r="B250" s="54"/>
      <c r="C250" s="54">
        <v>512</v>
      </c>
      <c r="D250" s="54" t="s">
        <v>422</v>
      </c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  <c r="AC250" s="54"/>
      <c r="AD250" s="54"/>
      <c r="AE250" s="54"/>
      <c r="AF250" s="54"/>
    </row>
    <row r="251" spans="1:32" hidden="1" x14ac:dyDescent="0.35">
      <c r="A251" s="54" t="s">
        <v>266</v>
      </c>
      <c r="B251" s="54"/>
      <c r="C251" s="54">
        <v>513</v>
      </c>
      <c r="D251" s="54" t="s">
        <v>423</v>
      </c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  <c r="AE251" s="54"/>
      <c r="AF251" s="54"/>
    </row>
    <row r="252" spans="1:32" hidden="1" x14ac:dyDescent="0.35">
      <c r="A252" s="54" t="s">
        <v>267</v>
      </c>
      <c r="B252" s="54"/>
      <c r="C252" s="54">
        <v>514</v>
      </c>
      <c r="D252" s="54" t="s">
        <v>424</v>
      </c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  <c r="AC252" s="54"/>
      <c r="AD252" s="54"/>
      <c r="AE252" s="54"/>
      <c r="AF252" s="54"/>
    </row>
    <row r="253" spans="1:32" hidden="1" x14ac:dyDescent="0.35">
      <c r="A253" s="54" t="s">
        <v>268</v>
      </c>
      <c r="B253" s="54"/>
      <c r="C253" s="54">
        <v>515</v>
      </c>
      <c r="D253" s="54" t="s">
        <v>425</v>
      </c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  <c r="AC253" s="54"/>
      <c r="AD253" s="54"/>
      <c r="AE253" s="54"/>
      <c r="AF253" s="54"/>
    </row>
    <row r="254" spans="1:32" hidden="1" x14ac:dyDescent="0.35">
      <c r="A254" s="54" t="s">
        <v>269</v>
      </c>
      <c r="B254" s="54"/>
      <c r="C254" s="54">
        <v>516</v>
      </c>
      <c r="D254" s="54" t="s">
        <v>426</v>
      </c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  <c r="AC254" s="54"/>
      <c r="AD254" s="54"/>
      <c r="AE254" s="54"/>
      <c r="AF254" s="54"/>
    </row>
    <row r="255" spans="1:32" hidden="1" x14ac:dyDescent="0.35">
      <c r="A255" s="54" t="s">
        <v>270</v>
      </c>
      <c r="B255" s="54"/>
      <c r="C255" s="54">
        <v>517</v>
      </c>
      <c r="D255" s="54" t="s">
        <v>427</v>
      </c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  <c r="AC255" s="54"/>
      <c r="AD255" s="54"/>
      <c r="AE255" s="54"/>
      <c r="AF255" s="54"/>
    </row>
    <row r="256" spans="1:32" hidden="1" x14ac:dyDescent="0.35">
      <c r="A256" s="54" t="s">
        <v>271</v>
      </c>
      <c r="B256" s="54"/>
      <c r="C256" s="54">
        <v>518</v>
      </c>
      <c r="D256" s="54" t="s">
        <v>428</v>
      </c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  <c r="AC256" s="54"/>
      <c r="AD256" s="54"/>
      <c r="AE256" s="54"/>
      <c r="AF256" s="54"/>
    </row>
    <row r="257" spans="1:32" hidden="1" x14ac:dyDescent="0.35">
      <c r="A257" s="54" t="s">
        <v>272</v>
      </c>
      <c r="B257" s="54"/>
      <c r="C257" s="54">
        <v>519</v>
      </c>
      <c r="D257" s="54" t="s">
        <v>429</v>
      </c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  <c r="AC257" s="54"/>
      <c r="AD257" s="54"/>
      <c r="AE257" s="54"/>
      <c r="AF257" s="54"/>
    </row>
    <row r="258" spans="1:32" hidden="1" x14ac:dyDescent="0.35">
      <c r="A258" s="54" t="s">
        <v>273</v>
      </c>
      <c r="B258" s="54"/>
      <c r="C258" s="54">
        <v>520</v>
      </c>
      <c r="D258" s="54" t="s">
        <v>430</v>
      </c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  <c r="AC258" s="54"/>
      <c r="AD258" s="54"/>
      <c r="AE258" s="54"/>
      <c r="AF258" s="54"/>
    </row>
    <row r="259" spans="1:32" hidden="1" x14ac:dyDescent="0.35">
      <c r="A259" s="54" t="s">
        <v>274</v>
      </c>
      <c r="B259" s="54"/>
      <c r="C259" s="54">
        <v>521</v>
      </c>
      <c r="D259" s="54" t="s">
        <v>431</v>
      </c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  <c r="AC259" s="54"/>
      <c r="AD259" s="54"/>
      <c r="AE259" s="54"/>
      <c r="AF259" s="54"/>
    </row>
    <row r="260" spans="1:32" hidden="1" x14ac:dyDescent="0.35">
      <c r="A260" s="54"/>
      <c r="B260" s="54"/>
      <c r="C260" s="54">
        <v>522</v>
      </c>
      <c r="D260" s="54" t="s">
        <v>432</v>
      </c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  <c r="AC260" s="54"/>
      <c r="AD260" s="54"/>
      <c r="AE260" s="54"/>
      <c r="AF260" s="54"/>
    </row>
    <row r="261" spans="1:32" hidden="1" x14ac:dyDescent="0.35">
      <c r="A261" s="54"/>
      <c r="B261" s="54"/>
      <c r="C261" s="54">
        <v>523</v>
      </c>
      <c r="D261" s="54" t="s">
        <v>433</v>
      </c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  <c r="AC261" s="54"/>
      <c r="AD261" s="54"/>
      <c r="AE261" s="54"/>
      <c r="AF261" s="54"/>
    </row>
    <row r="262" spans="1:32" hidden="1" x14ac:dyDescent="0.35">
      <c r="A262" s="54"/>
      <c r="B262" s="54"/>
      <c r="C262" s="54">
        <v>524</v>
      </c>
      <c r="D262" s="54" t="s">
        <v>434</v>
      </c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  <c r="AB262" s="54"/>
      <c r="AC262" s="54"/>
      <c r="AD262" s="54"/>
      <c r="AE262" s="54"/>
      <c r="AF262" s="54"/>
    </row>
    <row r="263" spans="1:32" hidden="1" x14ac:dyDescent="0.35">
      <c r="A263" s="54"/>
      <c r="B263" s="54"/>
      <c r="C263" s="54">
        <v>525</v>
      </c>
      <c r="D263" s="54" t="s">
        <v>435</v>
      </c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  <c r="AC263" s="54"/>
      <c r="AD263" s="54"/>
      <c r="AE263" s="54"/>
      <c r="AF263" s="54"/>
    </row>
    <row r="264" spans="1:32" hidden="1" x14ac:dyDescent="0.35">
      <c r="A264" s="54"/>
      <c r="B264" s="54"/>
      <c r="C264" s="54">
        <v>526</v>
      </c>
      <c r="D264" s="54" t="s">
        <v>436</v>
      </c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  <c r="AB264" s="54"/>
      <c r="AC264" s="54"/>
      <c r="AD264" s="54"/>
      <c r="AE264" s="54"/>
      <c r="AF264" s="54"/>
    </row>
    <row r="265" spans="1:32" hidden="1" x14ac:dyDescent="0.35">
      <c r="A265" s="54"/>
      <c r="B265" s="54"/>
      <c r="C265" s="54">
        <v>527</v>
      </c>
      <c r="D265" s="54" t="s">
        <v>437</v>
      </c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  <c r="AC265" s="54"/>
      <c r="AD265" s="54"/>
      <c r="AE265" s="54"/>
      <c r="AF265" s="54"/>
    </row>
    <row r="266" spans="1:32" hidden="1" x14ac:dyDescent="0.35">
      <c r="A266" s="54"/>
      <c r="B266" s="54"/>
      <c r="C266" s="54">
        <v>528</v>
      </c>
      <c r="D266" s="54" t="s">
        <v>438</v>
      </c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  <c r="AB266" s="54"/>
      <c r="AC266" s="54"/>
      <c r="AD266" s="54"/>
      <c r="AE266" s="54"/>
      <c r="AF266" s="54"/>
    </row>
    <row r="267" spans="1:32" hidden="1" x14ac:dyDescent="0.35">
      <c r="A267" s="54"/>
      <c r="B267" s="54"/>
      <c r="C267" s="54">
        <v>529</v>
      </c>
      <c r="D267" s="54" t="s">
        <v>439</v>
      </c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  <c r="AC267" s="54"/>
      <c r="AD267" s="54"/>
      <c r="AE267" s="54"/>
      <c r="AF267" s="54"/>
    </row>
    <row r="268" spans="1:32" hidden="1" x14ac:dyDescent="0.35">
      <c r="A268" s="54"/>
      <c r="B268" s="54"/>
      <c r="C268" s="54">
        <v>530</v>
      </c>
      <c r="D268" s="54" t="s">
        <v>440</v>
      </c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  <c r="AC268" s="54"/>
      <c r="AD268" s="54"/>
      <c r="AE268" s="54"/>
      <c r="AF268" s="54"/>
    </row>
    <row r="269" spans="1:32" hidden="1" x14ac:dyDescent="0.35">
      <c r="A269" s="54"/>
      <c r="B269" s="54"/>
      <c r="C269" s="54">
        <v>531</v>
      </c>
      <c r="D269" s="54" t="s">
        <v>441</v>
      </c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  <c r="AC269" s="54"/>
      <c r="AD269" s="54"/>
      <c r="AE269" s="54"/>
      <c r="AF269" s="54"/>
    </row>
    <row r="270" spans="1:32" hidden="1" x14ac:dyDescent="0.35">
      <c r="A270" s="54"/>
      <c r="B270" s="54"/>
      <c r="C270" s="54">
        <v>532</v>
      </c>
      <c r="D270" s="54" t="s">
        <v>442</v>
      </c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  <c r="AF270" s="54"/>
    </row>
    <row r="271" spans="1:32" hidden="1" x14ac:dyDescent="0.35">
      <c r="A271" s="54"/>
      <c r="B271" s="54"/>
      <c r="C271" s="54">
        <v>601</v>
      </c>
      <c r="D271" s="54" t="s">
        <v>443</v>
      </c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  <c r="AE271" s="54"/>
      <c r="AF271" s="54"/>
    </row>
    <row r="272" spans="1:32" hidden="1" x14ac:dyDescent="0.35">
      <c r="A272" s="54"/>
      <c r="B272" s="54"/>
      <c r="C272" s="54">
        <v>602</v>
      </c>
      <c r="D272" s="54" t="s">
        <v>444</v>
      </c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</row>
    <row r="273" spans="1:32" hidden="1" x14ac:dyDescent="0.35">
      <c r="A273" s="54"/>
      <c r="B273" s="54"/>
      <c r="C273" s="54">
        <v>701</v>
      </c>
      <c r="D273" s="54" t="s">
        <v>445</v>
      </c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  <c r="AE273" s="54"/>
      <c r="AF273" s="54"/>
    </row>
    <row r="274" spans="1:32" hidden="1" x14ac:dyDescent="0.35">
      <c r="A274" s="54"/>
      <c r="B274" s="54"/>
      <c r="C274" s="54">
        <v>702</v>
      </c>
      <c r="D274" s="54" t="s">
        <v>446</v>
      </c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  <c r="AC274" s="54"/>
      <c r="AD274" s="54"/>
      <c r="AE274" s="54"/>
      <c r="AF274" s="54"/>
    </row>
    <row r="275" spans="1:32" hidden="1" x14ac:dyDescent="0.35">
      <c r="A275" s="54"/>
      <c r="B275" s="54"/>
      <c r="C275" s="54">
        <v>721</v>
      </c>
      <c r="D275" s="54" t="s">
        <v>447</v>
      </c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  <c r="AE275" s="54"/>
      <c r="AF275" s="54"/>
    </row>
    <row r="276" spans="1:32" hidden="1" x14ac:dyDescent="0.35">
      <c r="A276" s="54"/>
      <c r="B276" s="54"/>
      <c r="C276" s="54">
        <v>800</v>
      </c>
      <c r="D276" s="54" t="s">
        <v>448</v>
      </c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  <c r="AE276" s="54"/>
      <c r="AF276" s="54"/>
    </row>
    <row r="277" spans="1:32" hidden="1" x14ac:dyDescent="0.35">
      <c r="A277" s="54"/>
      <c r="B277" s="54"/>
      <c r="C277" s="54">
        <v>900</v>
      </c>
      <c r="D277" s="54" t="s">
        <v>449</v>
      </c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  <c r="AE277" s="54"/>
      <c r="AF277" s="54"/>
    </row>
    <row r="278" spans="1:32" hidden="1" x14ac:dyDescent="0.35">
      <c r="A278" s="54"/>
      <c r="B278" s="54"/>
      <c r="C278" s="54">
        <v>951</v>
      </c>
      <c r="D278" s="54" t="s">
        <v>450</v>
      </c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  <c r="AE278" s="54"/>
      <c r="AF278" s="54"/>
    </row>
    <row r="279" spans="1:32" hidden="1" x14ac:dyDescent="0.35">
      <c r="A279" s="54"/>
      <c r="B279" s="54"/>
      <c r="C279" s="54">
        <v>961</v>
      </c>
      <c r="D279" s="54" t="s">
        <v>451</v>
      </c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  <c r="AE279" s="54"/>
      <c r="AF279" s="54"/>
    </row>
    <row r="280" spans="1:32" hidden="1" x14ac:dyDescent="0.35">
      <c r="A280" s="54"/>
      <c r="B280" s="54"/>
      <c r="C280" s="54">
        <v>981</v>
      </c>
      <c r="D280" s="54" t="s">
        <v>452</v>
      </c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  <c r="AE280" s="54"/>
      <c r="AF280" s="54"/>
    </row>
    <row r="281" spans="1:32" hidden="1" x14ac:dyDescent="0.35">
      <c r="A281" s="54"/>
      <c r="B281" s="54"/>
      <c r="C281" s="54">
        <v>991</v>
      </c>
      <c r="D281" s="54" t="s">
        <v>453</v>
      </c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  <c r="AE281" s="54"/>
      <c r="AF281" s="54"/>
    </row>
    <row r="282" spans="1:32" hidden="1" x14ac:dyDescent="0.35">
      <c r="A282" s="54"/>
      <c r="B282" s="54"/>
      <c r="C282" s="54">
        <v>1001</v>
      </c>
      <c r="D282" s="54" t="s">
        <v>454</v>
      </c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  <c r="AE282" s="54"/>
      <c r="AF282" s="54"/>
    </row>
    <row r="283" spans="1:32" hidden="1" x14ac:dyDescent="0.35">
      <c r="A283" s="54"/>
      <c r="B283" s="54"/>
      <c r="C283" s="54">
        <v>1002</v>
      </c>
      <c r="D283" s="54" t="s">
        <v>455</v>
      </c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  <c r="AE283" s="54"/>
      <c r="AF283" s="54"/>
    </row>
    <row r="284" spans="1:32" hidden="1" x14ac:dyDescent="0.35">
      <c r="A284" s="54"/>
      <c r="B284" s="54"/>
      <c r="C284" s="54">
        <v>1003</v>
      </c>
      <c r="D284" s="54" t="s">
        <v>456</v>
      </c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  <c r="AE284" s="54"/>
      <c r="AF284" s="54"/>
    </row>
    <row r="285" spans="1:32" hidden="1" x14ac:dyDescent="0.35">
      <c r="A285" s="54"/>
      <c r="B285" s="54"/>
      <c r="C285" s="54">
        <v>1004</v>
      </c>
      <c r="D285" s="54" t="s">
        <v>457</v>
      </c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  <c r="AE285" s="54"/>
      <c r="AF285" s="54"/>
    </row>
    <row r="286" spans="1:32" hidden="1" x14ac:dyDescent="0.35">
      <c r="A286" s="54"/>
      <c r="B286" s="54"/>
      <c r="C286" s="54">
        <v>23512</v>
      </c>
      <c r="D286" s="54" t="s">
        <v>458</v>
      </c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  <c r="AC286" s="54"/>
      <c r="AD286" s="54"/>
      <c r="AE286" s="54"/>
      <c r="AF286" s="54"/>
    </row>
    <row r="287" spans="1:32" hidden="1" x14ac:dyDescent="0.35">
      <c r="A287" s="54"/>
      <c r="B287" s="54"/>
      <c r="C287" s="54">
        <v>23513</v>
      </c>
      <c r="D287" s="54" t="s">
        <v>459</v>
      </c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  <c r="AC287" s="54"/>
      <c r="AD287" s="54"/>
      <c r="AE287" s="54"/>
      <c r="AF287" s="54"/>
    </row>
    <row r="288" spans="1:32" hidden="1" x14ac:dyDescent="0.35">
      <c r="A288" s="54"/>
      <c r="B288" s="54"/>
      <c r="C288" s="54">
        <v>23514</v>
      </c>
      <c r="D288" s="54" t="s">
        <v>460</v>
      </c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  <c r="AC288" s="54"/>
      <c r="AD288" s="54"/>
      <c r="AE288" s="54"/>
      <c r="AF288" s="54"/>
    </row>
    <row r="289" spans="1:32" hidden="1" x14ac:dyDescent="0.35">
      <c r="A289" s="54"/>
      <c r="B289" s="54"/>
      <c r="C289" s="54">
        <v>23515</v>
      </c>
      <c r="D289" s="54" t="s">
        <v>461</v>
      </c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  <c r="AC289" s="54"/>
      <c r="AD289" s="54"/>
      <c r="AE289" s="54"/>
      <c r="AF289" s="54"/>
    </row>
    <row r="290" spans="1:32" hidden="1" x14ac:dyDescent="0.35">
      <c r="A290" s="54"/>
      <c r="B290" s="54"/>
      <c r="C290" s="54">
        <v>23516</v>
      </c>
      <c r="D290" s="54" t="s">
        <v>462</v>
      </c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  <c r="AC290" s="54"/>
      <c r="AD290" s="54"/>
      <c r="AE290" s="54"/>
      <c r="AF290" s="54"/>
    </row>
    <row r="291" spans="1:32" hidden="1" x14ac:dyDescent="0.35">
      <c r="A291" s="54"/>
      <c r="B291" s="54"/>
      <c r="C291" s="54">
        <v>23517</v>
      </c>
      <c r="D291" s="54" t="s">
        <v>463</v>
      </c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  <c r="AB291" s="54"/>
      <c r="AC291" s="54"/>
      <c r="AD291" s="54"/>
      <c r="AE291" s="54"/>
      <c r="AF291" s="54"/>
    </row>
    <row r="292" spans="1:32" hidden="1" x14ac:dyDescent="0.35">
      <c r="A292" s="54"/>
      <c r="B292" s="54"/>
      <c r="C292" s="54">
        <v>23518</v>
      </c>
      <c r="D292" s="54" t="s">
        <v>464</v>
      </c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  <c r="AC292" s="54"/>
      <c r="AD292" s="54"/>
      <c r="AE292" s="54"/>
      <c r="AF292" s="54"/>
    </row>
    <row r="293" spans="1:32" hidden="1" x14ac:dyDescent="0.35">
      <c r="A293" s="54"/>
      <c r="B293" s="54"/>
      <c r="C293" s="54">
        <v>23519</v>
      </c>
      <c r="D293" s="54" t="s">
        <v>465</v>
      </c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  <c r="AC293" s="54"/>
      <c r="AD293" s="54"/>
      <c r="AE293" s="54"/>
      <c r="AF293" s="54"/>
    </row>
    <row r="294" spans="1:32" hidden="1" x14ac:dyDescent="0.35">
      <c r="A294" s="54"/>
      <c r="B294" s="54"/>
      <c r="C294" s="54">
        <v>23520</v>
      </c>
      <c r="D294" s="54" t="s">
        <v>466</v>
      </c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  <c r="AB294" s="54"/>
      <c r="AC294" s="54"/>
      <c r="AD294" s="54"/>
      <c r="AE294" s="54"/>
      <c r="AF294" s="54"/>
    </row>
    <row r="295" spans="1:32" hidden="1" x14ac:dyDescent="0.35">
      <c r="A295" s="54"/>
      <c r="B295" s="54"/>
      <c r="C295" s="54">
        <v>23522</v>
      </c>
      <c r="D295" s="54" t="s">
        <v>467</v>
      </c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  <c r="AC295" s="54"/>
      <c r="AD295" s="54"/>
      <c r="AE295" s="54"/>
      <c r="AF295" s="54"/>
    </row>
    <row r="296" spans="1:32" hidden="1" x14ac:dyDescent="0.35">
      <c r="A296" s="54"/>
      <c r="B296" s="54"/>
      <c r="C296" s="54">
        <v>23523</v>
      </c>
      <c r="D296" s="54" t="s">
        <v>468</v>
      </c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  <c r="AC296" s="54"/>
      <c r="AD296" s="54"/>
      <c r="AE296" s="54"/>
      <c r="AF296" s="54"/>
    </row>
    <row r="297" spans="1:32" hidden="1" x14ac:dyDescent="0.35">
      <c r="A297" s="54"/>
      <c r="B297" s="54"/>
      <c r="C297" s="54">
        <v>23524</v>
      </c>
      <c r="D297" s="54" t="s">
        <v>469</v>
      </c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  <c r="AC297" s="54"/>
      <c r="AD297" s="54"/>
      <c r="AE297" s="54"/>
      <c r="AF297" s="54"/>
    </row>
    <row r="298" spans="1:32" hidden="1" x14ac:dyDescent="0.35">
      <c r="A298" s="54"/>
      <c r="B298" s="54"/>
      <c r="C298" s="54">
        <v>23526</v>
      </c>
      <c r="D298" s="54" t="s">
        <v>470</v>
      </c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  <c r="AC298" s="54"/>
      <c r="AD298" s="54"/>
      <c r="AE298" s="54"/>
      <c r="AF298" s="54"/>
    </row>
    <row r="299" spans="1:32" hidden="1" x14ac:dyDescent="0.35">
      <c r="A299" s="54"/>
      <c r="B299" s="54"/>
      <c r="C299" s="54">
        <v>23527</v>
      </c>
      <c r="D299" s="54" t="s">
        <v>471</v>
      </c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  <c r="AC299" s="54"/>
      <c r="AD299" s="54"/>
      <c r="AE299" s="54"/>
      <c r="AF299" s="54"/>
    </row>
    <row r="300" spans="1:32" hidden="1" x14ac:dyDescent="0.35">
      <c r="A300" s="54"/>
      <c r="B300" s="54"/>
      <c r="C300" s="54">
        <v>23528</v>
      </c>
      <c r="D300" s="54" t="s">
        <v>472</v>
      </c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  <c r="AB300" s="54"/>
      <c r="AC300" s="54"/>
      <c r="AD300" s="54"/>
      <c r="AE300" s="54"/>
      <c r="AF300" s="54"/>
    </row>
    <row r="301" spans="1:32" hidden="1" x14ac:dyDescent="0.35">
      <c r="A301" s="54"/>
      <c r="B301" s="54"/>
      <c r="C301" s="54">
        <v>23530</v>
      </c>
      <c r="D301" s="54" t="s">
        <v>473</v>
      </c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  <c r="AB301" s="54"/>
      <c r="AC301" s="54"/>
      <c r="AD301" s="54"/>
      <c r="AE301" s="54"/>
      <c r="AF301" s="54"/>
    </row>
    <row r="302" spans="1:32" hidden="1" x14ac:dyDescent="0.35">
      <c r="A302" s="54"/>
      <c r="B302" s="54"/>
      <c r="C302" s="54">
        <v>23531</v>
      </c>
      <c r="D302" s="54" t="s">
        <v>474</v>
      </c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  <c r="AB302" s="54"/>
      <c r="AC302" s="54"/>
      <c r="AD302" s="54"/>
      <c r="AE302" s="54"/>
      <c r="AF302" s="54"/>
    </row>
    <row r="303" spans="1:32" hidden="1" x14ac:dyDescent="0.35">
      <c r="A303" s="54"/>
      <c r="B303" s="54"/>
      <c r="C303" s="54">
        <v>23533</v>
      </c>
      <c r="D303" s="54" t="s">
        <v>475</v>
      </c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  <c r="AB303" s="54"/>
      <c r="AC303" s="54"/>
      <c r="AD303" s="54"/>
      <c r="AE303" s="54"/>
      <c r="AF303" s="54"/>
    </row>
    <row r="304" spans="1:32" hidden="1" x14ac:dyDescent="0.35">
      <c r="A304" s="54"/>
      <c r="B304" s="54"/>
      <c r="C304" s="54">
        <v>23534</v>
      </c>
      <c r="D304" s="54" t="s">
        <v>476</v>
      </c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  <c r="AB304" s="54"/>
      <c r="AC304" s="54"/>
      <c r="AD304" s="54"/>
      <c r="AE304" s="54"/>
      <c r="AF304" s="54"/>
    </row>
    <row r="305" spans="1:32" hidden="1" x14ac:dyDescent="0.35">
      <c r="A305" s="54"/>
      <c r="B305" s="54"/>
      <c r="C305" s="54">
        <v>23535</v>
      </c>
      <c r="D305" s="54" t="s">
        <v>477</v>
      </c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  <c r="AB305" s="54"/>
      <c r="AC305" s="54"/>
      <c r="AD305" s="54"/>
      <c r="AE305" s="54"/>
      <c r="AF305" s="54"/>
    </row>
    <row r="306" spans="1:32" hidden="1" x14ac:dyDescent="0.35">
      <c r="A306" s="54"/>
      <c r="B306" s="54"/>
      <c r="C306" s="54">
        <v>23538</v>
      </c>
      <c r="D306" s="54" t="s">
        <v>478</v>
      </c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  <c r="AB306" s="54"/>
      <c r="AC306" s="54"/>
      <c r="AD306" s="54"/>
      <c r="AE306" s="54"/>
      <c r="AF306" s="54"/>
    </row>
    <row r="307" spans="1:32" hidden="1" x14ac:dyDescent="0.35">
      <c r="A307" s="54"/>
      <c r="B307" s="54"/>
      <c r="C307" s="54">
        <v>23540</v>
      </c>
      <c r="D307" s="54" t="s">
        <v>479</v>
      </c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  <c r="AB307" s="54"/>
      <c r="AC307" s="54"/>
      <c r="AD307" s="54"/>
      <c r="AE307" s="54"/>
      <c r="AF307" s="54"/>
    </row>
    <row r="308" spans="1:32" hidden="1" x14ac:dyDescent="0.35">
      <c r="A308" s="54"/>
      <c r="B308" s="54"/>
      <c r="C308" s="54">
        <v>23541</v>
      </c>
      <c r="D308" s="54" t="s">
        <v>480</v>
      </c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  <c r="AB308" s="54"/>
      <c r="AC308" s="54"/>
      <c r="AD308" s="54"/>
      <c r="AE308" s="54"/>
      <c r="AF308" s="54"/>
    </row>
    <row r="309" spans="1:32" hidden="1" x14ac:dyDescent="0.35">
      <c r="A309" s="54"/>
      <c r="B309" s="54"/>
      <c r="C309" s="54">
        <v>23543</v>
      </c>
      <c r="D309" s="54" t="s">
        <v>481</v>
      </c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  <c r="AB309" s="54"/>
      <c r="AC309" s="54"/>
      <c r="AD309" s="54"/>
      <c r="AE309" s="54"/>
      <c r="AF309" s="54"/>
    </row>
    <row r="310" spans="1:32" hidden="1" x14ac:dyDescent="0.35">
      <c r="A310" s="54"/>
      <c r="B310" s="54"/>
      <c r="C310" s="54">
        <v>23545</v>
      </c>
      <c r="D310" s="54" t="s">
        <v>482</v>
      </c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  <c r="AE310" s="54"/>
      <c r="AF310" s="54"/>
    </row>
    <row r="311" spans="1:32" hidden="1" x14ac:dyDescent="0.35">
      <c r="A311" s="54"/>
      <c r="B311" s="54"/>
      <c r="C311" s="54">
        <v>23546</v>
      </c>
      <c r="D311" s="54" t="s">
        <v>483</v>
      </c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  <c r="AE311" s="54"/>
      <c r="AF311" s="54"/>
    </row>
    <row r="312" spans="1:32" hidden="1" x14ac:dyDescent="0.35">
      <c r="A312" s="54"/>
      <c r="B312" s="54"/>
      <c r="C312" s="54">
        <v>23547</v>
      </c>
      <c r="D312" s="54" t="s">
        <v>484</v>
      </c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54"/>
      <c r="AC312" s="54"/>
      <c r="AD312" s="54"/>
      <c r="AE312" s="54"/>
      <c r="AF312" s="54"/>
    </row>
    <row r="313" spans="1:32" hidden="1" x14ac:dyDescent="0.35">
      <c r="A313" s="54"/>
      <c r="B313" s="54"/>
      <c r="C313" s="54">
        <v>23548</v>
      </c>
      <c r="D313" s="54" t="s">
        <v>485</v>
      </c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  <c r="AE313" s="54"/>
      <c r="AF313" s="54"/>
    </row>
    <row r="314" spans="1:32" hidden="1" x14ac:dyDescent="0.35">
      <c r="A314" s="54"/>
      <c r="B314" s="54"/>
      <c r="C314" s="54">
        <v>23550</v>
      </c>
      <c r="D314" s="54" t="s">
        <v>486</v>
      </c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  <c r="AE314" s="54"/>
      <c r="AF314" s="54"/>
    </row>
    <row r="315" spans="1:32" hidden="1" x14ac:dyDescent="0.35">
      <c r="A315" s="54"/>
      <c r="B315" s="54"/>
      <c r="C315" s="54">
        <v>23551</v>
      </c>
      <c r="D315" s="54" t="s">
        <v>487</v>
      </c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  <c r="AE315" s="54"/>
      <c r="AF315" s="54"/>
    </row>
    <row r="316" spans="1:32" hidden="1" x14ac:dyDescent="0.35">
      <c r="A316" s="54"/>
      <c r="B316" s="54"/>
      <c r="C316" s="54">
        <v>23552</v>
      </c>
      <c r="D316" s="54" t="s">
        <v>488</v>
      </c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  <c r="AE316" s="54"/>
      <c r="AF316" s="54"/>
    </row>
    <row r="317" spans="1:32" hidden="1" x14ac:dyDescent="0.35">
      <c r="A317" s="54"/>
      <c r="B317" s="54"/>
      <c r="C317" s="54">
        <v>23553</v>
      </c>
      <c r="D317" s="54" t="s">
        <v>489</v>
      </c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  <c r="AE317" s="54"/>
      <c r="AF317" s="54"/>
    </row>
    <row r="318" spans="1:32" hidden="1" x14ac:dyDescent="0.35">
      <c r="A318" s="54"/>
      <c r="B318" s="54"/>
      <c r="C318" s="54">
        <v>23555</v>
      </c>
      <c r="D318" s="54" t="s">
        <v>490</v>
      </c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  <c r="AE318" s="54"/>
      <c r="AF318" s="54"/>
    </row>
    <row r="319" spans="1:32" hidden="1" x14ac:dyDescent="0.35">
      <c r="A319" s="54"/>
      <c r="B319" s="54"/>
      <c r="C319" s="54">
        <v>23557</v>
      </c>
      <c r="D319" s="54" t="s">
        <v>491</v>
      </c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  <c r="AE319" s="54"/>
      <c r="AF319" s="54"/>
    </row>
    <row r="320" spans="1:32" hidden="1" x14ac:dyDescent="0.35">
      <c r="A320" s="54"/>
      <c r="B320" s="54"/>
      <c r="C320" s="54">
        <v>23558</v>
      </c>
      <c r="D320" s="54" t="s">
        <v>492</v>
      </c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  <c r="AE320" s="54"/>
      <c r="AF320" s="54"/>
    </row>
    <row r="321" spans="1:32" hidden="1" x14ac:dyDescent="0.35">
      <c r="A321" s="54"/>
      <c r="B321" s="54"/>
      <c r="C321" s="54">
        <v>23559</v>
      </c>
      <c r="D321" s="54" t="s">
        <v>493</v>
      </c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  <c r="AE321" s="54"/>
      <c r="AF321" s="54"/>
    </row>
    <row r="322" spans="1:32" hidden="1" x14ac:dyDescent="0.35">
      <c r="A322" s="54"/>
      <c r="B322" s="54"/>
      <c r="C322" s="54">
        <v>23560</v>
      </c>
      <c r="D322" s="54" t="s">
        <v>494</v>
      </c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  <c r="AE322" s="54"/>
      <c r="AF322" s="54"/>
    </row>
    <row r="323" spans="1:32" hidden="1" x14ac:dyDescent="0.35">
      <c r="A323" s="54"/>
      <c r="B323" s="54"/>
      <c r="C323" s="54">
        <v>23561</v>
      </c>
      <c r="D323" s="54" t="s">
        <v>495</v>
      </c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  <c r="AE323" s="54"/>
      <c r="AF323" s="54"/>
    </row>
    <row r="324" spans="1:32" hidden="1" x14ac:dyDescent="0.35">
      <c r="A324" s="54"/>
      <c r="B324" s="54"/>
      <c r="C324" s="54">
        <v>23562</v>
      </c>
      <c r="D324" s="54" t="s">
        <v>496</v>
      </c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  <c r="AC324" s="54"/>
      <c r="AD324" s="54"/>
      <c r="AE324" s="54"/>
      <c r="AF324" s="54"/>
    </row>
    <row r="325" spans="1:32" hidden="1" x14ac:dyDescent="0.35">
      <c r="A325" s="54"/>
      <c r="B325" s="54"/>
      <c r="C325" s="54">
        <v>23563</v>
      </c>
      <c r="D325" s="54" t="s">
        <v>497</v>
      </c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  <c r="AB325" s="54"/>
      <c r="AC325" s="54"/>
      <c r="AD325" s="54"/>
      <c r="AE325" s="54"/>
      <c r="AF325" s="54"/>
    </row>
    <row r="326" spans="1:32" hidden="1" x14ac:dyDescent="0.35">
      <c r="A326" s="54"/>
      <c r="B326" s="54"/>
      <c r="C326" s="54">
        <v>23564</v>
      </c>
      <c r="D326" s="54" t="s">
        <v>498</v>
      </c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  <c r="AC326" s="54"/>
      <c r="AD326" s="54"/>
      <c r="AE326" s="54"/>
      <c r="AF326" s="54"/>
    </row>
    <row r="327" spans="1:32" hidden="1" x14ac:dyDescent="0.35">
      <c r="A327" s="54"/>
      <c r="B327" s="54"/>
      <c r="C327" s="54">
        <v>23565</v>
      </c>
      <c r="D327" s="54" t="s">
        <v>499</v>
      </c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  <c r="AB327" s="54"/>
      <c r="AC327" s="54"/>
      <c r="AD327" s="54"/>
      <c r="AE327" s="54"/>
      <c r="AF327" s="54"/>
    </row>
    <row r="328" spans="1:32" hidden="1" x14ac:dyDescent="0.35">
      <c r="A328" s="54"/>
      <c r="B328" s="54"/>
      <c r="C328" s="54">
        <v>23566</v>
      </c>
      <c r="D328" s="54" t="s">
        <v>500</v>
      </c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  <c r="AB328" s="54"/>
      <c r="AC328" s="54"/>
      <c r="AD328" s="54"/>
      <c r="AE328" s="54"/>
      <c r="AF328" s="54"/>
    </row>
    <row r="329" spans="1:32" hidden="1" x14ac:dyDescent="0.35">
      <c r="A329" s="54"/>
      <c r="B329" s="54"/>
      <c r="C329" s="54">
        <v>23567</v>
      </c>
      <c r="D329" s="54" t="s">
        <v>501</v>
      </c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  <c r="AC329" s="54"/>
      <c r="AD329" s="54"/>
      <c r="AE329" s="54"/>
      <c r="AF329" s="54"/>
    </row>
    <row r="330" spans="1:32" hidden="1" x14ac:dyDescent="0.35">
      <c r="A330" s="54"/>
      <c r="B330" s="54"/>
      <c r="C330" s="54">
        <v>23571</v>
      </c>
      <c r="D330" s="54" t="s">
        <v>502</v>
      </c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  <c r="AC330" s="54"/>
      <c r="AD330" s="54"/>
      <c r="AE330" s="54"/>
      <c r="AF330" s="54"/>
    </row>
    <row r="331" spans="1:32" hidden="1" x14ac:dyDescent="0.35">
      <c r="A331" s="54"/>
      <c r="B331" s="54"/>
      <c r="C331" s="54">
        <v>23572</v>
      </c>
      <c r="D331" s="54" t="s">
        <v>503</v>
      </c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  <c r="AC331" s="54"/>
      <c r="AD331" s="54"/>
      <c r="AE331" s="54"/>
      <c r="AF331" s="54"/>
    </row>
    <row r="332" spans="1:32" hidden="1" x14ac:dyDescent="0.35">
      <c r="A332" s="54"/>
      <c r="B332" s="54"/>
      <c r="C332" s="54">
        <v>23573</v>
      </c>
      <c r="D332" s="54" t="s">
        <v>504</v>
      </c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  <c r="AE332" s="54"/>
      <c r="AF332" s="54"/>
    </row>
    <row r="333" spans="1:32" hidden="1" x14ac:dyDescent="0.35">
      <c r="A333" s="54"/>
      <c r="B333" s="54"/>
      <c r="C333" s="54">
        <v>23574</v>
      </c>
      <c r="D333" s="54" t="s">
        <v>505</v>
      </c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  <c r="AC333" s="54"/>
      <c r="AD333" s="54"/>
      <c r="AE333" s="54"/>
      <c r="AF333" s="54"/>
    </row>
    <row r="334" spans="1:32" hidden="1" x14ac:dyDescent="0.35">
      <c r="A334" s="54"/>
      <c r="B334" s="54"/>
      <c r="C334" s="54">
        <v>23575</v>
      </c>
      <c r="D334" s="54" t="s">
        <v>506</v>
      </c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  <c r="AC334" s="54"/>
      <c r="AD334" s="54"/>
      <c r="AE334" s="54"/>
      <c r="AF334" s="54"/>
    </row>
    <row r="335" spans="1:32" hidden="1" x14ac:dyDescent="0.35">
      <c r="A335" s="54"/>
      <c r="B335" s="54"/>
      <c r="C335" s="54">
        <v>23579</v>
      </c>
      <c r="D335" s="54" t="s">
        <v>507</v>
      </c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  <c r="AC335" s="54"/>
      <c r="AD335" s="54"/>
      <c r="AE335" s="54"/>
      <c r="AF335" s="54"/>
    </row>
    <row r="336" spans="1:32" hidden="1" x14ac:dyDescent="0.35">
      <c r="A336" s="54"/>
      <c r="B336" s="54"/>
      <c r="C336" s="54">
        <v>23580</v>
      </c>
      <c r="D336" s="54" t="s">
        <v>508</v>
      </c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  <c r="AC336" s="54"/>
      <c r="AD336" s="54"/>
      <c r="AE336" s="54"/>
      <c r="AF336" s="54"/>
    </row>
    <row r="337" spans="1:32" hidden="1" x14ac:dyDescent="0.35">
      <c r="A337" s="54"/>
      <c r="B337" s="54"/>
      <c r="C337" s="54">
        <v>23582</v>
      </c>
      <c r="D337" s="54" t="s">
        <v>509</v>
      </c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  <c r="AC337" s="54"/>
      <c r="AD337" s="54"/>
      <c r="AE337" s="54"/>
      <c r="AF337" s="54"/>
    </row>
    <row r="338" spans="1:32" hidden="1" x14ac:dyDescent="0.35">
      <c r="A338" s="54"/>
      <c r="B338" s="54"/>
      <c r="C338" s="54">
        <v>23583</v>
      </c>
      <c r="D338" s="54" t="s">
        <v>510</v>
      </c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  <c r="AC338" s="54"/>
      <c r="AD338" s="54"/>
      <c r="AE338" s="54"/>
      <c r="AF338" s="54"/>
    </row>
    <row r="339" spans="1:32" hidden="1" x14ac:dyDescent="0.35">
      <c r="A339" s="54"/>
      <c r="B339" s="54"/>
      <c r="C339" s="54">
        <v>23584</v>
      </c>
      <c r="D339" s="54" t="s">
        <v>511</v>
      </c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  <c r="AB339" s="54"/>
      <c r="AC339" s="54"/>
      <c r="AD339" s="54"/>
      <c r="AE339" s="54"/>
      <c r="AF339" s="54"/>
    </row>
    <row r="340" spans="1:32" hidden="1" x14ac:dyDescent="0.35">
      <c r="A340" s="54"/>
      <c r="B340" s="54"/>
      <c r="C340" s="54">
        <v>23585</v>
      </c>
      <c r="D340" s="54" t="s">
        <v>512</v>
      </c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  <c r="AB340" s="54"/>
      <c r="AC340" s="54"/>
      <c r="AD340" s="54"/>
      <c r="AE340" s="54"/>
      <c r="AF340" s="54"/>
    </row>
    <row r="341" spans="1:32" hidden="1" x14ac:dyDescent="0.35">
      <c r="A341" s="54"/>
      <c r="B341" s="54"/>
      <c r="C341" s="54">
        <v>23586</v>
      </c>
      <c r="D341" s="54" t="s">
        <v>513</v>
      </c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  <c r="AB341" s="54"/>
      <c r="AC341" s="54"/>
      <c r="AD341" s="54"/>
      <c r="AE341" s="54"/>
      <c r="AF341" s="54"/>
    </row>
    <row r="342" spans="1:32" hidden="1" x14ac:dyDescent="0.35">
      <c r="A342" s="54"/>
      <c r="B342" s="54"/>
      <c r="C342" s="54">
        <v>23587</v>
      </c>
      <c r="D342" s="54" t="s">
        <v>514</v>
      </c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  <c r="AB342" s="54"/>
      <c r="AC342" s="54"/>
      <c r="AD342" s="54"/>
      <c r="AE342" s="54"/>
      <c r="AF342" s="54"/>
    </row>
    <row r="343" spans="1:32" hidden="1" x14ac:dyDescent="0.35">
      <c r="A343" s="54"/>
      <c r="B343" s="54"/>
      <c r="C343" s="54">
        <v>23588</v>
      </c>
      <c r="D343" s="54" t="s">
        <v>515</v>
      </c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  <c r="AB343" s="54"/>
      <c r="AC343" s="54"/>
      <c r="AD343" s="54"/>
      <c r="AE343" s="54"/>
      <c r="AF343" s="54"/>
    </row>
    <row r="344" spans="1:32" hidden="1" x14ac:dyDescent="0.35">
      <c r="A344" s="54"/>
      <c r="B344" s="54"/>
      <c r="C344" s="54">
        <v>23589</v>
      </c>
      <c r="D344" s="54" t="s">
        <v>516</v>
      </c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  <c r="AB344" s="54"/>
      <c r="AC344" s="54"/>
      <c r="AD344" s="54"/>
      <c r="AE344" s="54"/>
      <c r="AF344" s="54"/>
    </row>
    <row r="345" spans="1:32" hidden="1" x14ac:dyDescent="0.35">
      <c r="A345" s="54"/>
      <c r="B345" s="54"/>
      <c r="C345" s="54">
        <v>23590</v>
      </c>
      <c r="D345" s="54" t="s">
        <v>517</v>
      </c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  <c r="AC345" s="54"/>
      <c r="AD345" s="54"/>
      <c r="AE345" s="54"/>
      <c r="AF345" s="54"/>
    </row>
    <row r="346" spans="1:32" hidden="1" x14ac:dyDescent="0.35">
      <c r="A346" s="54"/>
      <c r="B346" s="54"/>
      <c r="C346" s="54">
        <v>23591</v>
      </c>
      <c r="D346" s="54" t="s">
        <v>518</v>
      </c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  <c r="AB346" s="54"/>
      <c r="AC346" s="54"/>
      <c r="AD346" s="54"/>
      <c r="AE346" s="54"/>
      <c r="AF346" s="54"/>
    </row>
    <row r="347" spans="1:32" hidden="1" x14ac:dyDescent="0.35">
      <c r="A347" s="54"/>
      <c r="B347" s="54"/>
      <c r="C347" s="54">
        <v>23592</v>
      </c>
      <c r="D347" s="54" t="s">
        <v>519</v>
      </c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  <c r="AB347" s="54"/>
      <c r="AC347" s="54"/>
      <c r="AD347" s="54"/>
      <c r="AE347" s="54"/>
      <c r="AF347" s="54"/>
    </row>
    <row r="348" spans="1:32" hidden="1" x14ac:dyDescent="0.35">
      <c r="A348" s="54"/>
      <c r="B348" s="54"/>
      <c r="C348" s="54">
        <v>23593</v>
      </c>
      <c r="D348" s="54" t="s">
        <v>520</v>
      </c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  <c r="AE348" s="54"/>
      <c r="AF348" s="54"/>
    </row>
    <row r="349" spans="1:32" hidden="1" x14ac:dyDescent="0.35">
      <c r="A349" s="54"/>
      <c r="B349" s="54"/>
      <c r="C349" s="54">
        <v>23595</v>
      </c>
      <c r="D349" s="54" t="s">
        <v>521</v>
      </c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  <c r="AE349" s="54"/>
      <c r="AF349" s="54"/>
    </row>
    <row r="350" spans="1:32" hidden="1" x14ac:dyDescent="0.35">
      <c r="A350" s="54"/>
      <c r="B350" s="54"/>
      <c r="C350" s="54">
        <v>23598</v>
      </c>
      <c r="D350" s="54" t="s">
        <v>522</v>
      </c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  <c r="AB350" s="54"/>
      <c r="AC350" s="54"/>
      <c r="AD350" s="54"/>
      <c r="AE350" s="54"/>
      <c r="AF350" s="54"/>
    </row>
    <row r="351" spans="1:32" hidden="1" x14ac:dyDescent="0.35">
      <c r="A351" s="54"/>
      <c r="B351" s="54"/>
      <c r="C351" s="54">
        <v>23600</v>
      </c>
      <c r="D351" s="54" t="s">
        <v>523</v>
      </c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  <c r="AE351" s="54"/>
      <c r="AF351" s="54"/>
    </row>
    <row r="352" spans="1:32" hidden="1" x14ac:dyDescent="0.35">
      <c r="A352" s="54"/>
      <c r="B352" s="54"/>
      <c r="C352" s="54">
        <v>23601</v>
      </c>
      <c r="D352" s="54" t="s">
        <v>524</v>
      </c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  <c r="AE352" s="54"/>
      <c r="AF352" s="54"/>
    </row>
    <row r="353" spans="1:32" hidden="1" x14ac:dyDescent="0.35">
      <c r="A353" s="54"/>
      <c r="B353" s="54"/>
      <c r="C353" s="54">
        <v>23603</v>
      </c>
      <c r="D353" s="54" t="s">
        <v>525</v>
      </c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  <c r="AE353" s="54"/>
      <c r="AF353" s="54"/>
    </row>
    <row r="354" spans="1:32" hidden="1" x14ac:dyDescent="0.35">
      <c r="A354" s="54"/>
      <c r="B354" s="54"/>
      <c r="C354" s="54">
        <v>23604</v>
      </c>
      <c r="D354" s="54" t="s">
        <v>526</v>
      </c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  <c r="AE354" s="54"/>
      <c r="AF354" s="54"/>
    </row>
    <row r="355" spans="1:32" hidden="1" x14ac:dyDescent="0.35">
      <c r="A355" s="54"/>
      <c r="B355" s="54"/>
      <c r="C355" s="54">
        <v>23606</v>
      </c>
      <c r="D355" s="54" t="s">
        <v>527</v>
      </c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  <c r="AE355" s="54"/>
      <c r="AF355" s="54"/>
    </row>
    <row r="356" spans="1:32" hidden="1" x14ac:dyDescent="0.35">
      <c r="A356" s="54"/>
      <c r="B356" s="54"/>
      <c r="C356" s="54">
        <v>23607</v>
      </c>
      <c r="D356" s="54" t="s">
        <v>528</v>
      </c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  <c r="AE356" s="54"/>
      <c r="AF356" s="54"/>
    </row>
    <row r="357" spans="1:32" hidden="1" x14ac:dyDescent="0.35">
      <c r="A357" s="54"/>
      <c r="B357" s="54"/>
      <c r="C357" s="54">
        <v>23608</v>
      </c>
      <c r="D357" s="54" t="s">
        <v>529</v>
      </c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  <c r="AE357" s="54"/>
      <c r="AF357" s="54"/>
    </row>
    <row r="358" spans="1:32" hidden="1" x14ac:dyDescent="0.35">
      <c r="A358" s="54"/>
      <c r="B358" s="54"/>
      <c r="C358" s="54">
        <v>23609</v>
      </c>
      <c r="D358" s="54" t="s">
        <v>530</v>
      </c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  <c r="AE358" s="54"/>
      <c r="AF358" s="54"/>
    </row>
    <row r="359" spans="1:32" hidden="1" x14ac:dyDescent="0.35">
      <c r="A359" s="54"/>
      <c r="B359" s="54"/>
      <c r="C359" s="54">
        <v>23610</v>
      </c>
      <c r="D359" s="54" t="s">
        <v>531</v>
      </c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  <c r="AE359" s="54"/>
      <c r="AF359" s="54"/>
    </row>
    <row r="360" spans="1:32" hidden="1" x14ac:dyDescent="0.35">
      <c r="A360" s="54"/>
      <c r="B360" s="54"/>
      <c r="C360" s="54">
        <v>23611</v>
      </c>
      <c r="D360" s="54" t="s">
        <v>532</v>
      </c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  <c r="AE360" s="54"/>
      <c r="AF360" s="54"/>
    </row>
    <row r="361" spans="1:32" hidden="1" x14ac:dyDescent="0.35">
      <c r="A361" s="54"/>
      <c r="B361" s="54"/>
      <c r="C361" s="54">
        <v>23612</v>
      </c>
      <c r="D361" s="54" t="s">
        <v>533</v>
      </c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  <c r="AE361" s="54"/>
      <c r="AF361" s="54"/>
    </row>
    <row r="362" spans="1:32" hidden="1" x14ac:dyDescent="0.35">
      <c r="A362" s="54"/>
      <c r="B362" s="54"/>
      <c r="C362" s="54">
        <v>23613</v>
      </c>
      <c r="D362" s="54" t="s">
        <v>534</v>
      </c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  <c r="AB362" s="54"/>
      <c r="AC362" s="54"/>
      <c r="AD362" s="54"/>
      <c r="AE362" s="54"/>
      <c r="AF362" s="54"/>
    </row>
    <row r="363" spans="1:32" hidden="1" x14ac:dyDescent="0.35">
      <c r="A363" s="54"/>
      <c r="B363" s="54"/>
      <c r="C363" s="54">
        <v>23614</v>
      </c>
      <c r="D363" s="54" t="s">
        <v>535</v>
      </c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  <c r="AB363" s="54"/>
      <c r="AC363" s="54"/>
      <c r="AD363" s="54"/>
      <c r="AE363" s="54"/>
      <c r="AF363" s="54"/>
    </row>
    <row r="364" spans="1:32" hidden="1" x14ac:dyDescent="0.35">
      <c r="A364" s="54"/>
      <c r="B364" s="54"/>
      <c r="C364" s="54">
        <v>23616</v>
      </c>
      <c r="D364" s="54" t="s">
        <v>536</v>
      </c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  <c r="AB364" s="54"/>
      <c r="AC364" s="54"/>
      <c r="AD364" s="54"/>
      <c r="AE364" s="54"/>
      <c r="AF364" s="54"/>
    </row>
    <row r="365" spans="1:32" hidden="1" x14ac:dyDescent="0.35">
      <c r="A365" s="54"/>
      <c r="B365" s="54"/>
      <c r="C365" s="54">
        <v>23619</v>
      </c>
      <c r="D365" s="54" t="s">
        <v>537</v>
      </c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54"/>
      <c r="AC365" s="54"/>
      <c r="AD365" s="54"/>
      <c r="AE365" s="54"/>
      <c r="AF365" s="54"/>
    </row>
    <row r="366" spans="1:32" hidden="1" x14ac:dyDescent="0.35">
      <c r="A366" s="54"/>
      <c r="B366" s="54"/>
      <c r="C366" s="54">
        <v>23620</v>
      </c>
      <c r="D366" s="54" t="s">
        <v>538</v>
      </c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  <c r="AC366" s="54"/>
      <c r="AD366" s="54"/>
      <c r="AE366" s="54"/>
      <c r="AF366" s="54"/>
    </row>
    <row r="367" spans="1:32" hidden="1" x14ac:dyDescent="0.35">
      <c r="A367" s="54"/>
      <c r="B367" s="54"/>
      <c r="C367" s="54">
        <v>23621</v>
      </c>
      <c r="D367" s="54" t="s">
        <v>539</v>
      </c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  <c r="AC367" s="54"/>
      <c r="AD367" s="54"/>
      <c r="AE367" s="54"/>
      <c r="AF367" s="54"/>
    </row>
    <row r="368" spans="1:32" hidden="1" x14ac:dyDescent="0.35">
      <c r="A368" s="54"/>
      <c r="B368" s="54"/>
      <c r="C368" s="54">
        <v>23622</v>
      </c>
      <c r="D368" s="54" t="s">
        <v>540</v>
      </c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  <c r="AC368" s="54"/>
      <c r="AD368" s="54"/>
      <c r="AE368" s="54"/>
      <c r="AF368" s="54"/>
    </row>
    <row r="369" spans="1:32" hidden="1" x14ac:dyDescent="0.35">
      <c r="A369" s="54"/>
      <c r="B369" s="54"/>
      <c r="C369" s="54">
        <v>23625</v>
      </c>
      <c r="D369" s="54" t="s">
        <v>541</v>
      </c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  <c r="AC369" s="54"/>
      <c r="AD369" s="54"/>
      <c r="AE369" s="54"/>
      <c r="AF369" s="54"/>
    </row>
    <row r="370" spans="1:32" hidden="1" x14ac:dyDescent="0.35">
      <c r="A370" s="54"/>
      <c r="B370" s="54"/>
      <c r="C370" s="54">
        <v>23626</v>
      </c>
      <c r="D370" s="54" t="s">
        <v>542</v>
      </c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  <c r="AC370" s="54"/>
      <c r="AD370" s="54"/>
      <c r="AE370" s="54"/>
      <c r="AF370" s="54"/>
    </row>
    <row r="371" spans="1:32" hidden="1" x14ac:dyDescent="0.35">
      <c r="A371" s="54"/>
      <c r="B371" s="54"/>
      <c r="C371" s="54">
        <v>23627</v>
      </c>
      <c r="D371" s="54" t="s">
        <v>543</v>
      </c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  <c r="AC371" s="54"/>
      <c r="AD371" s="54"/>
      <c r="AE371" s="54"/>
      <c r="AF371" s="54"/>
    </row>
    <row r="372" spans="1:32" hidden="1" x14ac:dyDescent="0.35">
      <c r="A372" s="54"/>
      <c r="B372" s="54"/>
      <c r="C372" s="54">
        <v>23628</v>
      </c>
      <c r="D372" s="54" t="s">
        <v>544</v>
      </c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  <c r="AC372" s="54"/>
      <c r="AD372" s="54"/>
      <c r="AE372" s="54"/>
      <c r="AF372" s="54"/>
    </row>
    <row r="373" spans="1:32" hidden="1" x14ac:dyDescent="0.35">
      <c r="A373" s="54"/>
      <c r="B373" s="54"/>
      <c r="C373" s="54">
        <v>23629</v>
      </c>
      <c r="D373" s="54" t="s">
        <v>545</v>
      </c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  <c r="AC373" s="54"/>
      <c r="AD373" s="54"/>
      <c r="AE373" s="54"/>
      <c r="AF373" s="54"/>
    </row>
    <row r="374" spans="1:32" hidden="1" x14ac:dyDescent="0.35">
      <c r="A374" s="54"/>
      <c r="B374" s="54"/>
      <c r="C374" s="54">
        <v>23632</v>
      </c>
      <c r="D374" s="54" t="s">
        <v>546</v>
      </c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  <c r="AC374" s="54"/>
      <c r="AD374" s="54"/>
      <c r="AE374" s="54"/>
      <c r="AF374" s="54"/>
    </row>
    <row r="375" spans="1:32" hidden="1" x14ac:dyDescent="0.35">
      <c r="A375" s="54"/>
      <c r="B375" s="54"/>
      <c r="C375" s="54">
        <v>23639</v>
      </c>
      <c r="D375" s="54" t="s">
        <v>547</v>
      </c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  <c r="AC375" s="54"/>
      <c r="AD375" s="54"/>
      <c r="AE375" s="54"/>
      <c r="AF375" s="54"/>
    </row>
    <row r="376" spans="1:32" hidden="1" x14ac:dyDescent="0.35">
      <c r="A376" s="54"/>
      <c r="B376" s="54"/>
      <c r="C376" s="54">
        <v>23640</v>
      </c>
      <c r="D376" s="54" t="s">
        <v>548</v>
      </c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  <c r="AC376" s="54"/>
      <c r="AD376" s="54"/>
      <c r="AE376" s="54"/>
      <c r="AF376" s="54"/>
    </row>
    <row r="377" spans="1:32" hidden="1" x14ac:dyDescent="0.35">
      <c r="A377" s="54"/>
      <c r="B377" s="54"/>
      <c r="C377" s="54">
        <v>23641</v>
      </c>
      <c r="D377" s="54" t="s">
        <v>549</v>
      </c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  <c r="AC377" s="54"/>
      <c r="AD377" s="54"/>
      <c r="AE377" s="54"/>
      <c r="AF377" s="54"/>
    </row>
    <row r="378" spans="1:32" hidden="1" x14ac:dyDescent="0.35">
      <c r="A378" s="54"/>
      <c r="B378" s="54"/>
      <c r="C378" s="54">
        <v>23642</v>
      </c>
      <c r="D378" s="54" t="s">
        <v>550</v>
      </c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  <c r="AC378" s="54"/>
      <c r="AD378" s="54"/>
      <c r="AE378" s="54"/>
      <c r="AF378" s="54"/>
    </row>
    <row r="379" spans="1:32" hidden="1" x14ac:dyDescent="0.35">
      <c r="A379" s="54"/>
      <c r="B379" s="54"/>
      <c r="C379" s="54">
        <v>23644</v>
      </c>
      <c r="D379" s="54" t="s">
        <v>551</v>
      </c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  <c r="AC379" s="54"/>
      <c r="AD379" s="54"/>
      <c r="AE379" s="54"/>
      <c r="AF379" s="54"/>
    </row>
    <row r="380" spans="1:32" hidden="1" x14ac:dyDescent="0.35">
      <c r="A380" s="54"/>
      <c r="B380" s="54"/>
      <c r="C380" s="54">
        <v>23645</v>
      </c>
      <c r="D380" s="54" t="s">
        <v>552</v>
      </c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  <c r="AB380" s="54"/>
      <c r="AC380" s="54"/>
      <c r="AD380" s="54"/>
      <c r="AE380" s="54"/>
      <c r="AF380" s="54"/>
    </row>
    <row r="381" spans="1:32" hidden="1" x14ac:dyDescent="0.35">
      <c r="A381" s="54"/>
      <c r="B381" s="54"/>
      <c r="C381" s="54">
        <v>23646</v>
      </c>
      <c r="D381" s="54" t="s">
        <v>553</v>
      </c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  <c r="AB381" s="54"/>
      <c r="AC381" s="54"/>
      <c r="AD381" s="54"/>
      <c r="AE381" s="54"/>
      <c r="AF381" s="54"/>
    </row>
    <row r="382" spans="1:32" hidden="1" x14ac:dyDescent="0.35">
      <c r="A382" s="54"/>
      <c r="B382" s="54"/>
      <c r="C382" s="54">
        <v>23647</v>
      </c>
      <c r="D382" s="54" t="s">
        <v>554</v>
      </c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  <c r="AB382" s="54"/>
      <c r="AC382" s="54"/>
      <c r="AD382" s="54"/>
      <c r="AE382" s="54"/>
      <c r="AF382" s="54"/>
    </row>
    <row r="383" spans="1:32" hidden="1" x14ac:dyDescent="0.35">
      <c r="A383" s="54"/>
      <c r="B383" s="54"/>
      <c r="C383" s="54">
        <v>23650</v>
      </c>
      <c r="D383" s="54" t="s">
        <v>555</v>
      </c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  <c r="AB383" s="54"/>
      <c r="AC383" s="54"/>
      <c r="AD383" s="54"/>
      <c r="AE383" s="54"/>
      <c r="AF383" s="54"/>
    </row>
    <row r="384" spans="1:32" hidden="1" x14ac:dyDescent="0.35">
      <c r="A384" s="54"/>
      <c r="B384" s="54"/>
      <c r="C384" s="54">
        <v>23651</v>
      </c>
      <c r="D384" s="54" t="s">
        <v>556</v>
      </c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  <c r="AB384" s="54"/>
      <c r="AC384" s="54"/>
      <c r="AD384" s="54"/>
      <c r="AE384" s="54"/>
      <c r="AF384" s="54"/>
    </row>
    <row r="385" spans="1:32" hidden="1" x14ac:dyDescent="0.35">
      <c r="A385" s="54"/>
      <c r="B385" s="54"/>
      <c r="C385" s="54">
        <v>23652</v>
      </c>
      <c r="D385" s="54" t="s">
        <v>557</v>
      </c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  <c r="AB385" s="54"/>
      <c r="AC385" s="54"/>
      <c r="AD385" s="54"/>
      <c r="AE385" s="54"/>
      <c r="AF385" s="54"/>
    </row>
    <row r="386" spans="1:32" hidden="1" x14ac:dyDescent="0.35">
      <c r="A386" s="54"/>
      <c r="B386" s="54"/>
      <c r="C386" s="54">
        <v>23653</v>
      </c>
      <c r="D386" s="54" t="s">
        <v>558</v>
      </c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  <c r="AE386" s="54"/>
      <c r="AF386" s="54"/>
    </row>
    <row r="387" spans="1:32" hidden="1" x14ac:dyDescent="0.35">
      <c r="A387" s="54"/>
      <c r="B387" s="54"/>
      <c r="C387" s="54">
        <v>23654</v>
      </c>
      <c r="D387" s="54" t="s">
        <v>559</v>
      </c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  <c r="AE387" s="54"/>
      <c r="AF387" s="54"/>
    </row>
    <row r="388" spans="1:32" hidden="1" x14ac:dyDescent="0.35">
      <c r="A388" s="54"/>
      <c r="B388" s="54"/>
      <c r="C388" s="54">
        <v>23655</v>
      </c>
      <c r="D388" s="54" t="s">
        <v>560</v>
      </c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  <c r="AB388" s="54"/>
      <c r="AC388" s="54"/>
      <c r="AD388" s="54"/>
      <c r="AE388" s="54"/>
      <c r="AF388" s="54"/>
    </row>
    <row r="389" spans="1:32" hidden="1" x14ac:dyDescent="0.35">
      <c r="A389" s="54"/>
      <c r="B389" s="54"/>
      <c r="C389" s="54">
        <v>23656</v>
      </c>
      <c r="D389" s="54" t="s">
        <v>561</v>
      </c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  <c r="AE389" s="54"/>
      <c r="AF389" s="54"/>
    </row>
    <row r="390" spans="1:32" hidden="1" x14ac:dyDescent="0.35">
      <c r="A390" s="54"/>
      <c r="B390" s="54"/>
      <c r="C390" s="54">
        <v>23657</v>
      </c>
      <c r="D390" s="54" t="s">
        <v>562</v>
      </c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  <c r="AE390" s="54"/>
      <c r="AF390" s="54"/>
    </row>
    <row r="391" spans="1:32" hidden="1" x14ac:dyDescent="0.35">
      <c r="A391" s="54"/>
      <c r="B391" s="54"/>
      <c r="C391" s="54">
        <v>23659</v>
      </c>
      <c r="D391" s="54" t="s">
        <v>563</v>
      </c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  <c r="AE391" s="54"/>
      <c r="AF391" s="54"/>
    </row>
    <row r="392" spans="1:32" hidden="1" x14ac:dyDescent="0.35">
      <c r="A392" s="54"/>
      <c r="B392" s="54"/>
      <c r="C392" s="54">
        <v>23660</v>
      </c>
      <c r="D392" s="54" t="s">
        <v>564</v>
      </c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  <c r="AE392" s="54"/>
      <c r="AF392" s="54"/>
    </row>
    <row r="393" spans="1:32" hidden="1" x14ac:dyDescent="0.35">
      <c r="A393" s="54"/>
      <c r="B393" s="54"/>
      <c r="C393" s="54">
        <v>23663</v>
      </c>
      <c r="D393" s="54" t="s">
        <v>565</v>
      </c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  <c r="AE393" s="54"/>
      <c r="AF393" s="54"/>
    </row>
    <row r="394" spans="1:32" hidden="1" x14ac:dyDescent="0.35">
      <c r="A394" s="54"/>
      <c r="B394" s="54"/>
      <c r="C394" s="54">
        <v>23687</v>
      </c>
      <c r="D394" s="54" t="s">
        <v>566</v>
      </c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  <c r="AE394" s="54"/>
      <c r="AF394" s="54"/>
    </row>
    <row r="395" spans="1:32" hidden="1" x14ac:dyDescent="0.35">
      <c r="A395" s="54"/>
      <c r="B395" s="54"/>
      <c r="C395" s="54">
        <v>23688</v>
      </c>
      <c r="D395" s="54" t="s">
        <v>567</v>
      </c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  <c r="AE395" s="54"/>
      <c r="AF395" s="54"/>
    </row>
    <row r="396" spans="1:32" hidden="1" x14ac:dyDescent="0.35">
      <c r="A396" s="54"/>
      <c r="B396" s="54"/>
      <c r="C396" s="54">
        <v>23689</v>
      </c>
      <c r="D396" s="54" t="s">
        <v>568</v>
      </c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  <c r="AE396" s="54"/>
      <c r="AF396" s="54"/>
    </row>
    <row r="397" spans="1:32" hidden="1" x14ac:dyDescent="0.35">
      <c r="A397" s="54"/>
      <c r="B397" s="54"/>
      <c r="C397" s="54">
        <v>23690</v>
      </c>
      <c r="D397" s="54" t="s">
        <v>569</v>
      </c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  <c r="AE397" s="54"/>
      <c r="AF397" s="54"/>
    </row>
    <row r="398" spans="1:32" hidden="1" x14ac:dyDescent="0.35">
      <c r="A398" s="54"/>
      <c r="B398" s="54"/>
      <c r="C398" s="54">
        <v>23691</v>
      </c>
      <c r="D398" s="54" t="s">
        <v>570</v>
      </c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  <c r="AE398" s="54"/>
      <c r="AF398" s="54"/>
    </row>
    <row r="399" spans="1:32" hidden="1" x14ac:dyDescent="0.35">
      <c r="A399" s="54"/>
      <c r="B399" s="54"/>
      <c r="C399" s="54">
        <v>23692</v>
      </c>
      <c r="D399" s="54" t="s">
        <v>571</v>
      </c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  <c r="AE399" s="54"/>
      <c r="AF399" s="54"/>
    </row>
    <row r="400" spans="1:32" hidden="1" x14ac:dyDescent="0.35">
      <c r="A400" s="54"/>
      <c r="B400" s="54"/>
      <c r="C400" s="54">
        <v>23693</v>
      </c>
      <c r="D400" s="54" t="s">
        <v>572</v>
      </c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  <c r="AC400" s="54"/>
      <c r="AD400" s="54"/>
      <c r="AE400" s="54"/>
      <c r="AF400" s="54"/>
    </row>
    <row r="401" spans="1:32" hidden="1" x14ac:dyDescent="0.35">
      <c r="A401" s="54"/>
      <c r="B401" s="54"/>
      <c r="C401" s="54">
        <v>23694</v>
      </c>
      <c r="D401" s="54" t="s">
        <v>573</v>
      </c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  <c r="AC401" s="54"/>
      <c r="AD401" s="54"/>
      <c r="AE401" s="54"/>
      <c r="AF401" s="54"/>
    </row>
    <row r="402" spans="1:32" hidden="1" x14ac:dyDescent="0.35">
      <c r="A402" s="54"/>
      <c r="B402" s="54"/>
      <c r="C402" s="54">
        <v>23695</v>
      </c>
      <c r="D402" s="54" t="s">
        <v>574</v>
      </c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  <c r="AB402" s="54"/>
      <c r="AC402" s="54"/>
      <c r="AD402" s="54"/>
      <c r="AE402" s="54"/>
      <c r="AF402" s="54"/>
    </row>
    <row r="403" spans="1:32" hidden="1" x14ac:dyDescent="0.35">
      <c r="A403" s="54"/>
      <c r="B403" s="54"/>
      <c r="C403" s="54">
        <v>23696</v>
      </c>
      <c r="D403" s="54" t="s">
        <v>575</v>
      </c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  <c r="AB403" s="54"/>
      <c r="AC403" s="54"/>
      <c r="AD403" s="54"/>
      <c r="AE403" s="54"/>
      <c r="AF403" s="54"/>
    </row>
    <row r="404" spans="1:32" hidden="1" x14ac:dyDescent="0.35">
      <c r="A404" s="54"/>
      <c r="B404" s="54"/>
      <c r="C404" s="54">
        <v>23697</v>
      </c>
      <c r="D404" s="54" t="s">
        <v>576</v>
      </c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  <c r="AC404" s="54"/>
      <c r="AD404" s="54"/>
      <c r="AE404" s="54"/>
      <c r="AF404" s="54"/>
    </row>
    <row r="405" spans="1:32" hidden="1" x14ac:dyDescent="0.35">
      <c r="A405" s="54"/>
      <c r="B405" s="54"/>
      <c r="C405" s="54">
        <v>23698</v>
      </c>
      <c r="D405" s="54" t="s">
        <v>577</v>
      </c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  <c r="AB405" s="54"/>
      <c r="AC405" s="54"/>
      <c r="AD405" s="54"/>
      <c r="AE405" s="54"/>
      <c r="AF405" s="54"/>
    </row>
    <row r="406" spans="1:32" hidden="1" x14ac:dyDescent="0.35">
      <c r="A406" s="54"/>
      <c r="B406" s="54"/>
      <c r="C406" s="54">
        <v>23699</v>
      </c>
      <c r="D406" s="54" t="s">
        <v>578</v>
      </c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  <c r="AC406" s="54"/>
      <c r="AD406" s="54"/>
      <c r="AE406" s="54"/>
      <c r="AF406" s="54"/>
    </row>
    <row r="407" spans="1:32" hidden="1" x14ac:dyDescent="0.35">
      <c r="A407" s="54"/>
      <c r="B407" s="54"/>
      <c r="C407" s="54">
        <v>23700</v>
      </c>
      <c r="D407" s="54" t="s">
        <v>579</v>
      </c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  <c r="AC407" s="54"/>
      <c r="AD407" s="54"/>
      <c r="AE407" s="54"/>
      <c r="AF407" s="54"/>
    </row>
    <row r="408" spans="1:32" hidden="1" x14ac:dyDescent="0.35">
      <c r="A408" s="54"/>
      <c r="B408" s="54"/>
      <c r="C408" s="54">
        <v>23701</v>
      </c>
      <c r="D408" s="54" t="s">
        <v>580</v>
      </c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  <c r="AB408" s="54"/>
      <c r="AC408" s="54"/>
      <c r="AD408" s="54"/>
      <c r="AE408" s="54"/>
      <c r="AF408" s="54"/>
    </row>
    <row r="409" spans="1:32" hidden="1" x14ac:dyDescent="0.35">
      <c r="A409" s="54"/>
      <c r="B409" s="54"/>
      <c r="C409" s="54">
        <v>23702</v>
      </c>
      <c r="D409" s="54" t="s">
        <v>581</v>
      </c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  <c r="AC409" s="54"/>
      <c r="AD409" s="54"/>
      <c r="AE409" s="54"/>
      <c r="AF409" s="54"/>
    </row>
    <row r="410" spans="1:32" hidden="1" x14ac:dyDescent="0.35">
      <c r="A410" s="54"/>
      <c r="B410" s="54"/>
      <c r="C410" s="54">
        <v>23703</v>
      </c>
      <c r="D410" s="54" t="s">
        <v>582</v>
      </c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  <c r="AC410" s="54"/>
      <c r="AD410" s="54"/>
      <c r="AE410" s="54"/>
      <c r="AF410" s="54"/>
    </row>
    <row r="411" spans="1:32" hidden="1" x14ac:dyDescent="0.35">
      <c r="A411" s="54"/>
      <c r="B411" s="54"/>
      <c r="C411" s="54">
        <v>23704</v>
      </c>
      <c r="D411" s="54" t="s">
        <v>583</v>
      </c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  <c r="AC411" s="54"/>
      <c r="AD411" s="54"/>
      <c r="AE411" s="54"/>
      <c r="AF411" s="54"/>
    </row>
    <row r="412" spans="1:32" hidden="1" x14ac:dyDescent="0.35">
      <c r="A412" s="54"/>
      <c r="B412" s="54"/>
      <c r="C412" s="54">
        <v>23705</v>
      </c>
      <c r="D412" s="54" t="s">
        <v>584</v>
      </c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  <c r="AC412" s="54"/>
      <c r="AD412" s="54"/>
      <c r="AE412" s="54"/>
      <c r="AF412" s="54"/>
    </row>
    <row r="413" spans="1:32" hidden="1" x14ac:dyDescent="0.35">
      <c r="A413" s="54"/>
      <c r="B413" s="54"/>
      <c r="C413" s="54">
        <v>23706</v>
      </c>
      <c r="D413" s="54" t="s">
        <v>585</v>
      </c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  <c r="AC413" s="54"/>
      <c r="AD413" s="54"/>
      <c r="AE413" s="54"/>
      <c r="AF413" s="54"/>
    </row>
    <row r="414" spans="1:32" hidden="1" x14ac:dyDescent="0.35">
      <c r="A414" s="54"/>
      <c r="B414" s="54"/>
      <c r="C414" s="54">
        <v>23707</v>
      </c>
      <c r="D414" s="54" t="s">
        <v>586</v>
      </c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  <c r="AC414" s="54"/>
      <c r="AD414" s="54"/>
      <c r="AE414" s="54"/>
      <c r="AF414" s="54"/>
    </row>
    <row r="415" spans="1:32" hidden="1" x14ac:dyDescent="0.35">
      <c r="A415" s="54"/>
      <c r="B415" s="54"/>
      <c r="C415" s="54">
        <v>23708</v>
      </c>
      <c r="D415" s="54" t="s">
        <v>587</v>
      </c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  <c r="AC415" s="54"/>
      <c r="AD415" s="54"/>
      <c r="AE415" s="54"/>
      <c r="AF415" s="54"/>
    </row>
    <row r="416" spans="1:32" hidden="1" x14ac:dyDescent="0.35">
      <c r="A416" s="54"/>
      <c r="B416" s="54"/>
      <c r="C416" s="54">
        <v>23709</v>
      </c>
      <c r="D416" s="54" t="s">
        <v>588</v>
      </c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  <c r="AC416" s="54"/>
      <c r="AD416" s="54"/>
      <c r="AE416" s="54"/>
      <c r="AF416" s="54"/>
    </row>
    <row r="417" spans="1:32" hidden="1" x14ac:dyDescent="0.35">
      <c r="A417" s="54"/>
      <c r="B417" s="54"/>
      <c r="C417" s="54">
        <v>23710</v>
      </c>
      <c r="D417" s="54" t="s">
        <v>589</v>
      </c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  <c r="AC417" s="54"/>
      <c r="AD417" s="54"/>
      <c r="AE417" s="54"/>
      <c r="AF417" s="54"/>
    </row>
    <row r="418" spans="1:32" hidden="1" x14ac:dyDescent="0.35">
      <c r="A418" s="54"/>
      <c r="B418" s="54"/>
      <c r="C418" s="54">
        <v>23711</v>
      </c>
      <c r="D418" s="54" t="s">
        <v>590</v>
      </c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  <c r="AC418" s="54"/>
      <c r="AD418" s="54"/>
      <c r="AE418" s="54"/>
      <c r="AF418" s="54"/>
    </row>
    <row r="419" spans="1:32" hidden="1" x14ac:dyDescent="0.35">
      <c r="A419" s="54"/>
      <c r="B419" s="54"/>
      <c r="C419" s="54">
        <v>23712</v>
      </c>
      <c r="D419" s="54" t="s">
        <v>591</v>
      </c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  <c r="AC419" s="54"/>
      <c r="AD419" s="54"/>
      <c r="AE419" s="54"/>
      <c r="AF419" s="54"/>
    </row>
    <row r="420" spans="1:32" hidden="1" x14ac:dyDescent="0.35">
      <c r="A420" s="54"/>
      <c r="B420" s="54"/>
      <c r="C420" s="54">
        <v>23713</v>
      </c>
      <c r="D420" s="54" t="s">
        <v>592</v>
      </c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  <c r="AB420" s="54"/>
      <c r="AC420" s="54"/>
      <c r="AD420" s="54"/>
      <c r="AE420" s="54"/>
      <c r="AF420" s="54"/>
    </row>
    <row r="421" spans="1:32" hidden="1" x14ac:dyDescent="0.35">
      <c r="A421" s="54"/>
      <c r="B421" s="54"/>
      <c r="C421" s="54">
        <v>23714</v>
      </c>
      <c r="D421" s="54" t="s">
        <v>593</v>
      </c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  <c r="AB421" s="54"/>
      <c r="AC421" s="54"/>
      <c r="AD421" s="54"/>
      <c r="AE421" s="54"/>
      <c r="AF421" s="54"/>
    </row>
    <row r="422" spans="1:32" hidden="1" x14ac:dyDescent="0.35">
      <c r="A422" s="54"/>
      <c r="B422" s="54"/>
      <c r="C422" s="54">
        <v>23715</v>
      </c>
      <c r="D422" s="54" t="s">
        <v>594</v>
      </c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  <c r="AB422" s="54"/>
      <c r="AC422" s="54"/>
      <c r="AD422" s="54"/>
      <c r="AE422" s="54"/>
      <c r="AF422" s="54"/>
    </row>
    <row r="423" spans="1:32" hidden="1" x14ac:dyDescent="0.35">
      <c r="A423" s="54"/>
      <c r="B423" s="54"/>
      <c r="C423" s="54">
        <v>23716</v>
      </c>
      <c r="D423" s="54" t="s">
        <v>595</v>
      </c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  <c r="AB423" s="54"/>
      <c r="AC423" s="54"/>
      <c r="AD423" s="54"/>
      <c r="AE423" s="54"/>
      <c r="AF423" s="54"/>
    </row>
    <row r="424" spans="1:32" hidden="1" x14ac:dyDescent="0.35">
      <c r="A424" s="54"/>
      <c r="B424" s="54"/>
      <c r="C424" s="54">
        <v>23717</v>
      </c>
      <c r="D424" s="54" t="s">
        <v>596</v>
      </c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  <c r="AE424" s="54"/>
      <c r="AF424" s="54"/>
    </row>
    <row r="425" spans="1:32" hidden="1" x14ac:dyDescent="0.35">
      <c r="A425" s="54"/>
      <c r="B425" s="54"/>
      <c r="C425" s="54">
        <v>23718</v>
      </c>
      <c r="D425" s="54" t="s">
        <v>597</v>
      </c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  <c r="AE425" s="54"/>
      <c r="AF425" s="54"/>
    </row>
    <row r="426" spans="1:32" hidden="1" x14ac:dyDescent="0.35">
      <c r="A426" s="54"/>
      <c r="B426" s="54"/>
      <c r="C426" s="54">
        <v>23719</v>
      </c>
      <c r="D426" s="54" t="s">
        <v>598</v>
      </c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  <c r="AB426" s="54"/>
      <c r="AC426" s="54"/>
      <c r="AD426" s="54"/>
      <c r="AE426" s="54"/>
      <c r="AF426" s="54"/>
    </row>
    <row r="427" spans="1:32" hidden="1" x14ac:dyDescent="0.35">
      <c r="A427" s="54"/>
      <c r="B427" s="54"/>
      <c r="C427" s="54">
        <v>23720</v>
      </c>
      <c r="D427" s="54" t="s">
        <v>599</v>
      </c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  <c r="AE427" s="54"/>
      <c r="AF427" s="54"/>
    </row>
    <row r="428" spans="1:32" hidden="1" x14ac:dyDescent="0.35">
      <c r="A428" s="54"/>
      <c r="B428" s="54"/>
      <c r="C428" s="54">
        <v>23721</v>
      </c>
      <c r="D428" s="54" t="s">
        <v>600</v>
      </c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  <c r="AE428" s="54"/>
      <c r="AF428" s="54"/>
    </row>
    <row r="429" spans="1:32" hidden="1" x14ac:dyDescent="0.35">
      <c r="A429" s="54"/>
      <c r="B429" s="54"/>
      <c r="C429" s="54">
        <v>23722</v>
      </c>
      <c r="D429" s="54" t="s">
        <v>601</v>
      </c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  <c r="AE429" s="54"/>
      <c r="AF429" s="54"/>
    </row>
    <row r="430" spans="1:32" hidden="1" x14ac:dyDescent="0.35">
      <c r="A430" s="54"/>
      <c r="B430" s="54"/>
      <c r="C430" s="54">
        <v>23729</v>
      </c>
      <c r="D430" s="54" t="s">
        <v>602</v>
      </c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  <c r="AE430" s="54"/>
      <c r="AF430" s="54"/>
    </row>
    <row r="431" spans="1:32" hidden="1" x14ac:dyDescent="0.35">
      <c r="A431" s="54"/>
      <c r="B431" s="54"/>
      <c r="C431" s="54">
        <v>23743</v>
      </c>
      <c r="D431" s="54" t="s">
        <v>603</v>
      </c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  <c r="AE431" s="54"/>
      <c r="AF431" s="54"/>
    </row>
    <row r="432" spans="1:32" hidden="1" x14ac:dyDescent="0.35">
      <c r="A432" s="54"/>
      <c r="B432" s="54"/>
      <c r="C432" s="54">
        <v>23744</v>
      </c>
      <c r="D432" s="54" t="s">
        <v>604</v>
      </c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  <c r="AE432" s="54"/>
      <c r="AF432" s="54"/>
    </row>
    <row r="433" spans="1:32" hidden="1" x14ac:dyDescent="0.35">
      <c r="A433" s="54"/>
      <c r="B433" s="54"/>
      <c r="C433" s="54">
        <v>23754</v>
      </c>
      <c r="D433" s="54" t="s">
        <v>605</v>
      </c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  <c r="AE433" s="54"/>
      <c r="AF433" s="54"/>
    </row>
    <row r="434" spans="1:32" hidden="1" x14ac:dyDescent="0.35">
      <c r="A434" s="54"/>
      <c r="B434" s="54"/>
      <c r="C434" s="54">
        <v>23756</v>
      </c>
      <c r="D434" s="54" t="s">
        <v>606</v>
      </c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  <c r="AE434" s="54"/>
      <c r="AF434" s="54"/>
    </row>
    <row r="435" spans="1:32" hidden="1" x14ac:dyDescent="0.35">
      <c r="A435" s="54"/>
      <c r="B435" s="54"/>
      <c r="C435" s="54">
        <v>23757</v>
      </c>
      <c r="D435" s="54" t="s">
        <v>607</v>
      </c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  <c r="AE435" s="54"/>
      <c r="AF435" s="54"/>
    </row>
    <row r="436" spans="1:32" hidden="1" x14ac:dyDescent="0.35">
      <c r="A436" s="54"/>
      <c r="B436" s="54"/>
      <c r="C436" s="54">
        <v>23758</v>
      </c>
      <c r="D436" s="54" t="s">
        <v>608</v>
      </c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  <c r="AE436" s="54"/>
      <c r="AF436" s="54"/>
    </row>
    <row r="437" spans="1:32" hidden="1" x14ac:dyDescent="0.35">
      <c r="A437" s="54"/>
      <c r="B437" s="54"/>
      <c r="C437" s="54">
        <v>23759</v>
      </c>
      <c r="D437" s="54" t="s">
        <v>609</v>
      </c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  <c r="AE437" s="54"/>
      <c r="AF437" s="54"/>
    </row>
    <row r="438" spans="1:32" hidden="1" x14ac:dyDescent="0.35">
      <c r="A438" s="54"/>
      <c r="B438" s="54"/>
      <c r="C438" s="54">
        <v>23760</v>
      </c>
      <c r="D438" s="54" t="s">
        <v>610</v>
      </c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  <c r="AB438" s="54"/>
      <c r="AC438" s="54"/>
      <c r="AD438" s="54"/>
      <c r="AE438" s="54"/>
      <c r="AF438" s="54"/>
    </row>
    <row r="439" spans="1:32" hidden="1" x14ac:dyDescent="0.35">
      <c r="A439" s="54"/>
      <c r="B439" s="54"/>
      <c r="C439" s="54">
        <v>23765</v>
      </c>
      <c r="D439" s="54" t="s">
        <v>611</v>
      </c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  <c r="AB439" s="54"/>
      <c r="AC439" s="54"/>
      <c r="AD439" s="54"/>
      <c r="AE439" s="54"/>
      <c r="AF439" s="54"/>
    </row>
    <row r="440" spans="1:32" hidden="1" x14ac:dyDescent="0.35">
      <c r="A440" s="54"/>
      <c r="B440" s="54"/>
      <c r="C440" s="54">
        <v>23766</v>
      </c>
      <c r="D440" s="54" t="s">
        <v>612</v>
      </c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  <c r="AB440" s="54"/>
      <c r="AC440" s="54"/>
      <c r="AD440" s="54"/>
      <c r="AE440" s="54"/>
      <c r="AF440" s="54"/>
    </row>
    <row r="441" spans="1:32" hidden="1" x14ac:dyDescent="0.35">
      <c r="A441" s="54"/>
      <c r="B441" s="54"/>
      <c r="C441" s="54">
        <v>23767</v>
      </c>
      <c r="D441" s="54" t="s">
        <v>613</v>
      </c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  <c r="AB441" s="54"/>
      <c r="AC441" s="54"/>
      <c r="AD441" s="54"/>
      <c r="AE441" s="54"/>
      <c r="AF441" s="54"/>
    </row>
    <row r="442" spans="1:32" hidden="1" x14ac:dyDescent="0.35">
      <c r="A442" s="54"/>
      <c r="B442" s="54"/>
      <c r="C442" s="54">
        <v>23768</v>
      </c>
      <c r="D442" s="54" t="s">
        <v>614</v>
      </c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  <c r="AB442" s="54"/>
      <c r="AC442" s="54"/>
      <c r="AD442" s="54"/>
      <c r="AE442" s="54"/>
      <c r="AF442" s="54"/>
    </row>
    <row r="443" spans="1:32" hidden="1" x14ac:dyDescent="0.35">
      <c r="A443" s="54"/>
      <c r="B443" s="54"/>
      <c r="C443" s="54">
        <v>23769</v>
      </c>
      <c r="D443" s="54" t="s">
        <v>615</v>
      </c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  <c r="AB443" s="54"/>
      <c r="AC443" s="54"/>
      <c r="AD443" s="54"/>
      <c r="AE443" s="54"/>
      <c r="AF443" s="54"/>
    </row>
    <row r="444" spans="1:32" hidden="1" x14ac:dyDescent="0.35">
      <c r="A444" s="54"/>
      <c r="B444" s="54"/>
      <c r="C444" s="54">
        <v>23770</v>
      </c>
      <c r="D444" s="54" t="s">
        <v>616</v>
      </c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  <c r="AB444" s="54"/>
      <c r="AC444" s="54"/>
      <c r="AD444" s="54"/>
      <c r="AE444" s="54"/>
      <c r="AF444" s="54"/>
    </row>
    <row r="445" spans="1:32" hidden="1" x14ac:dyDescent="0.35">
      <c r="A445" s="54"/>
      <c r="B445" s="54"/>
      <c r="C445" s="54">
        <v>23776</v>
      </c>
      <c r="D445" s="54" t="s">
        <v>617</v>
      </c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  <c r="AB445" s="54"/>
      <c r="AC445" s="54"/>
      <c r="AD445" s="54"/>
      <c r="AE445" s="54"/>
      <c r="AF445" s="54"/>
    </row>
    <row r="446" spans="1:32" hidden="1" x14ac:dyDescent="0.35">
      <c r="A446" s="54"/>
      <c r="B446" s="54"/>
      <c r="C446" s="54">
        <v>23777</v>
      </c>
      <c r="D446" s="54" t="s">
        <v>618</v>
      </c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  <c r="AB446" s="54"/>
      <c r="AC446" s="54"/>
      <c r="AD446" s="54"/>
      <c r="AE446" s="54"/>
      <c r="AF446" s="54"/>
    </row>
    <row r="447" spans="1:32" hidden="1" x14ac:dyDescent="0.35">
      <c r="A447" s="54"/>
      <c r="B447" s="54"/>
      <c r="C447" s="54">
        <v>23778</v>
      </c>
      <c r="D447" s="54" t="s">
        <v>619</v>
      </c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  <c r="AB447" s="54"/>
      <c r="AC447" s="54"/>
      <c r="AD447" s="54"/>
      <c r="AE447" s="54"/>
      <c r="AF447" s="54"/>
    </row>
    <row r="448" spans="1:32" hidden="1" x14ac:dyDescent="0.35">
      <c r="A448" s="54"/>
      <c r="B448" s="54"/>
      <c r="C448" s="54">
        <v>23779</v>
      </c>
      <c r="D448" s="54" t="s">
        <v>620</v>
      </c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  <c r="AB448" s="54"/>
      <c r="AC448" s="54"/>
      <c r="AD448" s="54"/>
      <c r="AE448" s="54"/>
      <c r="AF448" s="54"/>
    </row>
    <row r="449" spans="1:32" hidden="1" x14ac:dyDescent="0.35">
      <c r="A449" s="54"/>
      <c r="B449" s="54"/>
      <c r="C449" s="54">
        <v>23780</v>
      </c>
      <c r="D449" s="54" t="s">
        <v>621</v>
      </c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  <c r="AB449" s="54"/>
      <c r="AC449" s="54"/>
      <c r="AD449" s="54"/>
      <c r="AE449" s="54"/>
      <c r="AF449" s="54"/>
    </row>
    <row r="450" spans="1:32" hidden="1" x14ac:dyDescent="0.35">
      <c r="A450" s="54"/>
      <c r="B450" s="54"/>
      <c r="C450" s="54">
        <v>23780</v>
      </c>
      <c r="D450" s="54" t="s">
        <v>622</v>
      </c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  <c r="AB450" s="54"/>
      <c r="AC450" s="54"/>
      <c r="AD450" s="54"/>
      <c r="AE450" s="54"/>
      <c r="AF450" s="54"/>
    </row>
    <row r="451" spans="1:32" hidden="1" x14ac:dyDescent="0.35">
      <c r="A451" s="54"/>
      <c r="B451" s="54"/>
      <c r="C451" s="54">
        <v>23781</v>
      </c>
      <c r="D451" s="54" t="s">
        <v>623</v>
      </c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  <c r="AB451" s="54"/>
      <c r="AC451" s="54"/>
      <c r="AD451" s="54"/>
      <c r="AE451" s="54"/>
      <c r="AF451" s="54"/>
    </row>
    <row r="452" spans="1:32" hidden="1" x14ac:dyDescent="0.35">
      <c r="A452" s="54"/>
      <c r="B452" s="54"/>
      <c r="C452" s="54">
        <v>23783</v>
      </c>
      <c r="D452" s="54" t="s">
        <v>624</v>
      </c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  <c r="AC452" s="54"/>
      <c r="AD452" s="54"/>
      <c r="AE452" s="54"/>
      <c r="AF452" s="54"/>
    </row>
    <row r="453" spans="1:32" hidden="1" x14ac:dyDescent="0.35">
      <c r="A453" s="54"/>
      <c r="B453" s="54"/>
      <c r="C453" s="54">
        <v>23786</v>
      </c>
      <c r="D453" s="54" t="s">
        <v>625</v>
      </c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  <c r="AB453" s="54"/>
      <c r="AC453" s="54"/>
      <c r="AD453" s="54"/>
      <c r="AE453" s="54"/>
      <c r="AF453" s="54"/>
    </row>
    <row r="454" spans="1:32" hidden="1" x14ac:dyDescent="0.35">
      <c r="A454" s="54"/>
      <c r="B454" s="54"/>
      <c r="C454" s="54">
        <v>23790</v>
      </c>
      <c r="D454" s="54" t="s">
        <v>626</v>
      </c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  <c r="AB454" s="54"/>
      <c r="AC454" s="54"/>
      <c r="AD454" s="54"/>
      <c r="AE454" s="54"/>
      <c r="AF454" s="54"/>
    </row>
    <row r="455" spans="1:32" hidden="1" x14ac:dyDescent="0.35">
      <c r="A455" s="54"/>
      <c r="B455" s="54"/>
      <c r="C455" s="54">
        <v>23791</v>
      </c>
      <c r="D455" s="54" t="s">
        <v>627</v>
      </c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  <c r="AB455" s="54"/>
      <c r="AC455" s="54"/>
      <c r="AD455" s="54"/>
      <c r="AE455" s="54"/>
      <c r="AF455" s="54"/>
    </row>
    <row r="456" spans="1:32" hidden="1" x14ac:dyDescent="0.35">
      <c r="A456" s="54"/>
      <c r="B456" s="54"/>
      <c r="C456" s="54">
        <v>23792</v>
      </c>
      <c r="D456" s="54" t="s">
        <v>628</v>
      </c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  <c r="AC456" s="54"/>
      <c r="AD456" s="54"/>
      <c r="AE456" s="54"/>
      <c r="AF456" s="54"/>
    </row>
    <row r="457" spans="1:32" hidden="1" x14ac:dyDescent="0.35">
      <c r="A457" s="54"/>
      <c r="B457" s="54"/>
      <c r="C457" s="54">
        <v>23793</v>
      </c>
      <c r="D457" s="54" t="s">
        <v>629</v>
      </c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  <c r="AB457" s="54"/>
      <c r="AC457" s="54"/>
      <c r="AD457" s="54"/>
      <c r="AE457" s="54"/>
      <c r="AF457" s="54"/>
    </row>
    <row r="458" spans="1:32" hidden="1" x14ac:dyDescent="0.35">
      <c r="A458" s="54"/>
      <c r="B458" s="54"/>
      <c r="C458" s="54">
        <v>23794</v>
      </c>
      <c r="D458" s="54" t="s">
        <v>630</v>
      </c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  <c r="AB458" s="54"/>
      <c r="AC458" s="54"/>
      <c r="AD458" s="54"/>
      <c r="AE458" s="54"/>
      <c r="AF458" s="54"/>
    </row>
    <row r="459" spans="1:32" hidden="1" x14ac:dyDescent="0.35">
      <c r="A459" s="54"/>
      <c r="B459" s="54"/>
      <c r="C459" s="54">
        <v>23796</v>
      </c>
      <c r="D459" s="54" t="s">
        <v>631</v>
      </c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  <c r="AB459" s="54"/>
      <c r="AC459" s="54"/>
      <c r="AD459" s="54"/>
      <c r="AE459" s="54"/>
      <c r="AF459" s="54"/>
    </row>
    <row r="460" spans="1:32" hidden="1" x14ac:dyDescent="0.35">
      <c r="A460" s="54"/>
      <c r="B460" s="54"/>
      <c r="C460" s="54">
        <v>23797</v>
      </c>
      <c r="D460" s="54" t="s">
        <v>632</v>
      </c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  <c r="AB460" s="54"/>
      <c r="AC460" s="54"/>
      <c r="AD460" s="54"/>
      <c r="AE460" s="54"/>
      <c r="AF460" s="54"/>
    </row>
    <row r="461" spans="1:32" hidden="1" x14ac:dyDescent="0.35">
      <c r="A461" s="54"/>
      <c r="B461" s="54"/>
      <c r="C461" s="54">
        <v>23798</v>
      </c>
      <c r="D461" s="54" t="s">
        <v>633</v>
      </c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  <c r="AB461" s="54"/>
      <c r="AC461" s="54"/>
      <c r="AD461" s="54"/>
      <c r="AE461" s="54"/>
      <c r="AF461" s="54"/>
    </row>
    <row r="462" spans="1:32" hidden="1" x14ac:dyDescent="0.35">
      <c r="A462" s="54"/>
      <c r="B462" s="54"/>
      <c r="C462" s="54">
        <v>23799</v>
      </c>
      <c r="D462" s="54" t="s">
        <v>634</v>
      </c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  <c r="AE462" s="54"/>
      <c r="AF462" s="54"/>
    </row>
    <row r="463" spans="1:32" hidden="1" x14ac:dyDescent="0.35">
      <c r="A463" s="54"/>
      <c r="B463" s="54"/>
      <c r="C463" s="54">
        <v>23800</v>
      </c>
      <c r="D463" s="54" t="s">
        <v>635</v>
      </c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  <c r="AE463" s="54"/>
      <c r="AF463" s="54"/>
    </row>
    <row r="464" spans="1:32" hidden="1" x14ac:dyDescent="0.35">
      <c r="A464" s="54"/>
      <c r="B464" s="54"/>
      <c r="C464" s="54">
        <v>23801</v>
      </c>
      <c r="D464" s="54" t="s">
        <v>636</v>
      </c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  <c r="AB464" s="54"/>
      <c r="AC464" s="54"/>
      <c r="AD464" s="54"/>
      <c r="AE464" s="54"/>
      <c r="AF464" s="54"/>
    </row>
    <row r="465" spans="1:32" hidden="1" x14ac:dyDescent="0.35">
      <c r="A465" s="54"/>
      <c r="B465" s="54"/>
      <c r="C465" s="54">
        <v>23802</v>
      </c>
      <c r="D465" s="54" t="s">
        <v>637</v>
      </c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  <c r="AE465" s="54"/>
      <c r="AF465" s="54"/>
    </row>
    <row r="466" spans="1:32" hidden="1" x14ac:dyDescent="0.35">
      <c r="A466" s="54"/>
      <c r="B466" s="54"/>
      <c r="C466" s="54">
        <v>23803</v>
      </c>
      <c r="D466" s="54" t="s">
        <v>638</v>
      </c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  <c r="AE466" s="54"/>
      <c r="AF466" s="54"/>
    </row>
    <row r="467" spans="1:32" hidden="1" x14ac:dyDescent="0.35">
      <c r="A467" s="54"/>
      <c r="B467" s="54"/>
      <c r="C467" s="54">
        <v>23805</v>
      </c>
      <c r="D467" s="54" t="s">
        <v>639</v>
      </c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  <c r="AE467" s="54"/>
      <c r="AF467" s="54"/>
    </row>
    <row r="468" spans="1:32" hidden="1" x14ac:dyDescent="0.35">
      <c r="A468" s="54"/>
      <c r="B468" s="54"/>
      <c r="C468" s="54">
        <v>23807</v>
      </c>
      <c r="D468" s="54" t="s">
        <v>640</v>
      </c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  <c r="AE468" s="54"/>
      <c r="AF468" s="54"/>
    </row>
    <row r="469" spans="1:32" hidden="1" x14ac:dyDescent="0.35">
      <c r="A469" s="54"/>
      <c r="B469" s="54"/>
      <c r="C469" s="54">
        <v>23808</v>
      </c>
      <c r="D469" s="54" t="s">
        <v>641</v>
      </c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  <c r="AE469" s="54"/>
      <c r="AF469" s="54"/>
    </row>
    <row r="470" spans="1:32" hidden="1" x14ac:dyDescent="0.35">
      <c r="A470" s="54"/>
      <c r="B470" s="54"/>
      <c r="C470" s="54">
        <v>23810</v>
      </c>
      <c r="D470" s="54" t="s">
        <v>642</v>
      </c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  <c r="AE470" s="54"/>
      <c r="AF470" s="54"/>
    </row>
    <row r="471" spans="1:32" hidden="1" x14ac:dyDescent="0.35">
      <c r="A471" s="54"/>
      <c r="B471" s="54"/>
      <c r="C471" s="54">
        <v>23811</v>
      </c>
      <c r="D471" s="54" t="s">
        <v>643</v>
      </c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  <c r="AE471" s="54"/>
      <c r="AF471" s="54"/>
    </row>
    <row r="472" spans="1:32" hidden="1" x14ac:dyDescent="0.35">
      <c r="A472" s="54"/>
      <c r="B472" s="54"/>
      <c r="C472" s="54">
        <v>23856</v>
      </c>
      <c r="D472" s="54" t="s">
        <v>644</v>
      </c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  <c r="AE472" s="54"/>
      <c r="AF472" s="54"/>
    </row>
    <row r="473" spans="1:32" hidden="1" x14ac:dyDescent="0.35">
      <c r="A473" s="54"/>
      <c r="B473" s="54"/>
      <c r="C473" s="54">
        <v>23857</v>
      </c>
      <c r="D473" s="54" t="s">
        <v>645</v>
      </c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  <c r="AE473" s="54"/>
      <c r="AF473" s="54"/>
    </row>
    <row r="474" spans="1:32" hidden="1" x14ac:dyDescent="0.35">
      <c r="A474" s="54"/>
      <c r="B474" s="54"/>
      <c r="C474" s="54">
        <v>23858</v>
      </c>
      <c r="D474" s="54" t="s">
        <v>646</v>
      </c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  <c r="AE474" s="54"/>
      <c r="AF474" s="54"/>
    </row>
    <row r="475" spans="1:32" hidden="1" x14ac:dyDescent="0.35">
      <c r="A475" s="54"/>
      <c r="B475" s="54"/>
      <c r="C475" s="54">
        <v>23895</v>
      </c>
      <c r="D475" s="54" t="s">
        <v>647</v>
      </c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  <c r="AE475" s="54"/>
      <c r="AF475" s="54"/>
    </row>
    <row r="476" spans="1:32" hidden="1" x14ac:dyDescent="0.35">
      <c r="A476" s="54"/>
      <c r="B476" s="54"/>
      <c r="C476" s="54">
        <v>23900</v>
      </c>
      <c r="D476" s="54" t="s">
        <v>648</v>
      </c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  <c r="AB476" s="54"/>
      <c r="AC476" s="54"/>
      <c r="AD476" s="54"/>
      <c r="AE476" s="54"/>
      <c r="AF476" s="54"/>
    </row>
    <row r="477" spans="1:32" hidden="1" x14ac:dyDescent="0.35">
      <c r="A477" s="54"/>
      <c r="B477" s="54"/>
      <c r="C477" s="54">
        <v>23901</v>
      </c>
      <c r="D477" s="54" t="s">
        <v>649</v>
      </c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  <c r="AB477" s="54"/>
      <c r="AC477" s="54"/>
      <c r="AD477" s="54"/>
      <c r="AE477" s="54"/>
      <c r="AF477" s="54"/>
    </row>
    <row r="478" spans="1:32" hidden="1" x14ac:dyDescent="0.35">
      <c r="A478" s="54"/>
      <c r="B478" s="54"/>
      <c r="C478" s="54">
        <v>23902</v>
      </c>
      <c r="D478" s="54" t="s">
        <v>650</v>
      </c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  <c r="AB478" s="54"/>
      <c r="AC478" s="54"/>
      <c r="AD478" s="54"/>
      <c r="AE478" s="54"/>
      <c r="AF478" s="54"/>
    </row>
    <row r="479" spans="1:32" hidden="1" x14ac:dyDescent="0.35">
      <c r="A479" s="54"/>
      <c r="B479" s="54"/>
      <c r="C479" s="54">
        <v>23903</v>
      </c>
      <c r="D479" s="54" t="s">
        <v>651</v>
      </c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  <c r="AB479" s="54"/>
      <c r="AC479" s="54"/>
      <c r="AD479" s="54"/>
      <c r="AE479" s="54"/>
      <c r="AF479" s="54"/>
    </row>
    <row r="480" spans="1:32" hidden="1" x14ac:dyDescent="0.35">
      <c r="A480" s="54"/>
      <c r="B480" s="54"/>
      <c r="C480" s="54">
        <v>23913</v>
      </c>
      <c r="D480" s="54" t="s">
        <v>652</v>
      </c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  <c r="AB480" s="54"/>
      <c r="AC480" s="54"/>
      <c r="AD480" s="54"/>
      <c r="AE480" s="54"/>
      <c r="AF480" s="54"/>
    </row>
    <row r="481" spans="1:32" hidden="1" x14ac:dyDescent="0.35">
      <c r="A481" s="54"/>
      <c r="B481" s="54"/>
      <c r="C481" s="54">
        <v>23914</v>
      </c>
      <c r="D481" s="54" t="s">
        <v>653</v>
      </c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  <c r="AB481" s="54"/>
      <c r="AC481" s="54"/>
      <c r="AD481" s="54"/>
      <c r="AE481" s="54"/>
      <c r="AF481" s="54"/>
    </row>
    <row r="482" spans="1:32" hidden="1" x14ac:dyDescent="0.35">
      <c r="A482" s="54"/>
      <c r="B482" s="54"/>
      <c r="C482" s="54">
        <v>23915</v>
      </c>
      <c r="D482" s="54" t="s">
        <v>654</v>
      </c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  <c r="AB482" s="54"/>
      <c r="AC482" s="54"/>
      <c r="AD482" s="54"/>
      <c r="AE482" s="54"/>
      <c r="AF482" s="54"/>
    </row>
    <row r="483" spans="1:32" hidden="1" x14ac:dyDescent="0.35">
      <c r="A483" s="54"/>
      <c r="B483" s="54"/>
      <c r="C483" s="54">
        <v>23982</v>
      </c>
      <c r="D483" s="54" t="s">
        <v>655</v>
      </c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  <c r="AB483" s="54"/>
      <c r="AC483" s="54"/>
      <c r="AD483" s="54"/>
      <c r="AE483" s="54"/>
      <c r="AF483" s="54"/>
    </row>
    <row r="484" spans="1:32" hidden="1" x14ac:dyDescent="0.35">
      <c r="A484" s="54"/>
      <c r="B484" s="54"/>
      <c r="C484" s="54">
        <v>23983</v>
      </c>
      <c r="D484" s="54" t="s">
        <v>656</v>
      </c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  <c r="AB484" s="54"/>
      <c r="AC484" s="54"/>
      <c r="AD484" s="54"/>
      <c r="AE484" s="54"/>
      <c r="AF484" s="54"/>
    </row>
    <row r="485" spans="1:32" hidden="1" x14ac:dyDescent="0.35">
      <c r="A485" s="54"/>
      <c r="B485" s="54"/>
      <c r="C485" s="54">
        <v>23985</v>
      </c>
      <c r="D485" s="54" t="s">
        <v>657</v>
      </c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  <c r="AB485" s="54"/>
      <c r="AC485" s="54"/>
      <c r="AD485" s="54"/>
      <c r="AE485" s="54"/>
      <c r="AF485" s="54"/>
    </row>
    <row r="486" spans="1:32" hidden="1" x14ac:dyDescent="0.35">
      <c r="A486" s="54"/>
      <c r="B486" s="54"/>
      <c r="C486" s="54">
        <v>23986</v>
      </c>
      <c r="D486" s="54" t="s">
        <v>658</v>
      </c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  <c r="AB486" s="54"/>
      <c r="AC486" s="54"/>
      <c r="AD486" s="54"/>
      <c r="AE486" s="54"/>
      <c r="AF486" s="54"/>
    </row>
    <row r="487" spans="1:32" hidden="1" x14ac:dyDescent="0.35">
      <c r="A487" s="54"/>
      <c r="B487" s="54"/>
      <c r="C487" s="54">
        <v>23987</v>
      </c>
      <c r="D487" s="54" t="s">
        <v>659</v>
      </c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  <c r="AB487" s="54"/>
      <c r="AC487" s="54"/>
      <c r="AD487" s="54"/>
      <c r="AE487" s="54"/>
      <c r="AF487" s="54"/>
    </row>
    <row r="488" spans="1:32" hidden="1" x14ac:dyDescent="0.35">
      <c r="A488" s="54"/>
      <c r="B488" s="54"/>
      <c r="C488" s="54">
        <v>23988</v>
      </c>
      <c r="D488" s="54" t="s">
        <v>660</v>
      </c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  <c r="AB488" s="54"/>
      <c r="AC488" s="54"/>
      <c r="AD488" s="54"/>
      <c r="AE488" s="54"/>
      <c r="AF488" s="54"/>
    </row>
    <row r="489" spans="1:32" hidden="1" x14ac:dyDescent="0.35">
      <c r="A489" s="54"/>
      <c r="B489" s="54"/>
      <c r="C489" s="54">
        <v>23990</v>
      </c>
      <c r="D489" s="54" t="s">
        <v>661</v>
      </c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  <c r="AB489" s="54"/>
      <c r="AC489" s="54"/>
      <c r="AD489" s="54"/>
      <c r="AE489" s="54"/>
      <c r="AF489" s="54"/>
    </row>
    <row r="490" spans="1:32" hidden="1" x14ac:dyDescent="0.35">
      <c r="A490" s="54"/>
      <c r="B490" s="54"/>
      <c r="C490" s="54">
        <v>24000</v>
      </c>
      <c r="D490" s="54" t="s">
        <v>662</v>
      </c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  <c r="AB490" s="54"/>
      <c r="AC490" s="54"/>
      <c r="AD490" s="54"/>
      <c r="AE490" s="54"/>
      <c r="AF490" s="54"/>
    </row>
    <row r="491" spans="1:32" hidden="1" x14ac:dyDescent="0.35">
      <c r="A491" s="54"/>
      <c r="B491" s="54"/>
      <c r="C491" s="54">
        <v>24008</v>
      </c>
      <c r="D491" s="54" t="s">
        <v>663</v>
      </c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  <c r="AC491" s="54"/>
      <c r="AD491" s="54"/>
      <c r="AE491" s="54"/>
      <c r="AF491" s="54"/>
    </row>
    <row r="492" spans="1:32" hidden="1" x14ac:dyDescent="0.35">
      <c r="A492" s="54"/>
      <c r="B492" s="54"/>
      <c r="C492" s="54">
        <v>24010</v>
      </c>
      <c r="D492" s="54" t="s">
        <v>664</v>
      </c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  <c r="AB492" s="54"/>
      <c r="AC492" s="54"/>
      <c r="AD492" s="54"/>
      <c r="AE492" s="54"/>
      <c r="AF492" s="54"/>
    </row>
    <row r="493" spans="1:32" hidden="1" x14ac:dyDescent="0.35">
      <c r="A493" s="54"/>
      <c r="B493" s="54"/>
      <c r="C493" s="54">
        <v>24011</v>
      </c>
      <c r="D493" s="54" t="s">
        <v>665</v>
      </c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  <c r="AB493" s="54"/>
      <c r="AC493" s="54"/>
      <c r="AD493" s="54"/>
      <c r="AE493" s="54"/>
      <c r="AF493" s="54"/>
    </row>
    <row r="494" spans="1:32" hidden="1" x14ac:dyDescent="0.35">
      <c r="A494" s="54"/>
      <c r="B494" s="54"/>
      <c r="C494" s="54">
        <v>24013</v>
      </c>
      <c r="D494" s="54" t="s">
        <v>666</v>
      </c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  <c r="AB494" s="54"/>
      <c r="AC494" s="54"/>
      <c r="AD494" s="54"/>
      <c r="AE494" s="54"/>
      <c r="AF494" s="54"/>
    </row>
    <row r="495" spans="1:32" hidden="1" x14ac:dyDescent="0.35">
      <c r="A495" s="54"/>
      <c r="B495" s="54"/>
      <c r="C495" s="54">
        <v>24014</v>
      </c>
      <c r="D495" s="54" t="s">
        <v>667</v>
      </c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  <c r="AB495" s="54"/>
      <c r="AC495" s="54"/>
      <c r="AD495" s="54"/>
      <c r="AE495" s="54"/>
      <c r="AF495" s="54"/>
    </row>
    <row r="496" spans="1:32" hidden="1" x14ac:dyDescent="0.35">
      <c r="A496" s="54"/>
      <c r="B496" s="54"/>
      <c r="C496" s="54">
        <v>24015</v>
      </c>
      <c r="D496" s="54" t="s">
        <v>668</v>
      </c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  <c r="AB496" s="54"/>
      <c r="AC496" s="54"/>
      <c r="AD496" s="54"/>
      <c r="AE496" s="54"/>
      <c r="AF496" s="54"/>
    </row>
    <row r="497" spans="1:32" hidden="1" x14ac:dyDescent="0.35">
      <c r="A497" s="54"/>
      <c r="B497" s="54"/>
      <c r="C497" s="54">
        <v>24016</v>
      </c>
      <c r="D497" s="54" t="s">
        <v>669</v>
      </c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  <c r="AB497" s="54"/>
      <c r="AC497" s="54"/>
      <c r="AD497" s="54"/>
      <c r="AE497" s="54"/>
      <c r="AF497" s="54"/>
    </row>
    <row r="498" spans="1:32" hidden="1" x14ac:dyDescent="0.35">
      <c r="A498" s="54"/>
      <c r="B498" s="54"/>
      <c r="C498" s="54">
        <v>24017</v>
      </c>
      <c r="D498" s="54" t="s">
        <v>670</v>
      </c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  <c r="AB498" s="54"/>
      <c r="AC498" s="54"/>
      <c r="AD498" s="54"/>
      <c r="AE498" s="54"/>
      <c r="AF498" s="54"/>
    </row>
    <row r="499" spans="1:32" hidden="1" x14ac:dyDescent="0.35">
      <c r="A499" s="54"/>
      <c r="B499" s="54"/>
      <c r="C499" s="54">
        <v>24018</v>
      </c>
      <c r="D499" s="54" t="s">
        <v>671</v>
      </c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  <c r="AC499" s="54"/>
      <c r="AD499" s="54"/>
      <c r="AE499" s="54"/>
      <c r="AF499" s="54"/>
    </row>
    <row r="500" spans="1:32" hidden="1" x14ac:dyDescent="0.35">
      <c r="A500" s="54"/>
      <c r="B500" s="54"/>
      <c r="C500" s="54">
        <v>24019</v>
      </c>
      <c r="D500" s="54" t="s">
        <v>672</v>
      </c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  <c r="AE500" s="54"/>
      <c r="AF500" s="54"/>
    </row>
    <row r="501" spans="1:32" hidden="1" x14ac:dyDescent="0.35">
      <c r="A501" s="54"/>
      <c r="B501" s="54"/>
      <c r="C501" s="54">
        <v>24020</v>
      </c>
      <c r="D501" s="54" t="s">
        <v>673</v>
      </c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  <c r="AE501" s="54"/>
      <c r="AF501" s="54"/>
    </row>
    <row r="502" spans="1:32" hidden="1" x14ac:dyDescent="0.35">
      <c r="A502" s="54"/>
      <c r="B502" s="54"/>
      <c r="C502" s="54">
        <v>24021</v>
      </c>
      <c r="D502" s="54" t="s">
        <v>674</v>
      </c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  <c r="AB502" s="54"/>
      <c r="AC502" s="54"/>
      <c r="AD502" s="54"/>
      <c r="AE502" s="54"/>
      <c r="AF502" s="54"/>
    </row>
    <row r="503" spans="1:32" hidden="1" x14ac:dyDescent="0.35">
      <c r="A503" s="54"/>
      <c r="B503" s="54"/>
      <c r="C503" s="54">
        <v>24023</v>
      </c>
      <c r="D503" s="54" t="s">
        <v>675</v>
      </c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  <c r="AD503" s="54"/>
      <c r="AE503" s="54"/>
      <c r="AF503" s="54"/>
    </row>
    <row r="504" spans="1:32" hidden="1" x14ac:dyDescent="0.35">
      <c r="A504" s="54"/>
      <c r="B504" s="54"/>
      <c r="C504" s="54">
        <v>24024</v>
      </c>
      <c r="D504" s="54" t="s">
        <v>676</v>
      </c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  <c r="AE504" s="54"/>
      <c r="AF504" s="54"/>
    </row>
    <row r="505" spans="1:32" hidden="1" x14ac:dyDescent="0.35">
      <c r="A505" s="54"/>
      <c r="B505" s="54"/>
      <c r="C505" s="54">
        <v>24026</v>
      </c>
      <c r="D505" s="54" t="s">
        <v>677</v>
      </c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  <c r="AE505" s="54"/>
      <c r="AF505" s="54"/>
    </row>
    <row r="506" spans="1:32" hidden="1" x14ac:dyDescent="0.35">
      <c r="A506" s="54"/>
      <c r="B506" s="54"/>
      <c r="C506" s="54">
        <v>24028</v>
      </c>
      <c r="D506" s="54" t="s">
        <v>678</v>
      </c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  <c r="AE506" s="54"/>
      <c r="AF506" s="54"/>
    </row>
    <row r="507" spans="1:32" hidden="1" x14ac:dyDescent="0.35">
      <c r="A507" s="54"/>
      <c r="B507" s="54"/>
      <c r="C507" s="54">
        <v>24039</v>
      </c>
      <c r="D507" s="54" t="s">
        <v>679</v>
      </c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  <c r="AE507" s="54"/>
      <c r="AF507" s="54"/>
    </row>
    <row r="508" spans="1:32" hidden="1" x14ac:dyDescent="0.35">
      <c r="A508" s="54"/>
      <c r="B508" s="54"/>
      <c r="C508" s="54">
        <v>24041</v>
      </c>
      <c r="D508" s="54" t="s">
        <v>680</v>
      </c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  <c r="AE508" s="54"/>
      <c r="AF508" s="54"/>
    </row>
    <row r="509" spans="1:32" hidden="1" x14ac:dyDescent="0.35">
      <c r="A509" s="54"/>
      <c r="B509" s="54"/>
      <c r="C509" s="54">
        <v>24042</v>
      </c>
      <c r="D509" s="54" t="s">
        <v>681</v>
      </c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  <c r="AD509" s="54"/>
      <c r="AE509" s="54"/>
      <c r="AF509" s="54"/>
    </row>
    <row r="510" spans="1:32" hidden="1" x14ac:dyDescent="0.35">
      <c r="A510" s="54"/>
      <c r="B510" s="54"/>
      <c r="C510" s="54">
        <v>24043</v>
      </c>
      <c r="D510" s="54" t="s">
        <v>682</v>
      </c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  <c r="AD510" s="54"/>
      <c r="AE510" s="54"/>
      <c r="AF510" s="54"/>
    </row>
    <row r="511" spans="1:32" hidden="1" x14ac:dyDescent="0.35">
      <c r="A511" s="54"/>
      <c r="B511" s="54"/>
      <c r="C511" s="54">
        <v>24044</v>
      </c>
      <c r="D511" s="54" t="s">
        <v>683</v>
      </c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  <c r="AE511" s="54"/>
      <c r="AF511" s="54"/>
    </row>
    <row r="512" spans="1:32" hidden="1" x14ac:dyDescent="0.35">
      <c r="A512" s="54"/>
      <c r="B512" s="54"/>
      <c r="C512" s="54">
        <v>24046</v>
      </c>
      <c r="D512" s="54" t="s">
        <v>684</v>
      </c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  <c r="AE512" s="54"/>
      <c r="AF512" s="54"/>
    </row>
    <row r="513" spans="1:32" hidden="1" x14ac:dyDescent="0.35">
      <c r="A513" s="54"/>
      <c r="B513" s="54"/>
      <c r="C513" s="54">
        <v>24047</v>
      </c>
      <c r="D513" s="54" t="s">
        <v>685</v>
      </c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  <c r="AE513" s="54"/>
      <c r="AF513" s="54"/>
    </row>
    <row r="514" spans="1:32" hidden="1" x14ac:dyDescent="0.35">
      <c r="A514" s="54"/>
      <c r="B514" s="54"/>
      <c r="C514" s="54">
        <v>24048</v>
      </c>
      <c r="D514" s="54" t="s">
        <v>686</v>
      </c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  <c r="AB514" s="54"/>
      <c r="AC514" s="54"/>
      <c r="AD514" s="54"/>
      <c r="AE514" s="54"/>
      <c r="AF514" s="54"/>
    </row>
    <row r="515" spans="1:32" hidden="1" x14ac:dyDescent="0.35">
      <c r="A515" s="54"/>
      <c r="B515" s="54"/>
      <c r="C515" s="54">
        <v>24049</v>
      </c>
      <c r="D515" s="54" t="s">
        <v>687</v>
      </c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  <c r="AB515" s="54"/>
      <c r="AC515" s="54"/>
      <c r="AD515" s="54"/>
      <c r="AE515" s="54"/>
      <c r="AF515" s="54"/>
    </row>
    <row r="516" spans="1:32" hidden="1" x14ac:dyDescent="0.35">
      <c r="A516" s="54"/>
      <c r="B516" s="54"/>
      <c r="C516" s="54">
        <v>24050</v>
      </c>
      <c r="D516" s="54" t="s">
        <v>688</v>
      </c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  <c r="AB516" s="54"/>
      <c r="AC516" s="54"/>
      <c r="AD516" s="54"/>
      <c r="AE516" s="54"/>
      <c r="AF516" s="54"/>
    </row>
    <row r="517" spans="1:32" hidden="1" x14ac:dyDescent="0.35">
      <c r="A517" s="54"/>
      <c r="B517" s="54"/>
      <c r="C517" s="54">
        <v>24051</v>
      </c>
      <c r="D517" s="54" t="s">
        <v>689</v>
      </c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  <c r="AB517" s="54"/>
      <c r="AC517" s="54"/>
      <c r="AD517" s="54"/>
      <c r="AE517" s="54"/>
      <c r="AF517" s="54"/>
    </row>
    <row r="518" spans="1:32" hidden="1" x14ac:dyDescent="0.35">
      <c r="A518" s="54"/>
      <c r="B518" s="54"/>
      <c r="C518" s="54">
        <v>24053</v>
      </c>
      <c r="D518" s="54" t="s">
        <v>690</v>
      </c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  <c r="AB518" s="54"/>
      <c r="AC518" s="54"/>
      <c r="AD518" s="54"/>
      <c r="AE518" s="54"/>
      <c r="AF518" s="54"/>
    </row>
    <row r="519" spans="1:32" hidden="1" x14ac:dyDescent="0.35">
      <c r="A519" s="54"/>
      <c r="B519" s="54"/>
      <c r="C519" s="54">
        <v>24054</v>
      </c>
      <c r="D519" s="54" t="s">
        <v>691</v>
      </c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  <c r="AB519" s="54"/>
      <c r="AC519" s="54"/>
      <c r="AD519" s="54"/>
      <c r="AE519" s="54"/>
      <c r="AF519" s="54"/>
    </row>
    <row r="520" spans="1:32" hidden="1" x14ac:dyDescent="0.35">
      <c r="A520" s="54"/>
      <c r="B520" s="54"/>
      <c r="C520" s="54">
        <v>24056</v>
      </c>
      <c r="D520" s="54" t="s">
        <v>692</v>
      </c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  <c r="AB520" s="54"/>
      <c r="AC520" s="54"/>
      <c r="AD520" s="54"/>
      <c r="AE520" s="54"/>
      <c r="AF520" s="54"/>
    </row>
    <row r="521" spans="1:32" hidden="1" x14ac:dyDescent="0.35">
      <c r="A521" s="54"/>
      <c r="B521" s="54"/>
      <c r="C521" s="54">
        <v>24057</v>
      </c>
      <c r="D521" s="54" t="s">
        <v>693</v>
      </c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  <c r="AB521" s="54"/>
      <c r="AC521" s="54"/>
      <c r="AD521" s="54"/>
      <c r="AE521" s="54"/>
      <c r="AF521" s="54"/>
    </row>
    <row r="522" spans="1:32" hidden="1" x14ac:dyDescent="0.35">
      <c r="A522" s="54"/>
      <c r="B522" s="54"/>
      <c r="C522" s="54">
        <v>24058</v>
      </c>
      <c r="D522" s="54" t="s">
        <v>694</v>
      </c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  <c r="AB522" s="54"/>
      <c r="AC522" s="54"/>
      <c r="AD522" s="54"/>
      <c r="AE522" s="54"/>
      <c r="AF522" s="54"/>
    </row>
    <row r="523" spans="1:32" hidden="1" x14ac:dyDescent="0.35">
      <c r="A523" s="54"/>
      <c r="B523" s="54"/>
      <c r="C523" s="54">
        <v>24059</v>
      </c>
      <c r="D523" s="54" t="s">
        <v>695</v>
      </c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  <c r="AB523" s="54"/>
      <c r="AC523" s="54"/>
      <c r="AD523" s="54"/>
      <c r="AE523" s="54"/>
      <c r="AF523" s="54"/>
    </row>
    <row r="524" spans="1:32" hidden="1" x14ac:dyDescent="0.35">
      <c r="A524" s="54"/>
      <c r="B524" s="54"/>
      <c r="C524" s="54">
        <v>24060</v>
      </c>
      <c r="D524" s="54" t="s">
        <v>696</v>
      </c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  <c r="AB524" s="54"/>
      <c r="AC524" s="54"/>
      <c r="AD524" s="54"/>
      <c r="AE524" s="54"/>
      <c r="AF524" s="54"/>
    </row>
    <row r="525" spans="1:32" hidden="1" x14ac:dyDescent="0.35">
      <c r="A525" s="54"/>
      <c r="B525" s="54"/>
      <c r="C525" s="54">
        <v>24062</v>
      </c>
      <c r="D525" s="54" t="s">
        <v>697</v>
      </c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  <c r="AB525" s="54"/>
      <c r="AC525" s="54"/>
      <c r="AD525" s="54"/>
      <c r="AE525" s="54"/>
      <c r="AF525" s="54"/>
    </row>
    <row r="526" spans="1:32" hidden="1" x14ac:dyDescent="0.35">
      <c r="A526" s="54"/>
      <c r="B526" s="54"/>
      <c r="C526" s="54">
        <v>24063</v>
      </c>
      <c r="D526" s="54" t="s">
        <v>698</v>
      </c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  <c r="AB526" s="54"/>
      <c r="AC526" s="54"/>
      <c r="AD526" s="54"/>
      <c r="AE526" s="54"/>
      <c r="AF526" s="54"/>
    </row>
    <row r="527" spans="1:32" hidden="1" x14ac:dyDescent="0.35">
      <c r="A527" s="54"/>
      <c r="B527" s="54"/>
      <c r="C527" s="54">
        <v>24065</v>
      </c>
      <c r="D527" s="54" t="s">
        <v>699</v>
      </c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  <c r="AB527" s="54"/>
      <c r="AC527" s="54"/>
      <c r="AD527" s="54"/>
      <c r="AE527" s="54"/>
      <c r="AF527" s="54"/>
    </row>
    <row r="528" spans="1:32" hidden="1" x14ac:dyDescent="0.35">
      <c r="A528" s="54"/>
      <c r="B528" s="54"/>
      <c r="C528" s="54">
        <v>24077</v>
      </c>
      <c r="D528" s="54" t="s">
        <v>700</v>
      </c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  <c r="AB528" s="54"/>
      <c r="AC528" s="54"/>
      <c r="AD528" s="54"/>
      <c r="AE528" s="54"/>
      <c r="AF528" s="54"/>
    </row>
    <row r="529" spans="1:32" hidden="1" x14ac:dyDescent="0.35">
      <c r="A529" s="54"/>
      <c r="B529" s="54"/>
      <c r="C529" s="54">
        <v>24078</v>
      </c>
      <c r="D529" s="54" t="s">
        <v>701</v>
      </c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  <c r="AB529" s="54"/>
      <c r="AC529" s="54"/>
      <c r="AD529" s="54"/>
      <c r="AE529" s="54"/>
      <c r="AF529" s="54"/>
    </row>
    <row r="530" spans="1:32" hidden="1" x14ac:dyDescent="0.35">
      <c r="A530" s="54"/>
      <c r="B530" s="54"/>
      <c r="C530" s="54">
        <v>24079</v>
      </c>
      <c r="D530" s="54" t="s">
        <v>702</v>
      </c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  <c r="AB530" s="54"/>
      <c r="AC530" s="54"/>
      <c r="AD530" s="54"/>
      <c r="AE530" s="54"/>
      <c r="AF530" s="54"/>
    </row>
    <row r="531" spans="1:32" hidden="1" x14ac:dyDescent="0.35">
      <c r="A531" s="54"/>
      <c r="B531" s="54"/>
      <c r="C531" s="54">
        <v>24080</v>
      </c>
      <c r="D531" s="54" t="s">
        <v>703</v>
      </c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  <c r="AB531" s="54"/>
      <c r="AC531" s="54"/>
      <c r="AD531" s="54"/>
      <c r="AE531" s="54"/>
      <c r="AF531" s="54"/>
    </row>
    <row r="532" spans="1:32" hidden="1" x14ac:dyDescent="0.35">
      <c r="A532" s="54"/>
      <c r="B532" s="54"/>
      <c r="C532" s="54">
        <v>24084</v>
      </c>
      <c r="D532" s="54" t="s">
        <v>704</v>
      </c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  <c r="AB532" s="54"/>
      <c r="AC532" s="54"/>
      <c r="AD532" s="54"/>
      <c r="AE532" s="54"/>
      <c r="AF532" s="54"/>
    </row>
    <row r="533" spans="1:32" hidden="1" x14ac:dyDescent="0.35">
      <c r="A533" s="54"/>
      <c r="B533" s="54"/>
      <c r="C533" s="54">
        <v>24094</v>
      </c>
      <c r="D533" s="54" t="s">
        <v>705</v>
      </c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  <c r="AB533" s="54"/>
      <c r="AC533" s="54"/>
      <c r="AD533" s="54"/>
      <c r="AE533" s="54"/>
      <c r="AF533" s="54"/>
    </row>
    <row r="534" spans="1:32" hidden="1" x14ac:dyDescent="0.35">
      <c r="A534" s="54"/>
      <c r="B534" s="54"/>
      <c r="C534" s="54">
        <v>24095</v>
      </c>
      <c r="D534" s="54" t="s">
        <v>706</v>
      </c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  <c r="AB534" s="54"/>
      <c r="AC534" s="54"/>
      <c r="AD534" s="54"/>
      <c r="AE534" s="54"/>
      <c r="AF534" s="54"/>
    </row>
    <row r="535" spans="1:32" hidden="1" x14ac:dyDescent="0.35">
      <c r="A535" s="54"/>
      <c r="B535" s="54"/>
      <c r="C535" s="54">
        <v>24096</v>
      </c>
      <c r="D535" s="54" t="s">
        <v>707</v>
      </c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  <c r="AB535" s="54"/>
      <c r="AC535" s="54"/>
      <c r="AD535" s="54"/>
      <c r="AE535" s="54"/>
      <c r="AF535" s="54"/>
    </row>
    <row r="536" spans="1:32" hidden="1" x14ac:dyDescent="0.35">
      <c r="A536" s="54"/>
      <c r="B536" s="54"/>
      <c r="C536" s="54">
        <v>24097</v>
      </c>
      <c r="D536" s="54" t="s">
        <v>708</v>
      </c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  <c r="AB536" s="54"/>
      <c r="AC536" s="54"/>
      <c r="AD536" s="54"/>
      <c r="AE536" s="54"/>
      <c r="AF536" s="54"/>
    </row>
    <row r="537" spans="1:32" hidden="1" x14ac:dyDescent="0.35">
      <c r="A537" s="54"/>
      <c r="B537" s="54"/>
      <c r="C537" s="54">
        <v>24098</v>
      </c>
      <c r="D537" s="54" t="s">
        <v>709</v>
      </c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  <c r="AB537" s="54"/>
      <c r="AC537" s="54"/>
      <c r="AD537" s="54"/>
      <c r="AE537" s="54"/>
      <c r="AF537" s="54"/>
    </row>
    <row r="538" spans="1:32" hidden="1" x14ac:dyDescent="0.35">
      <c r="A538" s="54"/>
      <c r="B538" s="54"/>
      <c r="C538" s="54">
        <v>24099</v>
      </c>
      <c r="D538" s="54" t="s">
        <v>710</v>
      </c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  <c r="AE538" s="54"/>
      <c r="AF538" s="54"/>
    </row>
    <row r="539" spans="1:32" hidden="1" x14ac:dyDescent="0.35">
      <c r="A539" s="54"/>
      <c r="B539" s="54"/>
      <c r="C539" s="54">
        <v>24100</v>
      </c>
      <c r="D539" s="54" t="s">
        <v>711</v>
      </c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  <c r="AE539" s="54"/>
      <c r="AF539" s="54"/>
    </row>
    <row r="540" spans="1:32" hidden="1" x14ac:dyDescent="0.35">
      <c r="A540" s="54"/>
      <c r="B540" s="54"/>
      <c r="C540" s="54">
        <v>24101</v>
      </c>
      <c r="D540" s="54" t="s">
        <v>712</v>
      </c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  <c r="AB540" s="54"/>
      <c r="AC540" s="54"/>
      <c r="AD540" s="54"/>
      <c r="AE540" s="54"/>
      <c r="AF540" s="54"/>
    </row>
    <row r="541" spans="1:32" hidden="1" x14ac:dyDescent="0.35">
      <c r="A541" s="54"/>
      <c r="B541" s="54"/>
      <c r="C541" s="54">
        <v>24102</v>
      </c>
      <c r="D541" s="54" t="s">
        <v>713</v>
      </c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  <c r="AE541" s="54"/>
      <c r="AF541" s="54"/>
    </row>
    <row r="542" spans="1:32" hidden="1" x14ac:dyDescent="0.35">
      <c r="A542" s="54"/>
      <c r="B542" s="54"/>
      <c r="C542" s="54">
        <v>24103</v>
      </c>
      <c r="D542" s="54" t="s">
        <v>714</v>
      </c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  <c r="AE542" s="54"/>
      <c r="AF542" s="54"/>
    </row>
    <row r="543" spans="1:32" hidden="1" x14ac:dyDescent="0.35">
      <c r="A543" s="54"/>
      <c r="B543" s="54"/>
      <c r="C543" s="54">
        <v>24104</v>
      </c>
      <c r="D543" s="54" t="s">
        <v>715</v>
      </c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  <c r="AE543" s="54"/>
      <c r="AF543" s="54"/>
    </row>
    <row r="544" spans="1:32" hidden="1" x14ac:dyDescent="0.35">
      <c r="A544" s="54"/>
      <c r="B544" s="54"/>
      <c r="C544" s="54">
        <v>24105</v>
      </c>
      <c r="D544" s="54" t="s">
        <v>716</v>
      </c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  <c r="AE544" s="54"/>
      <c r="AF544" s="54"/>
    </row>
    <row r="545" spans="1:32" hidden="1" x14ac:dyDescent="0.35">
      <c r="A545" s="54"/>
      <c r="B545" s="54"/>
      <c r="C545" s="54">
        <v>24106</v>
      </c>
      <c r="D545" s="54" t="s">
        <v>717</v>
      </c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  <c r="AE545" s="54"/>
      <c r="AF545" s="54"/>
    </row>
    <row r="546" spans="1:32" hidden="1" x14ac:dyDescent="0.35">
      <c r="A546" s="54"/>
      <c r="B546" s="54"/>
      <c r="C546" s="54">
        <v>24107</v>
      </c>
      <c r="D546" s="54" t="s">
        <v>718</v>
      </c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  <c r="AE546" s="54"/>
      <c r="AF546" s="54"/>
    </row>
    <row r="547" spans="1:32" hidden="1" x14ac:dyDescent="0.35">
      <c r="A547" s="54"/>
      <c r="B547" s="54"/>
      <c r="C547" s="54">
        <v>24108</v>
      </c>
      <c r="D547" s="54" t="s">
        <v>719</v>
      </c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  <c r="AD547" s="54"/>
      <c r="AE547" s="54"/>
      <c r="AF547" s="54"/>
    </row>
    <row r="548" spans="1:32" hidden="1" x14ac:dyDescent="0.35">
      <c r="A548" s="54"/>
      <c r="B548" s="54"/>
      <c r="C548" s="54">
        <v>24109</v>
      </c>
      <c r="D548" s="54" t="s">
        <v>720</v>
      </c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  <c r="AD548" s="54"/>
      <c r="AE548" s="54"/>
      <c r="AF548" s="54"/>
    </row>
    <row r="549" spans="1:32" hidden="1" x14ac:dyDescent="0.35">
      <c r="A549" s="54"/>
      <c r="B549" s="54"/>
      <c r="C549" s="54">
        <v>24110</v>
      </c>
      <c r="D549" s="54" t="s">
        <v>721</v>
      </c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  <c r="AD549" s="54"/>
      <c r="AE549" s="54"/>
      <c r="AF549" s="54"/>
    </row>
    <row r="550" spans="1:32" hidden="1" x14ac:dyDescent="0.35">
      <c r="A550" s="54"/>
      <c r="B550" s="54"/>
      <c r="C550" s="54">
        <v>24111</v>
      </c>
      <c r="D550" s="54" t="s">
        <v>722</v>
      </c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  <c r="AE550" s="54"/>
      <c r="AF550" s="54"/>
    </row>
    <row r="551" spans="1:32" hidden="1" x14ac:dyDescent="0.35">
      <c r="A551" s="54"/>
      <c r="B551" s="54"/>
      <c r="C551" s="54">
        <v>24112</v>
      </c>
      <c r="D551" s="54" t="s">
        <v>723</v>
      </c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  <c r="AD551" s="54"/>
      <c r="AE551" s="54"/>
      <c r="AF551" s="54"/>
    </row>
    <row r="552" spans="1:32" hidden="1" x14ac:dyDescent="0.35">
      <c r="A552" s="54"/>
      <c r="B552" s="54"/>
      <c r="C552" s="54">
        <v>24113</v>
      </c>
      <c r="D552" s="54" t="s">
        <v>724</v>
      </c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  <c r="AB552" s="54"/>
      <c r="AC552" s="54"/>
      <c r="AD552" s="54"/>
      <c r="AE552" s="54"/>
      <c r="AF552" s="54"/>
    </row>
    <row r="553" spans="1:32" hidden="1" x14ac:dyDescent="0.35">
      <c r="A553" s="54"/>
      <c r="B553" s="54"/>
      <c r="C553" s="54">
        <v>24114</v>
      </c>
      <c r="D553" s="54" t="s">
        <v>725</v>
      </c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  <c r="AB553" s="54"/>
      <c r="AC553" s="54"/>
      <c r="AD553" s="54"/>
      <c r="AE553" s="54"/>
      <c r="AF553" s="54"/>
    </row>
    <row r="554" spans="1:32" hidden="1" x14ac:dyDescent="0.35">
      <c r="A554" s="54"/>
      <c r="B554" s="54"/>
      <c r="C554" s="54">
        <v>24115</v>
      </c>
      <c r="D554" s="54" t="s">
        <v>726</v>
      </c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  <c r="AB554" s="54"/>
      <c r="AC554" s="54"/>
      <c r="AD554" s="54"/>
      <c r="AE554" s="54"/>
      <c r="AF554" s="54"/>
    </row>
    <row r="555" spans="1:32" hidden="1" x14ac:dyDescent="0.35">
      <c r="A555" s="54"/>
      <c r="B555" s="54"/>
      <c r="C555" s="54">
        <v>24116</v>
      </c>
      <c r="D555" s="54" t="s">
        <v>727</v>
      </c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  <c r="AB555" s="54"/>
      <c r="AC555" s="54"/>
      <c r="AD555" s="54"/>
      <c r="AE555" s="54"/>
      <c r="AF555" s="54"/>
    </row>
    <row r="556" spans="1:32" hidden="1" x14ac:dyDescent="0.35">
      <c r="A556" s="54"/>
      <c r="B556" s="54"/>
      <c r="C556" s="54">
        <v>24117</v>
      </c>
      <c r="D556" s="54" t="s">
        <v>728</v>
      </c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  <c r="AB556" s="54"/>
      <c r="AC556" s="54"/>
      <c r="AD556" s="54"/>
      <c r="AE556" s="54"/>
      <c r="AF556" s="54"/>
    </row>
    <row r="557" spans="1:32" hidden="1" x14ac:dyDescent="0.35">
      <c r="A557" s="54"/>
      <c r="B557" s="54"/>
      <c r="C557" s="54">
        <v>24118</v>
      </c>
      <c r="D557" s="54" t="s">
        <v>729</v>
      </c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  <c r="AB557" s="54"/>
      <c r="AC557" s="54"/>
      <c r="AD557" s="54"/>
      <c r="AE557" s="54"/>
      <c r="AF557" s="54"/>
    </row>
    <row r="558" spans="1:32" hidden="1" x14ac:dyDescent="0.35">
      <c r="A558" s="54"/>
      <c r="B558" s="54"/>
      <c r="C558" s="54">
        <v>24119</v>
      </c>
      <c r="D558" s="54" t="s">
        <v>730</v>
      </c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  <c r="AB558" s="54"/>
      <c r="AC558" s="54"/>
      <c r="AD558" s="54"/>
      <c r="AE558" s="54"/>
      <c r="AF558" s="54"/>
    </row>
    <row r="559" spans="1:32" hidden="1" x14ac:dyDescent="0.35">
      <c r="A559" s="54"/>
      <c r="B559" s="54"/>
      <c r="C559" s="54">
        <v>24120</v>
      </c>
      <c r="D559" s="54" t="s">
        <v>731</v>
      </c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  <c r="AB559" s="54"/>
      <c r="AC559" s="54"/>
      <c r="AD559" s="54"/>
      <c r="AE559" s="54"/>
      <c r="AF559" s="54"/>
    </row>
    <row r="560" spans="1:32" hidden="1" x14ac:dyDescent="0.35">
      <c r="A560" s="54"/>
      <c r="B560" s="54"/>
      <c r="C560" s="54">
        <v>24121</v>
      </c>
      <c r="D560" s="54" t="s">
        <v>732</v>
      </c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  <c r="AB560" s="54"/>
      <c r="AC560" s="54"/>
      <c r="AD560" s="54"/>
      <c r="AE560" s="54"/>
      <c r="AF560" s="54"/>
    </row>
    <row r="561" spans="1:32" hidden="1" x14ac:dyDescent="0.35">
      <c r="A561" s="54"/>
      <c r="B561" s="54"/>
      <c r="C561" s="54">
        <v>24122</v>
      </c>
      <c r="D561" s="54" t="s">
        <v>733</v>
      </c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  <c r="AB561" s="54"/>
      <c r="AC561" s="54"/>
      <c r="AD561" s="54"/>
      <c r="AE561" s="54"/>
      <c r="AF561" s="54"/>
    </row>
    <row r="562" spans="1:32" hidden="1" x14ac:dyDescent="0.35">
      <c r="A562" s="54"/>
      <c r="B562" s="54"/>
      <c r="C562" s="54">
        <v>24123</v>
      </c>
      <c r="D562" s="54" t="s">
        <v>734</v>
      </c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  <c r="AB562" s="54"/>
      <c r="AC562" s="54"/>
      <c r="AD562" s="54"/>
      <c r="AE562" s="54"/>
      <c r="AF562" s="54"/>
    </row>
    <row r="563" spans="1:32" hidden="1" x14ac:dyDescent="0.35">
      <c r="A563" s="54"/>
      <c r="B563" s="54"/>
      <c r="C563" s="54">
        <v>24124</v>
      </c>
      <c r="D563" s="54" t="s">
        <v>735</v>
      </c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  <c r="AB563" s="54"/>
      <c r="AC563" s="54"/>
      <c r="AD563" s="54"/>
      <c r="AE563" s="54"/>
      <c r="AF563" s="54"/>
    </row>
    <row r="564" spans="1:32" hidden="1" x14ac:dyDescent="0.35">
      <c r="A564" s="54"/>
      <c r="B564" s="54"/>
      <c r="C564" s="54">
        <v>24125</v>
      </c>
      <c r="D564" s="54" t="s">
        <v>736</v>
      </c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  <c r="AB564" s="54"/>
      <c r="AC564" s="54"/>
      <c r="AD564" s="54"/>
      <c r="AE564" s="54"/>
      <c r="AF564" s="54"/>
    </row>
    <row r="565" spans="1:32" hidden="1" x14ac:dyDescent="0.35">
      <c r="A565" s="54"/>
      <c r="B565" s="54"/>
      <c r="C565" s="54">
        <v>24126</v>
      </c>
      <c r="D565" s="54" t="s">
        <v>737</v>
      </c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  <c r="AC565" s="54"/>
      <c r="AD565" s="54"/>
      <c r="AE565" s="54"/>
      <c r="AF565" s="54"/>
    </row>
    <row r="566" spans="1:32" hidden="1" x14ac:dyDescent="0.35">
      <c r="A566" s="54"/>
      <c r="B566" s="54"/>
      <c r="C566" s="54">
        <v>24127</v>
      </c>
      <c r="D566" s="54" t="s">
        <v>738</v>
      </c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  <c r="AC566" s="54"/>
      <c r="AD566" s="54"/>
      <c r="AE566" s="54"/>
      <c r="AF566" s="54"/>
    </row>
    <row r="567" spans="1:32" hidden="1" x14ac:dyDescent="0.35">
      <c r="A567" s="54"/>
      <c r="B567" s="54"/>
      <c r="C567" s="54">
        <v>24128</v>
      </c>
      <c r="D567" s="54" t="s">
        <v>739</v>
      </c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  <c r="AC567" s="54"/>
      <c r="AD567" s="54"/>
      <c r="AE567" s="54"/>
      <c r="AF567" s="54"/>
    </row>
    <row r="568" spans="1:32" hidden="1" x14ac:dyDescent="0.35">
      <c r="A568" s="54"/>
      <c r="B568" s="54"/>
      <c r="C568" s="54">
        <v>24129</v>
      </c>
      <c r="D568" s="54" t="s">
        <v>740</v>
      </c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  <c r="AB568" s="54"/>
      <c r="AC568" s="54"/>
      <c r="AD568" s="54"/>
      <c r="AE568" s="54"/>
      <c r="AF568" s="54"/>
    </row>
    <row r="569" spans="1:32" hidden="1" x14ac:dyDescent="0.35">
      <c r="A569" s="54"/>
      <c r="B569" s="54"/>
      <c r="C569" s="54">
        <v>24130</v>
      </c>
      <c r="D569" s="54" t="s">
        <v>741</v>
      </c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  <c r="AC569" s="54"/>
      <c r="AD569" s="54"/>
      <c r="AE569" s="54"/>
      <c r="AF569" s="54"/>
    </row>
    <row r="570" spans="1:32" hidden="1" x14ac:dyDescent="0.35">
      <c r="A570" s="54"/>
      <c r="B570" s="54"/>
      <c r="C570" s="54">
        <v>24131</v>
      </c>
      <c r="D570" s="54" t="s">
        <v>742</v>
      </c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  <c r="AB570" s="54"/>
      <c r="AC570" s="54"/>
      <c r="AD570" s="54"/>
      <c r="AE570" s="54"/>
      <c r="AF570" s="54"/>
    </row>
    <row r="571" spans="1:32" hidden="1" x14ac:dyDescent="0.35">
      <c r="A571" s="54"/>
      <c r="B571" s="54"/>
      <c r="C571" s="54">
        <v>24132</v>
      </c>
      <c r="D571" s="54" t="s">
        <v>743</v>
      </c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  <c r="AC571" s="54"/>
      <c r="AD571" s="54"/>
      <c r="AE571" s="54"/>
      <c r="AF571" s="54"/>
    </row>
    <row r="572" spans="1:32" hidden="1" x14ac:dyDescent="0.35">
      <c r="A572" s="54"/>
      <c r="B572" s="54"/>
      <c r="C572" s="54">
        <v>24133</v>
      </c>
      <c r="D572" s="54" t="s">
        <v>744</v>
      </c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  <c r="AC572" s="54"/>
      <c r="AD572" s="54"/>
      <c r="AE572" s="54"/>
      <c r="AF572" s="54"/>
    </row>
    <row r="573" spans="1:32" hidden="1" x14ac:dyDescent="0.35">
      <c r="A573" s="54"/>
      <c r="B573" s="54"/>
      <c r="C573" s="54">
        <v>24134</v>
      </c>
      <c r="D573" s="54" t="s">
        <v>745</v>
      </c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  <c r="AC573" s="54"/>
      <c r="AD573" s="54"/>
      <c r="AE573" s="54"/>
      <c r="AF573" s="54"/>
    </row>
    <row r="574" spans="1:32" hidden="1" x14ac:dyDescent="0.35">
      <c r="A574" s="54"/>
      <c r="B574" s="54"/>
      <c r="C574" s="54">
        <v>24135</v>
      </c>
      <c r="D574" s="54" t="s">
        <v>746</v>
      </c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  <c r="AC574" s="54"/>
      <c r="AD574" s="54"/>
      <c r="AE574" s="54"/>
      <c r="AF574" s="54"/>
    </row>
    <row r="575" spans="1:32" hidden="1" x14ac:dyDescent="0.35">
      <c r="A575" s="54"/>
      <c r="B575" s="54"/>
      <c r="C575" s="54">
        <v>24136</v>
      </c>
      <c r="D575" s="54" t="s">
        <v>747</v>
      </c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  <c r="AB575" s="54"/>
      <c r="AC575" s="54"/>
      <c r="AD575" s="54"/>
      <c r="AE575" s="54"/>
      <c r="AF575" s="54"/>
    </row>
    <row r="576" spans="1:32" hidden="1" x14ac:dyDescent="0.35">
      <c r="A576" s="54"/>
      <c r="B576" s="54"/>
      <c r="C576" s="54">
        <v>24137</v>
      </c>
      <c r="D576" s="54" t="s">
        <v>748</v>
      </c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  <c r="AE576" s="54"/>
      <c r="AF576" s="54"/>
    </row>
    <row r="577" spans="1:32" hidden="1" x14ac:dyDescent="0.35">
      <c r="A577" s="54"/>
      <c r="B577" s="54"/>
      <c r="C577" s="54">
        <v>24138</v>
      </c>
      <c r="D577" s="54" t="s">
        <v>749</v>
      </c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  <c r="AE577" s="54"/>
      <c r="AF577" s="54"/>
    </row>
    <row r="578" spans="1:32" hidden="1" x14ac:dyDescent="0.35">
      <c r="A578" s="54"/>
      <c r="B578" s="54"/>
      <c r="C578" s="54">
        <v>24139</v>
      </c>
      <c r="D578" s="54" t="s">
        <v>750</v>
      </c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  <c r="AB578" s="54"/>
      <c r="AC578" s="54"/>
      <c r="AD578" s="54"/>
      <c r="AE578" s="54"/>
      <c r="AF578" s="54"/>
    </row>
    <row r="579" spans="1:32" hidden="1" x14ac:dyDescent="0.35">
      <c r="A579" s="54"/>
      <c r="B579" s="54"/>
      <c r="C579" s="54">
        <v>24147</v>
      </c>
      <c r="D579" s="54" t="s">
        <v>751</v>
      </c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  <c r="AE579" s="54"/>
      <c r="AF579" s="54"/>
    </row>
    <row r="580" spans="1:32" hidden="1" x14ac:dyDescent="0.35">
      <c r="A580" s="54"/>
      <c r="B580" s="54"/>
      <c r="C580" s="54">
        <v>24167</v>
      </c>
      <c r="D580" s="54" t="s">
        <v>787</v>
      </c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  <c r="AE580" s="54"/>
      <c r="AF580" s="54"/>
    </row>
    <row r="581" spans="1:32" hidden="1" x14ac:dyDescent="0.35">
      <c r="A581" s="54"/>
      <c r="B581" s="54"/>
      <c r="C581" s="54">
        <v>24225</v>
      </c>
      <c r="D581" s="54" t="s">
        <v>752</v>
      </c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  <c r="AE581" s="54"/>
      <c r="AF581" s="54"/>
    </row>
    <row r="582" spans="1:32" hidden="1" x14ac:dyDescent="0.35">
      <c r="A582" s="54"/>
      <c r="B582" s="54"/>
      <c r="C582" s="54">
        <v>24226</v>
      </c>
      <c r="D582" s="54" t="s">
        <v>753</v>
      </c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  <c r="AE582" s="54"/>
      <c r="AF582" s="54"/>
    </row>
    <row r="583" spans="1:32" hidden="1" x14ac:dyDescent="0.35">
      <c r="A583" s="54"/>
      <c r="B583" s="54"/>
      <c r="C583" s="54">
        <v>24227</v>
      </c>
      <c r="D583" s="54" t="s">
        <v>754</v>
      </c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  <c r="AE583" s="54"/>
      <c r="AF583" s="54"/>
    </row>
    <row r="584" spans="1:32" hidden="1" x14ac:dyDescent="0.35">
      <c r="A584" s="54"/>
      <c r="B584" s="54"/>
      <c r="C584" s="54">
        <v>24228</v>
      </c>
      <c r="D584" s="54" t="s">
        <v>755</v>
      </c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  <c r="AE584" s="54"/>
      <c r="AF584" s="54"/>
    </row>
    <row r="585" spans="1:32" hidden="1" x14ac:dyDescent="0.35">
      <c r="A585" s="54"/>
      <c r="B585" s="54"/>
      <c r="C585" s="54">
        <v>24229</v>
      </c>
      <c r="D585" s="54" t="s">
        <v>756</v>
      </c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  <c r="AE585" s="54"/>
      <c r="AF585" s="54"/>
    </row>
    <row r="586" spans="1:32" hidden="1" x14ac:dyDescent="0.35">
      <c r="A586" s="54"/>
      <c r="B586" s="54"/>
      <c r="C586" s="54">
        <v>24230</v>
      </c>
      <c r="D586" s="54" t="s">
        <v>757</v>
      </c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  <c r="AE586" s="54"/>
      <c r="AF586" s="54"/>
    </row>
    <row r="587" spans="1:32" hidden="1" x14ac:dyDescent="0.35">
      <c r="A587" s="54"/>
      <c r="B587" s="54"/>
      <c r="C587" s="54">
        <v>24231</v>
      </c>
      <c r="D587" s="54" t="s">
        <v>758</v>
      </c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  <c r="AD587" s="54"/>
      <c r="AE587" s="54"/>
      <c r="AF587" s="54"/>
    </row>
    <row r="588" spans="1:32" hidden="1" x14ac:dyDescent="0.35">
      <c r="A588" s="54"/>
      <c r="B588" s="54"/>
      <c r="C588" s="54">
        <v>24232</v>
      </c>
      <c r="D588" s="54" t="s">
        <v>759</v>
      </c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  <c r="AE588" s="54"/>
      <c r="AF588" s="54"/>
    </row>
    <row r="589" spans="1:32" hidden="1" x14ac:dyDescent="0.35">
      <c r="A589" s="54"/>
      <c r="B589" s="54"/>
      <c r="C589" s="54">
        <v>24233</v>
      </c>
      <c r="D589" s="54" t="s">
        <v>760</v>
      </c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  <c r="AE589" s="54"/>
      <c r="AF589" s="54"/>
    </row>
    <row r="590" spans="1:32" hidden="1" x14ac:dyDescent="0.35">
      <c r="A590" s="54"/>
      <c r="B590" s="54"/>
      <c r="C590" s="54">
        <v>24234</v>
      </c>
      <c r="D590" s="54" t="s">
        <v>761</v>
      </c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  <c r="AB590" s="54"/>
      <c r="AC590" s="54"/>
      <c r="AD590" s="54"/>
      <c r="AE590" s="54"/>
      <c r="AF590" s="54"/>
    </row>
    <row r="591" spans="1:32" hidden="1" x14ac:dyDescent="0.35">
      <c r="A591" s="54"/>
      <c r="B591" s="54"/>
      <c r="C591" s="54">
        <v>24235</v>
      </c>
      <c r="D591" s="54" t="s">
        <v>762</v>
      </c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  <c r="AB591" s="54"/>
      <c r="AC591" s="54"/>
      <c r="AD591" s="54"/>
      <c r="AE591" s="54"/>
      <c r="AF591" s="54"/>
    </row>
    <row r="592" spans="1:32" hidden="1" x14ac:dyDescent="0.35">
      <c r="A592" s="54"/>
      <c r="B592" s="54"/>
      <c r="C592" s="54">
        <v>24236</v>
      </c>
      <c r="D592" s="54" t="s">
        <v>763</v>
      </c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  <c r="AB592" s="54"/>
      <c r="AC592" s="54"/>
      <c r="AD592" s="54"/>
      <c r="AE592" s="54"/>
      <c r="AF592" s="54"/>
    </row>
    <row r="593" spans="1:32" hidden="1" x14ac:dyDescent="0.35">
      <c r="A593" s="54"/>
      <c r="B593" s="54"/>
      <c r="C593" s="54">
        <v>24237</v>
      </c>
      <c r="D593" s="54" t="s">
        <v>764</v>
      </c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  <c r="AB593" s="54"/>
      <c r="AC593" s="54"/>
      <c r="AD593" s="54"/>
      <c r="AE593" s="54"/>
      <c r="AF593" s="54"/>
    </row>
    <row r="594" spans="1:32" hidden="1" x14ac:dyDescent="0.35">
      <c r="A594" s="54"/>
      <c r="B594" s="54"/>
      <c r="C594" s="54">
        <v>24238</v>
      </c>
      <c r="D594" s="54" t="s">
        <v>765</v>
      </c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  <c r="AB594" s="54"/>
      <c r="AC594" s="54"/>
      <c r="AD594" s="54"/>
      <c r="AE594" s="54"/>
      <c r="AF594" s="54"/>
    </row>
    <row r="595" spans="1:32" hidden="1" x14ac:dyDescent="0.35">
      <c r="A595" s="54"/>
      <c r="B595" s="54"/>
      <c r="C595" s="54">
        <v>24239</v>
      </c>
      <c r="D595" s="54" t="s">
        <v>766</v>
      </c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  <c r="AB595" s="54"/>
      <c r="AC595" s="54"/>
      <c r="AD595" s="54"/>
      <c r="AE595" s="54"/>
      <c r="AF595" s="54"/>
    </row>
    <row r="596" spans="1:32" hidden="1" x14ac:dyDescent="0.35">
      <c r="A596" s="54"/>
      <c r="B596" s="54"/>
      <c r="C596" s="54">
        <v>24240</v>
      </c>
      <c r="D596" s="54" t="s">
        <v>767</v>
      </c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  <c r="AB596" s="54"/>
      <c r="AC596" s="54"/>
      <c r="AD596" s="54"/>
      <c r="AE596" s="54"/>
      <c r="AF596" s="54"/>
    </row>
    <row r="597" spans="1:32" hidden="1" x14ac:dyDescent="0.35">
      <c r="A597" s="54"/>
      <c r="B597" s="54"/>
      <c r="C597" s="54">
        <v>24241</v>
      </c>
      <c r="D597" s="54" t="s">
        <v>768</v>
      </c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  <c r="AB597" s="54"/>
      <c r="AC597" s="54"/>
      <c r="AD597" s="54"/>
      <c r="AE597" s="54"/>
      <c r="AF597" s="54"/>
    </row>
    <row r="598" spans="1:32" hidden="1" x14ac:dyDescent="0.35">
      <c r="A598" s="54"/>
      <c r="B598" s="54"/>
      <c r="C598" s="54">
        <v>24242</v>
      </c>
      <c r="D598" s="54" t="s">
        <v>769</v>
      </c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  <c r="AB598" s="54"/>
      <c r="AC598" s="54"/>
      <c r="AD598" s="54"/>
      <c r="AE598" s="54"/>
      <c r="AF598" s="54"/>
    </row>
    <row r="599" spans="1:32" hidden="1" x14ac:dyDescent="0.35">
      <c r="A599" s="54"/>
      <c r="B599" s="54"/>
      <c r="C599" s="54">
        <v>24243</v>
      </c>
      <c r="D599" s="54" t="s">
        <v>770</v>
      </c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  <c r="AB599" s="54"/>
      <c r="AC599" s="54"/>
      <c r="AD599" s="54"/>
      <c r="AE599" s="54"/>
      <c r="AF599" s="54"/>
    </row>
    <row r="600" spans="1:32" hidden="1" x14ac:dyDescent="0.35">
      <c r="A600" s="54"/>
      <c r="B600" s="54"/>
      <c r="C600" s="54">
        <v>24244</v>
      </c>
      <c r="D600" s="54" t="s">
        <v>810</v>
      </c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  <c r="AB600" s="54"/>
      <c r="AC600" s="54"/>
      <c r="AD600" s="54"/>
      <c r="AE600" s="54"/>
      <c r="AF600" s="54"/>
    </row>
    <row r="601" spans="1:32" hidden="1" x14ac:dyDescent="0.35">
      <c r="A601" s="54"/>
      <c r="B601" s="54"/>
      <c r="C601" s="54">
        <v>24245</v>
      </c>
      <c r="D601" s="54" t="s">
        <v>771</v>
      </c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  <c r="AB601" s="54"/>
      <c r="AC601" s="54"/>
      <c r="AD601" s="54"/>
      <c r="AE601" s="54"/>
      <c r="AF601" s="54"/>
    </row>
    <row r="602" spans="1:32" hidden="1" x14ac:dyDescent="0.35">
      <c r="A602" s="54"/>
      <c r="B602" s="54"/>
      <c r="C602" s="54">
        <v>24246</v>
      </c>
      <c r="D602" s="54" t="s">
        <v>772</v>
      </c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  <c r="AB602" s="54"/>
      <c r="AC602" s="54"/>
      <c r="AD602" s="54"/>
      <c r="AE602" s="54"/>
      <c r="AF602" s="54"/>
    </row>
    <row r="603" spans="1:32" hidden="1" x14ac:dyDescent="0.35">
      <c r="A603" s="54"/>
      <c r="B603" s="54"/>
      <c r="C603" s="54">
        <v>24247</v>
      </c>
      <c r="D603" s="54" t="s">
        <v>773</v>
      </c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  <c r="AB603" s="54"/>
      <c r="AC603" s="54"/>
      <c r="AD603" s="54"/>
      <c r="AE603" s="54"/>
      <c r="AF603" s="54"/>
    </row>
    <row r="604" spans="1:32" hidden="1" x14ac:dyDescent="0.35">
      <c r="A604" s="54"/>
      <c r="B604" s="54"/>
      <c r="C604" s="54">
        <v>24248</v>
      </c>
      <c r="D604" s="54" t="s">
        <v>811</v>
      </c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  <c r="AB604" s="54"/>
      <c r="AC604" s="54"/>
      <c r="AD604" s="54"/>
      <c r="AE604" s="54"/>
      <c r="AF604" s="54"/>
    </row>
    <row r="605" spans="1:32" hidden="1" x14ac:dyDescent="0.35">
      <c r="A605" s="54"/>
      <c r="B605" s="54"/>
      <c r="C605" s="54">
        <v>24249</v>
      </c>
      <c r="D605" s="54" t="s">
        <v>774</v>
      </c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  <c r="AB605" s="54"/>
      <c r="AC605" s="54"/>
      <c r="AD605" s="54"/>
      <c r="AE605" s="54"/>
      <c r="AF605" s="54"/>
    </row>
    <row r="606" spans="1:32" hidden="1" x14ac:dyDescent="0.35">
      <c r="A606" s="54"/>
      <c r="B606" s="54"/>
      <c r="C606" s="54">
        <v>24250</v>
      </c>
      <c r="D606" s="54" t="s">
        <v>775</v>
      </c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  <c r="AB606" s="54"/>
      <c r="AC606" s="54"/>
      <c r="AD606" s="54"/>
      <c r="AE606" s="54"/>
      <c r="AF606" s="54"/>
    </row>
    <row r="607" spans="1:32" hidden="1" x14ac:dyDescent="0.35">
      <c r="A607" s="54"/>
      <c r="B607" s="54"/>
      <c r="C607" s="54">
        <v>24251</v>
      </c>
      <c r="D607" s="54" t="s">
        <v>776</v>
      </c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  <c r="AB607" s="54"/>
      <c r="AC607" s="54"/>
      <c r="AD607" s="54"/>
      <c r="AE607" s="54"/>
      <c r="AF607" s="54"/>
    </row>
    <row r="608" spans="1:32" hidden="1" x14ac:dyDescent="0.35">
      <c r="A608" s="54"/>
      <c r="B608" s="54"/>
      <c r="C608" s="54">
        <v>24252</v>
      </c>
      <c r="D608" s="54" t="s">
        <v>777</v>
      </c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  <c r="AB608" s="54"/>
      <c r="AC608" s="54"/>
      <c r="AD608" s="54"/>
      <c r="AE608" s="54"/>
      <c r="AF608" s="54"/>
    </row>
    <row r="609" spans="1:32" hidden="1" x14ac:dyDescent="0.35">
      <c r="A609" s="54"/>
      <c r="B609" s="54"/>
      <c r="C609" s="54">
        <v>24253</v>
      </c>
      <c r="D609" s="54" t="s">
        <v>779</v>
      </c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  <c r="AB609" s="54"/>
      <c r="AC609" s="54"/>
      <c r="AD609" s="54"/>
      <c r="AE609" s="54"/>
      <c r="AF609" s="54"/>
    </row>
    <row r="610" spans="1:32" hidden="1" x14ac:dyDescent="0.35">
      <c r="A610" s="54"/>
      <c r="B610" s="54"/>
      <c r="C610" s="54">
        <v>24254</v>
      </c>
      <c r="D610" s="54" t="s">
        <v>778</v>
      </c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  <c r="AB610" s="54"/>
      <c r="AC610" s="54"/>
      <c r="AD610" s="54"/>
      <c r="AE610" s="54"/>
      <c r="AF610" s="54"/>
    </row>
    <row r="611" spans="1:32" hidden="1" x14ac:dyDescent="0.35">
      <c r="A611" s="54"/>
      <c r="B611" s="54"/>
      <c r="C611" s="54">
        <v>24255</v>
      </c>
      <c r="D611" s="54" t="s">
        <v>780</v>
      </c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  <c r="AB611" s="54"/>
      <c r="AC611" s="54"/>
      <c r="AD611" s="54"/>
      <c r="AE611" s="54"/>
      <c r="AF611" s="54"/>
    </row>
    <row r="612" spans="1:32" hidden="1" x14ac:dyDescent="0.35">
      <c r="A612" s="54"/>
      <c r="B612" s="54"/>
      <c r="C612" s="54">
        <v>24256</v>
      </c>
      <c r="D612" s="54" t="s">
        <v>812</v>
      </c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  <c r="AB612" s="54"/>
      <c r="AC612" s="54"/>
      <c r="AD612" s="54"/>
      <c r="AE612" s="54"/>
      <c r="AF612" s="54"/>
    </row>
    <row r="613" spans="1:32" hidden="1" x14ac:dyDescent="0.35">
      <c r="A613" s="54"/>
      <c r="B613" s="54"/>
      <c r="C613" s="54">
        <v>24257</v>
      </c>
      <c r="D613" s="54" t="s">
        <v>781</v>
      </c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  <c r="AB613" s="54"/>
      <c r="AC613" s="54"/>
      <c r="AD613" s="54"/>
      <c r="AE613" s="54"/>
      <c r="AF613" s="54"/>
    </row>
    <row r="614" spans="1:32" hidden="1" x14ac:dyDescent="0.35">
      <c r="A614" s="54"/>
      <c r="B614" s="54"/>
      <c r="C614" s="54">
        <v>24258</v>
      </c>
      <c r="D614" s="54" t="s">
        <v>782</v>
      </c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  <c r="AE614" s="54"/>
      <c r="AF614" s="54"/>
    </row>
    <row r="615" spans="1:32" hidden="1" x14ac:dyDescent="0.35">
      <c r="A615" s="54"/>
      <c r="B615" s="54"/>
      <c r="C615" s="54">
        <v>24259</v>
      </c>
      <c r="D615" s="54" t="s">
        <v>783</v>
      </c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  <c r="AE615" s="54"/>
      <c r="AF615" s="54"/>
    </row>
    <row r="616" spans="1:32" hidden="1" x14ac:dyDescent="0.35">
      <c r="A616" s="54"/>
      <c r="B616" s="54"/>
      <c r="C616" s="54">
        <v>24260</v>
      </c>
      <c r="D616" s="54" t="s">
        <v>784</v>
      </c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  <c r="AB616" s="54"/>
      <c r="AC616" s="54"/>
      <c r="AD616" s="54"/>
      <c r="AE616" s="54"/>
      <c r="AF616" s="54"/>
    </row>
    <row r="617" spans="1:32" hidden="1" x14ac:dyDescent="0.35">
      <c r="A617" s="54"/>
      <c r="B617" s="54"/>
      <c r="C617" s="54">
        <v>24261</v>
      </c>
      <c r="D617" s="54" t="s">
        <v>785</v>
      </c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  <c r="AE617" s="54"/>
      <c r="AF617" s="54"/>
    </row>
    <row r="618" spans="1:32" hidden="1" x14ac:dyDescent="0.35">
      <c r="A618" s="54"/>
      <c r="B618" s="54"/>
      <c r="C618" s="54">
        <v>999999</v>
      </c>
      <c r="D618" s="54" t="s">
        <v>788</v>
      </c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  <c r="AE618" s="54"/>
      <c r="AF618" s="54"/>
    </row>
    <row r="619" spans="1:32" hidden="1" x14ac:dyDescent="0.35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  <c r="AE619" s="54"/>
      <c r="AF619" s="54"/>
    </row>
    <row r="620" spans="1:32" hidden="1" x14ac:dyDescent="0.35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  <c r="AE620" s="54"/>
      <c r="AF620" s="54"/>
    </row>
    <row r="621" spans="1:32" hidden="1" x14ac:dyDescent="0.35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  <c r="AE621" s="54"/>
      <c r="AF621" s="54"/>
    </row>
    <row r="622" spans="1:32" hidden="1" x14ac:dyDescent="0.35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  <c r="AE622" s="54"/>
      <c r="AF622" s="54"/>
    </row>
    <row r="623" spans="1:32" hidden="1" x14ac:dyDescent="0.35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  <c r="AE623" s="54"/>
      <c r="AF623" s="54"/>
    </row>
    <row r="624" spans="1:32" hidden="1" x14ac:dyDescent="0.35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  <c r="AD624" s="54"/>
      <c r="AE624" s="54"/>
      <c r="AF624" s="54"/>
    </row>
    <row r="625" spans="1:32" hidden="1" x14ac:dyDescent="0.35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  <c r="AE625" s="54"/>
      <c r="AF625" s="54"/>
    </row>
    <row r="626" spans="1:32" hidden="1" x14ac:dyDescent="0.35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  <c r="AC626" s="54"/>
      <c r="AD626" s="54"/>
      <c r="AE626" s="54"/>
      <c r="AF626" s="54"/>
    </row>
    <row r="627" spans="1:32" hidden="1" x14ac:dyDescent="0.35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  <c r="AC627" s="54"/>
      <c r="AD627" s="54"/>
      <c r="AE627" s="54"/>
      <c r="AF627" s="54"/>
    </row>
    <row r="628" spans="1:32" hidden="1" x14ac:dyDescent="0.35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  <c r="AB628" s="54"/>
      <c r="AC628" s="54"/>
      <c r="AD628" s="54"/>
      <c r="AE628" s="54"/>
      <c r="AF628" s="54"/>
    </row>
    <row r="629" spans="1:32" hidden="1" x14ac:dyDescent="0.35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  <c r="AB629" s="54"/>
      <c r="AC629" s="54"/>
      <c r="AD629" s="54"/>
      <c r="AE629" s="54"/>
      <c r="AF629" s="54"/>
    </row>
    <row r="630" spans="1:32" hidden="1" x14ac:dyDescent="0.35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  <c r="AB630" s="54"/>
      <c r="AC630" s="54"/>
      <c r="AD630" s="54"/>
      <c r="AE630" s="54"/>
      <c r="AF630" s="54"/>
    </row>
    <row r="631" spans="1:32" hidden="1" x14ac:dyDescent="0.35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  <c r="AB631" s="54"/>
      <c r="AC631" s="54"/>
      <c r="AD631" s="54"/>
      <c r="AE631" s="54"/>
      <c r="AF631" s="54"/>
    </row>
    <row r="632" spans="1:32" hidden="1" x14ac:dyDescent="0.35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  <c r="AB632" s="54"/>
      <c r="AC632" s="54"/>
      <c r="AD632" s="54"/>
      <c r="AE632" s="54"/>
      <c r="AF632" s="54"/>
    </row>
    <row r="633" spans="1:32" hidden="1" x14ac:dyDescent="0.35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  <c r="AB633" s="54"/>
      <c r="AC633" s="54"/>
      <c r="AD633" s="54"/>
      <c r="AE633" s="54"/>
      <c r="AF633" s="54"/>
    </row>
    <row r="634" spans="1:32" hidden="1" x14ac:dyDescent="0.35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  <c r="AB634" s="54"/>
      <c r="AC634" s="54"/>
      <c r="AD634" s="54"/>
      <c r="AE634" s="54"/>
      <c r="AF634" s="54"/>
    </row>
    <row r="635" spans="1:32" hidden="1" x14ac:dyDescent="0.35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  <c r="AB635" s="54"/>
      <c r="AC635" s="54"/>
      <c r="AD635" s="54"/>
      <c r="AE635" s="54"/>
      <c r="AF635" s="54"/>
    </row>
    <row r="636" spans="1:32" hidden="1" x14ac:dyDescent="0.35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  <c r="AB636" s="54"/>
      <c r="AC636" s="54"/>
      <c r="AD636" s="54"/>
      <c r="AE636" s="54"/>
      <c r="AF636" s="54"/>
    </row>
    <row r="637" spans="1:32" hidden="1" x14ac:dyDescent="0.35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  <c r="AB637" s="54"/>
      <c r="AC637" s="54"/>
      <c r="AD637" s="54"/>
      <c r="AE637" s="54"/>
      <c r="AF637" s="54"/>
    </row>
    <row r="638" spans="1:32" hidden="1" x14ac:dyDescent="0.35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  <c r="AB638" s="54"/>
      <c r="AC638" s="54"/>
      <c r="AD638" s="54"/>
      <c r="AE638" s="54"/>
      <c r="AF638" s="54"/>
    </row>
    <row r="639" spans="1:32" hidden="1" x14ac:dyDescent="0.35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  <c r="AB639" s="54"/>
      <c r="AC639" s="54"/>
      <c r="AD639" s="54"/>
      <c r="AE639" s="54"/>
      <c r="AF639" s="54"/>
    </row>
    <row r="640" spans="1:32" hidden="1" x14ac:dyDescent="0.35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  <c r="AB640" s="54"/>
      <c r="AC640" s="54"/>
      <c r="AD640" s="54"/>
      <c r="AE640" s="54"/>
      <c r="AF640" s="54"/>
    </row>
    <row r="641" spans="1:32" hidden="1" x14ac:dyDescent="0.35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  <c r="AB641" s="54"/>
      <c r="AC641" s="54"/>
      <c r="AD641" s="54"/>
      <c r="AE641" s="54"/>
      <c r="AF641" s="54"/>
    </row>
    <row r="642" spans="1:32" hidden="1" x14ac:dyDescent="0.35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  <c r="AB642" s="54"/>
      <c r="AC642" s="54"/>
      <c r="AD642" s="54"/>
      <c r="AE642" s="54"/>
      <c r="AF642" s="54"/>
    </row>
    <row r="643" spans="1:32" hidden="1" x14ac:dyDescent="0.35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  <c r="AB643" s="54"/>
      <c r="AC643" s="54"/>
      <c r="AD643" s="54"/>
      <c r="AE643" s="54"/>
      <c r="AF643" s="54"/>
    </row>
    <row r="644" spans="1:32" hidden="1" x14ac:dyDescent="0.35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  <c r="AB644" s="54"/>
      <c r="AC644" s="54"/>
      <c r="AD644" s="54"/>
      <c r="AE644" s="54"/>
      <c r="AF644" s="54"/>
    </row>
    <row r="645" spans="1:32" hidden="1" x14ac:dyDescent="0.35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  <c r="AB645" s="54"/>
      <c r="AC645" s="54"/>
      <c r="AD645" s="54"/>
      <c r="AE645" s="54"/>
      <c r="AF645" s="54"/>
    </row>
    <row r="646" spans="1:32" hidden="1" x14ac:dyDescent="0.35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  <c r="AB646" s="54"/>
      <c r="AC646" s="54"/>
      <c r="AD646" s="54"/>
      <c r="AE646" s="54"/>
      <c r="AF646" s="54"/>
    </row>
    <row r="647" spans="1:32" hidden="1" x14ac:dyDescent="0.35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  <c r="AB647" s="54"/>
      <c r="AC647" s="54"/>
      <c r="AD647" s="54"/>
      <c r="AE647" s="54"/>
      <c r="AF647" s="54"/>
    </row>
    <row r="648" spans="1:32" hidden="1" x14ac:dyDescent="0.35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  <c r="AB648" s="54"/>
      <c r="AC648" s="54"/>
      <c r="AD648" s="54"/>
      <c r="AE648" s="54"/>
      <c r="AF648" s="54"/>
    </row>
    <row r="649" spans="1:32" hidden="1" x14ac:dyDescent="0.35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  <c r="AB649" s="54"/>
      <c r="AC649" s="54"/>
      <c r="AD649" s="54"/>
      <c r="AE649" s="54"/>
      <c r="AF649" s="54"/>
    </row>
    <row r="650" spans="1:32" hidden="1" x14ac:dyDescent="0.35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  <c r="AB650" s="54"/>
      <c r="AC650" s="54"/>
      <c r="AD650" s="54"/>
      <c r="AE650" s="54"/>
      <c r="AF650" s="54"/>
    </row>
    <row r="651" spans="1:32" hidden="1" x14ac:dyDescent="0.35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  <c r="AB651" s="54"/>
      <c r="AC651" s="54"/>
      <c r="AD651" s="54"/>
      <c r="AE651" s="54"/>
      <c r="AF651" s="54"/>
    </row>
    <row r="652" spans="1:32" hidden="1" x14ac:dyDescent="0.35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  <c r="AE652" s="54"/>
      <c r="AF652" s="54"/>
    </row>
    <row r="653" spans="1:32" hidden="1" x14ac:dyDescent="0.35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  <c r="AE653" s="54"/>
      <c r="AF653" s="54"/>
    </row>
    <row r="654" spans="1:32" hidden="1" x14ac:dyDescent="0.35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  <c r="AB654" s="54"/>
      <c r="AC654" s="54"/>
      <c r="AD654" s="54"/>
      <c r="AE654" s="54"/>
      <c r="AF654" s="54"/>
    </row>
    <row r="655" spans="1:32" hidden="1" x14ac:dyDescent="0.35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  <c r="AE655" s="54"/>
      <c r="AF655" s="54"/>
    </row>
    <row r="656" spans="1:32" hidden="1" x14ac:dyDescent="0.35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  <c r="AE656" s="54"/>
      <c r="AF656" s="54"/>
    </row>
    <row r="657" spans="1:32" hidden="1" x14ac:dyDescent="0.35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  <c r="AE657" s="54"/>
      <c r="AF657" s="54"/>
    </row>
    <row r="658" spans="1:32" hidden="1" x14ac:dyDescent="0.35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  <c r="AE658" s="54"/>
      <c r="AF658" s="54"/>
    </row>
    <row r="659" spans="1:32" hidden="1" x14ac:dyDescent="0.35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  <c r="AD659" s="54"/>
      <c r="AE659" s="54"/>
      <c r="AF659" s="54"/>
    </row>
    <row r="660" spans="1:32" hidden="1" x14ac:dyDescent="0.35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  <c r="AC660" s="54"/>
      <c r="AD660" s="54"/>
      <c r="AE660" s="54"/>
      <c r="AF660" s="54"/>
    </row>
    <row r="661" spans="1:32" hidden="1" x14ac:dyDescent="0.35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  <c r="AD661" s="54"/>
      <c r="AE661" s="54"/>
      <c r="AF661" s="54"/>
    </row>
    <row r="662" spans="1:32" hidden="1" x14ac:dyDescent="0.35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  <c r="AC662" s="54"/>
      <c r="AD662" s="54"/>
      <c r="AE662" s="54"/>
      <c r="AF662" s="54"/>
    </row>
    <row r="663" spans="1:32" hidden="1" x14ac:dyDescent="0.35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  <c r="AC663" s="54"/>
      <c r="AD663" s="54"/>
      <c r="AE663" s="54"/>
      <c r="AF663" s="54"/>
    </row>
    <row r="664" spans="1:32" hidden="1" x14ac:dyDescent="0.35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  <c r="AE664" s="54"/>
      <c r="AF664" s="54"/>
    </row>
    <row r="665" spans="1:32" hidden="1" x14ac:dyDescent="0.35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  <c r="AC665" s="54"/>
      <c r="AD665" s="54"/>
      <c r="AE665" s="54"/>
      <c r="AF665" s="54"/>
    </row>
    <row r="666" spans="1:32" hidden="1" x14ac:dyDescent="0.35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  <c r="AB666" s="54"/>
      <c r="AC666" s="54"/>
      <c r="AD666" s="54"/>
      <c r="AE666" s="54"/>
      <c r="AF666" s="54"/>
    </row>
    <row r="667" spans="1:32" hidden="1" x14ac:dyDescent="0.35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  <c r="AB667" s="54"/>
      <c r="AC667" s="54"/>
      <c r="AD667" s="54"/>
      <c r="AE667" s="54"/>
      <c r="AF667" s="54"/>
    </row>
    <row r="668" spans="1:32" hidden="1" x14ac:dyDescent="0.35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  <c r="AB668" s="54"/>
      <c r="AC668" s="54"/>
      <c r="AD668" s="54"/>
      <c r="AE668" s="54"/>
      <c r="AF668" s="54"/>
    </row>
    <row r="669" spans="1:32" hidden="1" x14ac:dyDescent="0.35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  <c r="AB669" s="54"/>
      <c r="AC669" s="54"/>
      <c r="AD669" s="54"/>
      <c r="AE669" s="54"/>
      <c r="AF669" s="54"/>
    </row>
    <row r="670" spans="1:32" hidden="1" x14ac:dyDescent="0.35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  <c r="AB670" s="54"/>
      <c r="AC670" s="54"/>
      <c r="AD670" s="54"/>
      <c r="AE670" s="54"/>
      <c r="AF670" s="54"/>
    </row>
    <row r="671" spans="1:32" hidden="1" x14ac:dyDescent="0.35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  <c r="AB671" s="54"/>
      <c r="AC671" s="54"/>
      <c r="AD671" s="54"/>
      <c r="AE671" s="54"/>
      <c r="AF671" s="54"/>
    </row>
    <row r="672" spans="1:32" hidden="1" x14ac:dyDescent="0.35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  <c r="AB672" s="54"/>
      <c r="AC672" s="54"/>
      <c r="AD672" s="54"/>
      <c r="AE672" s="54"/>
      <c r="AF672" s="54"/>
    </row>
    <row r="673" spans="1:32" hidden="1" x14ac:dyDescent="0.35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  <c r="AB673" s="54"/>
      <c r="AC673" s="54"/>
      <c r="AD673" s="54"/>
      <c r="AE673" s="54"/>
      <c r="AF673" s="54"/>
    </row>
    <row r="674" spans="1:32" hidden="1" x14ac:dyDescent="0.35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  <c r="AB674" s="54"/>
      <c r="AC674" s="54"/>
      <c r="AD674" s="54"/>
      <c r="AE674" s="54"/>
      <c r="AF674" s="54"/>
    </row>
    <row r="675" spans="1:32" hidden="1" x14ac:dyDescent="0.35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  <c r="AB675" s="54"/>
      <c r="AC675" s="54"/>
      <c r="AD675" s="54"/>
      <c r="AE675" s="54"/>
      <c r="AF675" s="54"/>
    </row>
    <row r="676" spans="1:32" hidden="1" x14ac:dyDescent="0.35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  <c r="AB676" s="54"/>
      <c r="AC676" s="54"/>
      <c r="AD676" s="54"/>
      <c r="AE676" s="54"/>
      <c r="AF676" s="54"/>
    </row>
    <row r="677" spans="1:32" hidden="1" x14ac:dyDescent="0.35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  <c r="AB677" s="54"/>
      <c r="AC677" s="54"/>
      <c r="AD677" s="54"/>
      <c r="AE677" s="54"/>
      <c r="AF677" s="54"/>
    </row>
    <row r="678" spans="1:32" hidden="1" x14ac:dyDescent="0.35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  <c r="AB678" s="54"/>
      <c r="AC678" s="54"/>
      <c r="AD678" s="54"/>
      <c r="AE678" s="54"/>
      <c r="AF678" s="54"/>
    </row>
    <row r="679" spans="1:32" hidden="1" x14ac:dyDescent="0.35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  <c r="AB679" s="54"/>
      <c r="AC679" s="54"/>
      <c r="AD679" s="54"/>
      <c r="AE679" s="54"/>
      <c r="AF679" s="54"/>
    </row>
    <row r="680" spans="1:32" hidden="1" x14ac:dyDescent="0.35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  <c r="AB680" s="54"/>
      <c r="AC680" s="54"/>
      <c r="AD680" s="54"/>
      <c r="AE680" s="54"/>
      <c r="AF680" s="54"/>
    </row>
    <row r="681" spans="1:32" hidden="1" x14ac:dyDescent="0.35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  <c r="AB681" s="54"/>
      <c r="AC681" s="54"/>
      <c r="AD681" s="54"/>
      <c r="AE681" s="54"/>
      <c r="AF681" s="54"/>
    </row>
    <row r="682" spans="1:32" hidden="1" x14ac:dyDescent="0.35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  <c r="AB682" s="54"/>
      <c r="AC682" s="54"/>
      <c r="AD682" s="54"/>
      <c r="AE682" s="54"/>
      <c r="AF682" s="54"/>
    </row>
    <row r="683" spans="1:32" hidden="1" x14ac:dyDescent="0.35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  <c r="AB683" s="54"/>
      <c r="AC683" s="54"/>
      <c r="AD683" s="54"/>
      <c r="AE683" s="54"/>
      <c r="AF683" s="54"/>
    </row>
    <row r="684" spans="1:32" hidden="1" x14ac:dyDescent="0.35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  <c r="AB684" s="54"/>
      <c r="AC684" s="54"/>
      <c r="AD684" s="54"/>
      <c r="AE684" s="54"/>
      <c r="AF684" s="54"/>
    </row>
    <row r="685" spans="1:32" hidden="1" x14ac:dyDescent="0.35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  <c r="AB685" s="54"/>
      <c r="AC685" s="54"/>
      <c r="AD685" s="54"/>
      <c r="AE685" s="54"/>
      <c r="AF685" s="54"/>
    </row>
    <row r="686" spans="1:32" hidden="1" x14ac:dyDescent="0.35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  <c r="AB686" s="54"/>
      <c r="AC686" s="54"/>
      <c r="AD686" s="54"/>
      <c r="AE686" s="54"/>
      <c r="AF686" s="54"/>
    </row>
    <row r="687" spans="1:32" hidden="1" x14ac:dyDescent="0.35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  <c r="AB687" s="54"/>
      <c r="AC687" s="54"/>
      <c r="AD687" s="54"/>
      <c r="AE687" s="54"/>
      <c r="AF687" s="54"/>
    </row>
    <row r="688" spans="1:32" hidden="1" x14ac:dyDescent="0.35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  <c r="AB688" s="54"/>
      <c r="AC688" s="54"/>
      <c r="AD688" s="54"/>
      <c r="AE688" s="54"/>
      <c r="AF688" s="54"/>
    </row>
    <row r="689" spans="1:32" hidden="1" x14ac:dyDescent="0.35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  <c r="AB689" s="54"/>
      <c r="AC689" s="54"/>
      <c r="AD689" s="54"/>
      <c r="AE689" s="54"/>
      <c r="AF689" s="54"/>
    </row>
    <row r="690" spans="1:32" hidden="1" x14ac:dyDescent="0.35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  <c r="AE690" s="54"/>
      <c r="AF690" s="54"/>
    </row>
    <row r="691" spans="1:32" hidden="1" x14ac:dyDescent="0.35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  <c r="AE691" s="54"/>
      <c r="AF691" s="54"/>
    </row>
    <row r="692" spans="1:32" hidden="1" x14ac:dyDescent="0.35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  <c r="AB692" s="54"/>
      <c r="AC692" s="54"/>
      <c r="AD692" s="54"/>
      <c r="AE692" s="54"/>
      <c r="AF692" s="54"/>
    </row>
    <row r="693" spans="1:32" hidden="1" x14ac:dyDescent="0.35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  <c r="AE693" s="54"/>
      <c r="AF693" s="54"/>
    </row>
    <row r="694" spans="1:32" hidden="1" x14ac:dyDescent="0.35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  <c r="AE694" s="54"/>
      <c r="AF694" s="54"/>
    </row>
    <row r="695" spans="1:32" hidden="1" x14ac:dyDescent="0.35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  <c r="AE695" s="54"/>
      <c r="AF695" s="54"/>
    </row>
    <row r="696" spans="1:32" hidden="1" x14ac:dyDescent="0.35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  <c r="AE696" s="54"/>
      <c r="AF696" s="54"/>
    </row>
    <row r="697" spans="1:32" hidden="1" x14ac:dyDescent="0.35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  <c r="AE697" s="54"/>
      <c r="AF697" s="54"/>
    </row>
    <row r="698" spans="1:32" hidden="1" x14ac:dyDescent="0.35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  <c r="AE698" s="54"/>
      <c r="AF698" s="54"/>
    </row>
    <row r="699" spans="1:32" hidden="1" x14ac:dyDescent="0.35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  <c r="AE699" s="54"/>
      <c r="AF699" s="54"/>
    </row>
    <row r="700" spans="1:32" hidden="1" x14ac:dyDescent="0.35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  <c r="AC700" s="54"/>
      <c r="AD700" s="54"/>
      <c r="AE700" s="54"/>
      <c r="AF700" s="54"/>
    </row>
    <row r="701" spans="1:32" x14ac:dyDescent="0.35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  <c r="AC701" s="54"/>
      <c r="AD701" s="54"/>
      <c r="AE701" s="54"/>
      <c r="AF701" s="54"/>
    </row>
    <row r="702" spans="1:32" x14ac:dyDescent="0.35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  <c r="AC702" s="54"/>
      <c r="AD702" s="54"/>
      <c r="AE702" s="54"/>
      <c r="AF702" s="54"/>
    </row>
    <row r="703" spans="1:32" x14ac:dyDescent="0.35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  <c r="AC703" s="54"/>
      <c r="AD703" s="54"/>
      <c r="AE703" s="54"/>
      <c r="AF703" s="54"/>
    </row>
    <row r="704" spans="1:32" x14ac:dyDescent="0.35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  <c r="AB704" s="54"/>
      <c r="AC704" s="54"/>
      <c r="AD704" s="54"/>
      <c r="AE704" s="54"/>
      <c r="AF704" s="54"/>
    </row>
    <row r="705" spans="1:32" x14ac:dyDescent="0.35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  <c r="AB705" s="54"/>
      <c r="AC705" s="54"/>
      <c r="AD705" s="54"/>
      <c r="AE705" s="54"/>
      <c r="AF705" s="54"/>
    </row>
    <row r="706" spans="1:32" x14ac:dyDescent="0.35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  <c r="AB706" s="54"/>
      <c r="AC706" s="54"/>
      <c r="AD706" s="54"/>
      <c r="AE706" s="54"/>
      <c r="AF706" s="54"/>
    </row>
    <row r="707" spans="1:32" x14ac:dyDescent="0.35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  <c r="AB707" s="54"/>
      <c r="AC707" s="54"/>
      <c r="AD707" s="54"/>
      <c r="AE707" s="54"/>
      <c r="AF707" s="54"/>
    </row>
    <row r="708" spans="1:32" x14ac:dyDescent="0.35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  <c r="AB708" s="54"/>
      <c r="AC708" s="54"/>
      <c r="AD708" s="54"/>
      <c r="AE708" s="54"/>
      <c r="AF708" s="54"/>
    </row>
    <row r="709" spans="1:32" x14ac:dyDescent="0.35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  <c r="AB709" s="54"/>
      <c r="AC709" s="54"/>
      <c r="AD709" s="54"/>
      <c r="AE709" s="54"/>
      <c r="AF709" s="54"/>
    </row>
    <row r="710" spans="1:32" x14ac:dyDescent="0.35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  <c r="AB710" s="54"/>
      <c r="AC710" s="54"/>
      <c r="AD710" s="54"/>
      <c r="AE710" s="54"/>
      <c r="AF710" s="54"/>
    </row>
    <row r="711" spans="1:32" x14ac:dyDescent="0.35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  <c r="AB711" s="54"/>
      <c r="AC711" s="54"/>
      <c r="AD711" s="54"/>
      <c r="AE711" s="54"/>
      <c r="AF711" s="54"/>
    </row>
    <row r="712" spans="1:32" x14ac:dyDescent="0.35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  <c r="AB712" s="54"/>
      <c r="AC712" s="54"/>
      <c r="AD712" s="54"/>
      <c r="AE712" s="54"/>
      <c r="AF712" s="54"/>
    </row>
    <row r="713" spans="1:32" x14ac:dyDescent="0.35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  <c r="AB713" s="54"/>
      <c r="AC713" s="54"/>
      <c r="AD713" s="54"/>
      <c r="AE713" s="54"/>
      <c r="AF713" s="54"/>
    </row>
    <row r="714" spans="1:32" x14ac:dyDescent="0.35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  <c r="AB714" s="54"/>
      <c r="AC714" s="54"/>
      <c r="AD714" s="54"/>
      <c r="AE714" s="54"/>
      <c r="AF714" s="54"/>
    </row>
    <row r="715" spans="1:32" x14ac:dyDescent="0.35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  <c r="AB715" s="54"/>
      <c r="AC715" s="54"/>
      <c r="AD715" s="54"/>
      <c r="AE715" s="54"/>
      <c r="AF715" s="54"/>
    </row>
    <row r="716" spans="1:32" x14ac:dyDescent="0.35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  <c r="AB716" s="54"/>
      <c r="AC716" s="54"/>
      <c r="AD716" s="54"/>
      <c r="AE716" s="54"/>
      <c r="AF716" s="54"/>
    </row>
    <row r="717" spans="1:32" x14ac:dyDescent="0.35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  <c r="AB717" s="54"/>
      <c r="AC717" s="54"/>
      <c r="AD717" s="54"/>
      <c r="AE717" s="54"/>
      <c r="AF717" s="54"/>
    </row>
    <row r="718" spans="1:32" x14ac:dyDescent="0.35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  <c r="AB718" s="54"/>
      <c r="AC718" s="54"/>
      <c r="AD718" s="54"/>
      <c r="AE718" s="54"/>
      <c r="AF718" s="54"/>
    </row>
    <row r="719" spans="1:32" x14ac:dyDescent="0.35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  <c r="AB719" s="54"/>
      <c r="AC719" s="54"/>
      <c r="AD719" s="54"/>
      <c r="AE719" s="54"/>
      <c r="AF719" s="54"/>
    </row>
    <row r="720" spans="1:32" x14ac:dyDescent="0.35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  <c r="AB720" s="54"/>
      <c r="AC720" s="54"/>
      <c r="AD720" s="54"/>
      <c r="AE720" s="54"/>
      <c r="AF720" s="54"/>
    </row>
    <row r="1201" hidden="1" x14ac:dyDescent="0.35"/>
    <row r="1202" hidden="1" x14ac:dyDescent="0.35"/>
    <row r="1203" hidden="1" x14ac:dyDescent="0.35"/>
    <row r="1204" hidden="1" x14ac:dyDescent="0.35"/>
    <row r="1205" hidden="1" x14ac:dyDescent="0.35"/>
    <row r="1206" hidden="1" x14ac:dyDescent="0.35"/>
    <row r="1207" hidden="1" x14ac:dyDescent="0.35"/>
    <row r="1208" hidden="1" x14ac:dyDescent="0.35"/>
    <row r="1209" hidden="1" x14ac:dyDescent="0.35"/>
    <row r="1210" hidden="1" x14ac:dyDescent="0.35"/>
    <row r="1211" hidden="1" x14ac:dyDescent="0.35"/>
    <row r="1212" hidden="1" x14ac:dyDescent="0.35"/>
    <row r="1213" hidden="1" x14ac:dyDescent="0.35"/>
    <row r="1214" hidden="1" x14ac:dyDescent="0.35"/>
    <row r="1215" hidden="1" x14ac:dyDescent="0.35"/>
    <row r="1216" hidden="1" x14ac:dyDescent="0.35"/>
    <row r="1217" hidden="1" x14ac:dyDescent="0.35"/>
    <row r="1218" hidden="1" x14ac:dyDescent="0.35"/>
    <row r="1219" hidden="1" x14ac:dyDescent="0.35"/>
    <row r="1220" hidden="1" x14ac:dyDescent="0.35"/>
    <row r="1221" hidden="1" x14ac:dyDescent="0.35"/>
    <row r="1222" hidden="1" x14ac:dyDescent="0.35"/>
    <row r="1223" hidden="1" x14ac:dyDescent="0.35"/>
    <row r="1224" hidden="1" x14ac:dyDescent="0.35"/>
    <row r="1225" hidden="1" x14ac:dyDescent="0.35"/>
    <row r="1226" hidden="1" x14ac:dyDescent="0.35"/>
    <row r="1227" hidden="1" x14ac:dyDescent="0.35"/>
    <row r="1228" hidden="1" x14ac:dyDescent="0.35"/>
    <row r="1229" hidden="1" x14ac:dyDescent="0.35"/>
    <row r="1230" hidden="1" x14ac:dyDescent="0.35"/>
    <row r="1231" hidden="1" x14ac:dyDescent="0.35"/>
    <row r="1232" hidden="1" x14ac:dyDescent="0.35"/>
    <row r="1233" hidden="1" x14ac:dyDescent="0.35"/>
    <row r="1234" hidden="1" x14ac:dyDescent="0.35"/>
    <row r="1235" hidden="1" x14ac:dyDescent="0.35"/>
    <row r="1236" hidden="1" x14ac:dyDescent="0.35"/>
    <row r="1237" hidden="1" x14ac:dyDescent="0.35"/>
    <row r="1238" hidden="1" x14ac:dyDescent="0.35"/>
    <row r="1239" hidden="1" x14ac:dyDescent="0.35"/>
    <row r="1240" hidden="1" x14ac:dyDescent="0.35"/>
    <row r="1241" hidden="1" x14ac:dyDescent="0.35"/>
    <row r="1242" hidden="1" x14ac:dyDescent="0.35"/>
    <row r="1243" hidden="1" x14ac:dyDescent="0.35"/>
    <row r="1244" hidden="1" x14ac:dyDescent="0.35"/>
    <row r="1245" hidden="1" x14ac:dyDescent="0.35"/>
    <row r="1246" hidden="1" x14ac:dyDescent="0.35"/>
    <row r="1247" hidden="1" x14ac:dyDescent="0.35"/>
    <row r="1248" hidden="1" x14ac:dyDescent="0.35"/>
    <row r="1249" hidden="1" x14ac:dyDescent="0.35"/>
    <row r="1250" hidden="1" x14ac:dyDescent="0.35"/>
    <row r="1251" hidden="1" x14ac:dyDescent="0.35"/>
  </sheetData>
  <mergeCells count="1">
    <mergeCell ref="F33:X41"/>
  </mergeCells>
  <phoneticPr fontId="26" type="noConversion"/>
  <dataValidations count="3">
    <dataValidation type="list" allowBlank="1" showInputMessage="1" showErrorMessage="1" errorTitle="Registrant Name" error="You have entered your Registrant Name incorrectly" sqref="E11" xr:uid="{84A609C1-ADA3-414D-8BB5-E8731AD862EE}">
      <formula1>$A$80:$A$300</formula1>
    </dataValidation>
    <dataValidation type="list" allowBlank="1" showInputMessage="1" showErrorMessage="1" errorTitle="Mitigated Units" error="NYC mitigated units must enter Y._x000a_All other units must enter N." sqref="C17:C24" xr:uid="{A53B99E9-F0C3-4ACB-AFE8-ACE196566D01}">
      <formula1>$B$80:$B$81</formula1>
    </dataValidation>
    <dataValidation type="list" allowBlank="1" showInputMessage="1" showErrorMessage="1" errorTitle="PTID Number" error="Please enter a PTID from the list provided." sqref="D17:D24" xr:uid="{62656880-C559-4326-A3BB-58D019D1EB79}">
      <formula1>$C$80:$C$700</formula1>
    </dataValidation>
  </dataValidations>
  <pageMargins left="0.75" right="0.75" top="1" bottom="1" header="0.5" footer="0.5"/>
  <pageSetup scale="68" orientation="landscape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5123" r:id="rId4" name="CommandButton3">
          <controlPr autoLine="0" r:id="rId5">
            <anchor moveWithCells="1">
              <from>
                <xdr:col>12</xdr:col>
                <xdr:colOff>366713</xdr:colOff>
                <xdr:row>9</xdr:row>
                <xdr:rowOff>109538</xdr:rowOff>
              </from>
              <to>
                <xdr:col>23</xdr:col>
                <xdr:colOff>157163</xdr:colOff>
                <xdr:row>11</xdr:row>
                <xdr:rowOff>71438</xdr:rowOff>
              </to>
            </anchor>
          </controlPr>
        </control>
      </mc:Choice>
      <mc:Fallback>
        <control shapeId="5123" r:id="rId4" name="CommandButton3"/>
      </mc:Fallback>
    </mc:AlternateContent>
    <mc:AlternateContent xmlns:mc="http://schemas.openxmlformats.org/markup-compatibility/2006">
      <mc:Choice Requires="x14">
        <control shapeId="5122" r:id="rId6" name="CommandButton2">
          <controlPr defaultSize="0" autoLine="0" r:id="rId7">
            <anchor moveWithCells="1">
              <from>
                <xdr:col>10</xdr:col>
                <xdr:colOff>481013</xdr:colOff>
                <xdr:row>9</xdr:row>
                <xdr:rowOff>90488</xdr:rowOff>
              </from>
              <to>
                <xdr:col>12</xdr:col>
                <xdr:colOff>166688</xdr:colOff>
                <xdr:row>12</xdr:row>
                <xdr:rowOff>38100</xdr:rowOff>
              </to>
            </anchor>
          </controlPr>
        </control>
      </mc:Choice>
      <mc:Fallback>
        <control shapeId="5122" r:id="rId6" name="CommandButton2"/>
      </mc:Fallback>
    </mc:AlternateContent>
    <mc:AlternateContent xmlns:mc="http://schemas.openxmlformats.org/markup-compatibility/2006">
      <mc:Choice Requires="x14">
        <control shapeId="5121" r:id="rId8" name="CommandButton1">
          <controlPr defaultSize="0" autoLine="0" r:id="rId9">
            <anchor moveWithCells="1">
              <from>
                <xdr:col>8</xdr:col>
                <xdr:colOff>419100</xdr:colOff>
                <xdr:row>9</xdr:row>
                <xdr:rowOff>66675</xdr:rowOff>
              </from>
              <to>
                <xdr:col>10</xdr:col>
                <xdr:colOff>171450</xdr:colOff>
                <xdr:row>12</xdr:row>
                <xdr:rowOff>14288</xdr:rowOff>
              </to>
            </anchor>
          </controlPr>
        </control>
      </mc:Choice>
      <mc:Fallback>
        <control shapeId="5121" r:id="rId8" name="CommandButton1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AD12D-FC23-4224-B225-4284EA8C8098}">
  <sheetPr codeName="Sheet6">
    <pageSetUpPr fitToPage="1"/>
  </sheetPr>
  <dimension ref="A1:AK1251"/>
  <sheetViews>
    <sheetView showGridLines="0" showOutlineSymbols="0" topLeftCell="A3" zoomScale="75" workbookViewId="0">
      <selection activeCell="C73" sqref="C73"/>
    </sheetView>
  </sheetViews>
  <sheetFormatPr defaultRowHeight="12.75" x14ac:dyDescent="0.35"/>
  <cols>
    <col min="1" max="1" width="6.3984375" bestFit="1" customWidth="1"/>
    <col min="2" max="2" width="27.1328125" customWidth="1"/>
    <col min="3" max="3" width="10.86328125" bestFit="1" customWidth="1"/>
    <col min="4" max="4" width="20.86328125" bestFit="1" customWidth="1"/>
    <col min="5" max="5" width="17.1328125" bestFit="1" customWidth="1"/>
    <col min="6" max="6" width="20.1328125" bestFit="1" customWidth="1"/>
    <col min="7" max="7" width="15" bestFit="1" customWidth="1"/>
    <col min="8" max="13" width="7.73046875" customWidth="1"/>
    <col min="14" max="14" width="7.86328125" customWidth="1"/>
    <col min="15" max="18" width="7.73046875" hidden="1" customWidth="1"/>
    <col min="19" max="19" width="6" hidden="1" customWidth="1"/>
    <col min="20" max="20" width="6.265625" hidden="1" customWidth="1"/>
    <col min="21" max="21" width="6.73046875" hidden="1" customWidth="1"/>
    <col min="22" max="23" width="9.1328125" hidden="1" customWidth="1"/>
    <col min="25" max="33" width="0" hidden="1" customWidth="1"/>
  </cols>
  <sheetData>
    <row r="1" spans="1:37" hidden="1" x14ac:dyDescent="0.35"/>
    <row r="2" spans="1:37" hidden="1" x14ac:dyDescent="0.35"/>
    <row r="3" spans="1:37" ht="19.899999999999999" x14ac:dyDescent="0.5">
      <c r="A3" s="140"/>
      <c r="B3" s="141"/>
      <c r="C3" s="141"/>
      <c r="D3" s="142" t="s">
        <v>37</v>
      </c>
      <c r="E3" s="143"/>
      <c r="F3" s="143"/>
      <c r="G3" s="143"/>
      <c r="H3" s="143"/>
      <c r="I3" s="144" t="s">
        <v>9</v>
      </c>
      <c r="J3" s="143"/>
      <c r="K3" s="143"/>
      <c r="L3" s="143"/>
      <c r="M3" s="143"/>
      <c r="N3" s="145"/>
      <c r="O3" s="145"/>
      <c r="P3" s="145"/>
      <c r="Q3" s="145"/>
      <c r="R3" s="145"/>
      <c r="S3" s="146"/>
      <c r="T3" s="146"/>
      <c r="U3" s="146"/>
      <c r="V3" s="146"/>
      <c r="W3" s="146"/>
      <c r="X3" s="147"/>
      <c r="AC3" s="54"/>
      <c r="AD3" s="54"/>
      <c r="AE3" s="54"/>
      <c r="AF3" s="54"/>
      <c r="AG3" s="54"/>
      <c r="AH3" s="54"/>
      <c r="AI3" s="54"/>
      <c r="AJ3" s="54"/>
      <c r="AK3" s="54"/>
    </row>
    <row r="4" spans="1:37" ht="15" x14ac:dyDescent="0.4">
      <c r="A4" s="148"/>
      <c r="B4" s="149"/>
      <c r="C4" s="149"/>
      <c r="D4" s="150" t="s">
        <v>38</v>
      </c>
      <c r="E4" s="26"/>
      <c r="F4" s="26"/>
      <c r="G4" s="26"/>
      <c r="H4" s="151"/>
      <c r="I4" s="104" t="s">
        <v>288</v>
      </c>
      <c r="J4" s="26"/>
      <c r="K4" s="26"/>
      <c r="L4" s="26"/>
      <c r="M4" s="26"/>
      <c r="N4" s="26"/>
      <c r="O4" s="26"/>
      <c r="P4" s="26"/>
      <c r="Q4" s="26"/>
      <c r="R4" s="26"/>
      <c r="S4" s="9"/>
      <c r="T4" s="9"/>
      <c r="U4" s="9"/>
      <c r="V4" s="9"/>
      <c r="W4" s="9"/>
      <c r="X4" s="152"/>
      <c r="AC4" s="54"/>
      <c r="AD4" s="54"/>
      <c r="AE4" s="54"/>
      <c r="AF4" s="54"/>
      <c r="AG4" s="54"/>
      <c r="AH4" s="54"/>
      <c r="AI4" s="54"/>
      <c r="AJ4" s="54"/>
      <c r="AK4" s="54"/>
    </row>
    <row r="5" spans="1:37" ht="13.15" x14ac:dyDescent="0.4">
      <c r="A5" s="153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9"/>
      <c r="T5" s="9"/>
      <c r="U5" s="9"/>
      <c r="V5" s="9"/>
      <c r="W5" s="9"/>
      <c r="X5" s="152"/>
      <c r="AC5" s="54"/>
      <c r="AD5" s="54"/>
      <c r="AE5" s="54"/>
      <c r="AF5" s="54"/>
      <c r="AG5" s="54"/>
      <c r="AH5" s="54"/>
      <c r="AI5" s="54"/>
      <c r="AJ5" s="54"/>
      <c r="AK5" s="54"/>
    </row>
    <row r="6" spans="1:37" ht="15" x14ac:dyDescent="0.4">
      <c r="A6" s="153"/>
      <c r="B6" s="26"/>
      <c r="C6" s="26"/>
      <c r="D6" s="154"/>
      <c r="E6" s="154"/>
      <c r="F6" s="154"/>
      <c r="G6" s="154"/>
      <c r="H6" s="154"/>
      <c r="I6" s="154" t="s">
        <v>7</v>
      </c>
      <c r="J6" s="154"/>
      <c r="K6" s="154"/>
      <c r="L6" s="154"/>
      <c r="M6" s="154"/>
      <c r="N6" s="26"/>
      <c r="O6" s="26"/>
      <c r="P6" s="26"/>
      <c r="Q6" s="26"/>
      <c r="R6" s="26"/>
      <c r="S6" s="9"/>
      <c r="T6" s="9"/>
      <c r="U6" s="9"/>
      <c r="V6" s="9"/>
      <c r="W6" s="9"/>
      <c r="X6" s="152"/>
      <c r="AC6" s="54"/>
      <c r="AD6" s="54"/>
      <c r="AE6" s="54"/>
      <c r="AF6" s="54"/>
      <c r="AG6" s="54"/>
      <c r="AH6" s="54"/>
      <c r="AI6" s="54"/>
      <c r="AJ6" s="54"/>
      <c r="AK6" s="54"/>
    </row>
    <row r="7" spans="1:37" ht="15" x14ac:dyDescent="0.4">
      <c r="A7" s="153"/>
      <c r="B7" s="26"/>
      <c r="C7" s="26"/>
      <c r="D7" s="154"/>
      <c r="E7" s="154"/>
      <c r="F7" s="154"/>
      <c r="G7" s="154"/>
      <c r="H7" s="86" t="s">
        <v>103</v>
      </c>
      <c r="I7" s="154"/>
      <c r="J7" s="154"/>
      <c r="K7" s="154"/>
      <c r="L7" s="154"/>
      <c r="M7" s="154"/>
      <c r="N7" s="26"/>
      <c r="O7" s="26"/>
      <c r="P7" s="26"/>
      <c r="Q7" s="26"/>
      <c r="R7" s="26"/>
      <c r="S7" s="9"/>
      <c r="T7" s="9"/>
      <c r="U7" s="9"/>
      <c r="V7" s="9"/>
      <c r="W7" s="9"/>
      <c r="X7" s="152"/>
      <c r="AC7" s="54"/>
      <c r="AD7" s="54"/>
      <c r="AE7" s="54"/>
      <c r="AF7" s="54"/>
      <c r="AG7" s="54"/>
      <c r="AH7" s="54"/>
      <c r="AI7" s="54"/>
      <c r="AJ7" s="54"/>
      <c r="AK7" s="54"/>
    </row>
    <row r="8" spans="1:37" ht="13.15" x14ac:dyDescent="0.4">
      <c r="A8" s="153"/>
      <c r="B8" s="26"/>
      <c r="C8" s="26"/>
      <c r="D8" s="28" t="s">
        <v>27</v>
      </c>
      <c r="E8" s="21" t="s">
        <v>280</v>
      </c>
      <c r="F8" s="9"/>
      <c r="G8" s="21">
        <v>1</v>
      </c>
      <c r="H8" s="26"/>
      <c r="I8" s="26"/>
      <c r="J8" s="26"/>
      <c r="K8" s="28" t="s">
        <v>25</v>
      </c>
      <c r="L8" s="26"/>
      <c r="M8" s="87">
        <f>+'Dec OPP'!M8</f>
        <v>36526</v>
      </c>
      <c r="N8" s="22"/>
      <c r="O8" s="26"/>
      <c r="P8" s="26"/>
      <c r="Q8" s="26"/>
      <c r="R8" s="26"/>
      <c r="S8" s="9"/>
      <c r="T8" s="9"/>
      <c r="U8" s="9"/>
      <c r="V8" s="9"/>
      <c r="W8" s="9"/>
      <c r="X8" s="152"/>
      <c r="AC8" s="54"/>
      <c r="AD8" s="54"/>
      <c r="AE8" s="54"/>
      <c r="AF8" s="54"/>
      <c r="AG8" s="54"/>
      <c r="AH8" s="54"/>
      <c r="AI8" s="54"/>
      <c r="AJ8" s="54"/>
      <c r="AK8" s="54"/>
    </row>
    <row r="9" spans="1:37" ht="13.15" x14ac:dyDescent="0.4">
      <c r="A9" s="153"/>
      <c r="B9" s="26"/>
      <c r="C9" s="26"/>
      <c r="D9" s="75"/>
      <c r="E9" s="28"/>
      <c r="F9" s="26"/>
      <c r="G9" s="24" t="s">
        <v>104</v>
      </c>
      <c r="H9" s="26"/>
      <c r="I9" s="26"/>
      <c r="J9" s="26"/>
      <c r="K9" s="28" t="s">
        <v>26</v>
      </c>
      <c r="L9" s="26"/>
      <c r="M9" s="90">
        <f>+'Dec OPP'!M9</f>
        <v>0.625</v>
      </c>
      <c r="N9" s="25"/>
      <c r="O9" s="26"/>
      <c r="P9" s="26"/>
      <c r="Q9" s="26"/>
      <c r="R9" s="26"/>
      <c r="S9" s="9"/>
      <c r="T9" s="9"/>
      <c r="U9" s="9"/>
      <c r="V9" s="9"/>
      <c r="W9" s="9"/>
      <c r="X9" s="152"/>
      <c r="AC9" s="54"/>
      <c r="AD9" s="54"/>
      <c r="AE9" s="54"/>
      <c r="AF9" s="54"/>
      <c r="AG9" s="54"/>
      <c r="AH9" s="54"/>
      <c r="AI9" s="54"/>
      <c r="AJ9" s="54"/>
      <c r="AK9" s="54"/>
    </row>
    <row r="10" spans="1:37" ht="13.15" x14ac:dyDescent="0.4">
      <c r="A10" s="153"/>
      <c r="B10" s="26"/>
      <c r="C10" s="26"/>
      <c r="D10" s="75"/>
      <c r="E10" s="28"/>
      <c r="F10" s="26"/>
      <c r="G10" s="26"/>
      <c r="H10" s="26"/>
      <c r="I10" s="26"/>
      <c r="J10" s="28"/>
      <c r="K10" s="26"/>
      <c r="L10" s="26"/>
      <c r="M10" s="26"/>
      <c r="N10" s="26"/>
      <c r="O10" s="26"/>
      <c r="P10" s="26"/>
      <c r="Q10" s="26"/>
      <c r="R10" s="26"/>
      <c r="S10" s="9"/>
      <c r="T10" s="155"/>
      <c r="U10" s="155"/>
      <c r="V10" s="155"/>
      <c r="W10" s="9"/>
      <c r="X10" s="152"/>
      <c r="AC10" s="54"/>
      <c r="AD10" s="54"/>
      <c r="AE10" s="54"/>
      <c r="AF10" s="54"/>
      <c r="AG10" s="54"/>
      <c r="AH10" s="54"/>
      <c r="AI10" s="54"/>
      <c r="AJ10" s="54"/>
      <c r="AK10" s="54"/>
    </row>
    <row r="11" spans="1:37" ht="13.15" x14ac:dyDescent="0.4">
      <c r="A11" s="153"/>
      <c r="B11" s="26"/>
      <c r="C11" s="26"/>
      <c r="D11" s="28" t="s">
        <v>20</v>
      </c>
      <c r="E11" s="27"/>
      <c r="F11" s="9"/>
      <c r="G11" s="28"/>
      <c r="H11" s="26"/>
      <c r="I11" s="26"/>
      <c r="J11" s="26"/>
      <c r="K11" s="28"/>
      <c r="L11" s="26"/>
      <c r="M11" s="28"/>
      <c r="N11" s="156"/>
      <c r="O11" s="156"/>
      <c r="P11" s="156"/>
      <c r="Q11" s="156"/>
      <c r="R11" s="156"/>
      <c r="S11" s="155"/>
      <c r="T11" s="9"/>
      <c r="U11" s="9"/>
      <c r="V11" s="9"/>
      <c r="W11" s="9"/>
      <c r="X11" s="152"/>
      <c r="AC11" s="54"/>
      <c r="AD11" s="54"/>
      <c r="AE11" s="54"/>
      <c r="AF11" s="54"/>
      <c r="AG11" s="54"/>
      <c r="AH11" s="54"/>
      <c r="AI11" s="54"/>
      <c r="AJ11" s="54"/>
      <c r="AK11" s="54"/>
    </row>
    <row r="12" spans="1:37" ht="13.15" x14ac:dyDescent="0.4">
      <c r="A12" s="153"/>
      <c r="B12" s="26"/>
      <c r="C12" s="26"/>
      <c r="D12" s="26"/>
      <c r="E12" s="26"/>
      <c r="F12" s="26"/>
      <c r="G12" s="26"/>
      <c r="H12" s="26"/>
      <c r="I12" s="26"/>
      <c r="J12" s="28"/>
      <c r="K12" s="86"/>
      <c r="L12" s="26"/>
      <c r="M12" s="28"/>
      <c r="N12" s="26"/>
      <c r="O12" s="26"/>
      <c r="P12" s="26"/>
      <c r="Q12" s="26"/>
      <c r="R12" s="26"/>
      <c r="S12" s="9"/>
      <c r="T12" s="155"/>
      <c r="U12" s="9"/>
      <c r="V12" s="9"/>
      <c r="W12" s="9"/>
      <c r="X12" s="152"/>
      <c r="AC12" s="54"/>
      <c r="AD12" s="54"/>
      <c r="AE12" s="54"/>
      <c r="AF12" s="54"/>
      <c r="AG12" s="54"/>
      <c r="AH12" s="54"/>
      <c r="AI12" s="54"/>
      <c r="AJ12" s="54"/>
      <c r="AK12" s="54"/>
    </row>
    <row r="13" spans="1:37" ht="13.5" thickBot="1" x14ac:dyDescent="0.45">
      <c r="A13" s="153"/>
      <c r="B13" s="26"/>
      <c r="C13" s="26"/>
      <c r="D13" s="26"/>
      <c r="E13" s="104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9"/>
      <c r="T13" s="9"/>
      <c r="U13" s="9"/>
      <c r="V13" s="9"/>
      <c r="W13" s="9"/>
      <c r="X13" s="152"/>
      <c r="AC13" s="54"/>
      <c r="AD13" s="54"/>
      <c r="AE13" s="54"/>
      <c r="AF13" s="54"/>
      <c r="AG13" s="54"/>
      <c r="AH13" s="54"/>
      <c r="AI13" s="54"/>
      <c r="AJ13" s="54"/>
      <c r="AK13" s="54"/>
    </row>
    <row r="14" spans="1:37" ht="13.15" x14ac:dyDescent="0.4">
      <c r="A14" s="39"/>
      <c r="B14" s="41" t="s">
        <v>43</v>
      </c>
      <c r="C14" s="41"/>
      <c r="D14" s="40"/>
      <c r="E14" s="41"/>
      <c r="F14" s="41" t="s">
        <v>33</v>
      </c>
      <c r="G14" s="42" t="s">
        <v>31</v>
      </c>
      <c r="H14" s="52" t="s">
        <v>46</v>
      </c>
      <c r="I14" s="43"/>
      <c r="J14" s="44"/>
      <c r="K14" s="43"/>
      <c r="L14" s="43"/>
      <c r="M14" s="43"/>
      <c r="N14" s="45"/>
      <c r="O14" s="26"/>
      <c r="P14" s="26"/>
      <c r="Q14" s="26"/>
      <c r="R14" s="26"/>
      <c r="S14" s="9"/>
      <c r="T14" s="9"/>
      <c r="U14" s="9"/>
      <c r="V14" s="9"/>
      <c r="W14" s="9"/>
      <c r="X14" s="152"/>
      <c r="AC14" s="54"/>
      <c r="AD14" s="54"/>
      <c r="AE14" s="54"/>
      <c r="AF14" s="54"/>
      <c r="AG14" s="54"/>
      <c r="AH14" s="54"/>
      <c r="AI14" s="54"/>
      <c r="AJ14" s="54"/>
      <c r="AK14" s="54"/>
    </row>
    <row r="15" spans="1:37" ht="13.15" x14ac:dyDescent="0.4">
      <c r="A15" s="46" t="s">
        <v>39</v>
      </c>
      <c r="B15" s="30" t="s">
        <v>44</v>
      </c>
      <c r="C15" s="30" t="s">
        <v>2</v>
      </c>
      <c r="D15" s="30" t="s">
        <v>41</v>
      </c>
      <c r="E15" s="30" t="s">
        <v>40</v>
      </c>
      <c r="F15" s="36" t="s">
        <v>53</v>
      </c>
      <c r="G15" s="37" t="s">
        <v>35</v>
      </c>
      <c r="H15" s="29" t="s">
        <v>2</v>
      </c>
      <c r="I15" s="29" t="s">
        <v>3</v>
      </c>
      <c r="J15" s="29" t="s">
        <v>28</v>
      </c>
      <c r="K15" s="29" t="s">
        <v>4</v>
      </c>
      <c r="L15" s="29" t="s">
        <v>29</v>
      </c>
      <c r="M15" s="29" t="s">
        <v>5</v>
      </c>
      <c r="N15" s="47" t="s">
        <v>30</v>
      </c>
      <c r="O15" s="104"/>
      <c r="P15" s="104"/>
      <c r="Q15" s="104"/>
      <c r="R15" s="104"/>
      <c r="S15" s="9"/>
      <c r="T15" s="9"/>
      <c r="U15" s="9"/>
      <c r="V15" s="9"/>
      <c r="W15" s="9"/>
      <c r="X15" s="152"/>
      <c r="AC15" s="54"/>
      <c r="AD15" s="54"/>
      <c r="AE15" s="54"/>
      <c r="AF15" s="54"/>
      <c r="AG15" s="54"/>
      <c r="AH15" s="54"/>
      <c r="AI15" s="54"/>
      <c r="AJ15" s="54"/>
      <c r="AK15" s="54"/>
    </row>
    <row r="16" spans="1:37" ht="13.5" thickBot="1" x14ac:dyDescent="0.45">
      <c r="A16" s="48"/>
      <c r="B16" s="31"/>
      <c r="C16" s="32" t="s">
        <v>105</v>
      </c>
      <c r="D16" s="31"/>
      <c r="E16" s="31"/>
      <c r="F16" s="38" t="s">
        <v>48</v>
      </c>
      <c r="G16" s="51" t="s">
        <v>36</v>
      </c>
      <c r="H16" s="31"/>
      <c r="I16" s="31"/>
      <c r="J16" s="31"/>
      <c r="K16" s="31"/>
      <c r="L16" s="32"/>
      <c r="M16" s="32"/>
      <c r="N16" s="49"/>
      <c r="O16" s="104"/>
      <c r="P16" s="104"/>
      <c r="Q16" s="104"/>
      <c r="R16" s="104"/>
      <c r="S16" s="9"/>
      <c r="T16" s="9"/>
      <c r="U16" s="9"/>
      <c r="V16" s="9"/>
      <c r="W16" s="9"/>
      <c r="X16" s="152"/>
      <c r="AC16" s="54"/>
      <c r="AD16" s="54"/>
      <c r="AE16" s="54"/>
      <c r="AF16" s="54"/>
      <c r="AG16" s="54"/>
      <c r="AH16" s="54"/>
      <c r="AI16" s="54"/>
      <c r="AJ16" s="54"/>
      <c r="AK16" s="54"/>
    </row>
    <row r="17" spans="1:37" s="34" customFormat="1" ht="13.15" x14ac:dyDescent="0.4">
      <c r="A17" s="158">
        <v>1</v>
      </c>
      <c r="B17" s="85" t="str">
        <f t="shared" ref="B17:B24" si="0">IF(D17=0," ",+$E$11)</f>
        <v xml:space="preserve"> </v>
      </c>
      <c r="C17" s="35" t="s">
        <v>106</v>
      </c>
      <c r="D17" s="80"/>
      <c r="E17" s="85" t="str">
        <f>IF(ISERROR(VLOOKUP(D17,$C$80:$D$700,2)),"",VLOOKUP(D17,$C$80:$D$700,2))</f>
        <v/>
      </c>
      <c r="F17" s="81"/>
      <c r="G17" s="81"/>
      <c r="H17" s="58">
        <v>0</v>
      </c>
      <c r="I17" s="58">
        <v>0</v>
      </c>
      <c r="J17" s="58">
        <v>0</v>
      </c>
      <c r="K17" s="58">
        <v>0</v>
      </c>
      <c r="L17" s="58">
        <v>0</v>
      </c>
      <c r="M17" s="58">
        <v>0</v>
      </c>
      <c r="N17" s="58">
        <v>0</v>
      </c>
      <c r="O17" s="53" t="str">
        <f>+$E$8</f>
        <v>January</v>
      </c>
      <c r="P17" s="53">
        <f>+$G$8</f>
        <v>1</v>
      </c>
      <c r="Q17" s="105">
        <f>+$M$8</f>
        <v>36526</v>
      </c>
      <c r="R17" s="107">
        <f>+$M$9</f>
        <v>0.625</v>
      </c>
      <c r="S17" s="175">
        <f t="shared" ref="S17:S24" si="1">IF(AND(OR(H17=0,H17=1),OR(I17=0,I17=1),OR(J17=0,J17=1),OR(K17=0,K17=1),OR(L17=0,L17=1),OR(N17=0,N17=1),OR(M17=0,M17=1)),0,1)</f>
        <v>0</v>
      </c>
      <c r="T17" s="175">
        <f t="shared" ref="T17:T24" si="2">IF(L17+N17&gt;0,1,0)</f>
        <v>0</v>
      </c>
      <c r="U17" s="54">
        <f t="shared" ref="U17:U24" si="3">IF(SUM(H17:N17)&gt;1,1,0)</f>
        <v>0</v>
      </c>
      <c r="V17" s="54">
        <f t="shared" ref="V17:V24" si="4">IF(AND(G17&gt;0,SUM(H17:N17)=0),1,0)</f>
        <v>0</v>
      </c>
      <c r="W17" s="175">
        <f t="shared" ref="W17:W24" si="5">IF(H17&gt;0,1,0)</f>
        <v>0</v>
      </c>
      <c r="X17" s="176"/>
      <c r="AC17" s="54"/>
      <c r="AD17" s="54"/>
      <c r="AE17" s="54"/>
      <c r="AF17" s="54"/>
      <c r="AG17" s="54"/>
      <c r="AH17" s="54"/>
      <c r="AI17" s="54"/>
      <c r="AJ17" s="54"/>
      <c r="AK17" s="54"/>
    </row>
    <row r="18" spans="1:37" s="34" customFormat="1" ht="13.15" x14ac:dyDescent="0.4">
      <c r="A18" s="158">
        <f>COUNT($A$17:A17)+1</f>
        <v>2</v>
      </c>
      <c r="B18" s="85" t="str">
        <f t="shared" si="0"/>
        <v xml:space="preserve"> </v>
      </c>
      <c r="C18" s="35" t="s">
        <v>106</v>
      </c>
      <c r="D18" s="80"/>
      <c r="E18" s="85" t="str">
        <f t="shared" ref="E18:E24" si="6">IF(ISERROR(VLOOKUP(D18,$C$80:$D$700,2)),"",VLOOKUP(D18,$C$80:$D$700,2))</f>
        <v/>
      </c>
      <c r="F18" s="81"/>
      <c r="G18" s="81"/>
      <c r="H18" s="58">
        <v>0</v>
      </c>
      <c r="I18" s="58">
        <v>0</v>
      </c>
      <c r="J18" s="58">
        <v>0</v>
      </c>
      <c r="K18" s="58">
        <v>0</v>
      </c>
      <c r="L18" s="58">
        <v>0</v>
      </c>
      <c r="M18" s="58">
        <v>0</v>
      </c>
      <c r="N18" s="58">
        <v>0</v>
      </c>
      <c r="O18" s="53" t="str">
        <f t="shared" ref="O18:O24" si="7">+$E$8</f>
        <v>January</v>
      </c>
      <c r="P18" s="53">
        <f t="shared" ref="P18:P24" si="8">+$G$8</f>
        <v>1</v>
      </c>
      <c r="Q18" s="105">
        <f t="shared" ref="Q18:Q24" si="9">+$M$8</f>
        <v>36526</v>
      </c>
      <c r="R18" s="107">
        <f t="shared" ref="R18:R24" si="10">+$M$9</f>
        <v>0.625</v>
      </c>
      <c r="S18" s="175">
        <f t="shared" si="1"/>
        <v>0</v>
      </c>
      <c r="T18" s="175">
        <f t="shared" si="2"/>
        <v>0</v>
      </c>
      <c r="U18" s="54">
        <f t="shared" si="3"/>
        <v>0</v>
      </c>
      <c r="V18" s="54">
        <f t="shared" si="4"/>
        <v>0</v>
      </c>
      <c r="W18" s="175">
        <f t="shared" si="5"/>
        <v>0</v>
      </c>
      <c r="X18" s="176"/>
      <c r="AC18" s="54"/>
      <c r="AD18" s="54"/>
      <c r="AE18" s="54"/>
      <c r="AF18" s="54"/>
      <c r="AG18" s="54"/>
      <c r="AH18" s="54"/>
      <c r="AI18" s="54"/>
      <c r="AJ18" s="54"/>
      <c r="AK18" s="54"/>
    </row>
    <row r="19" spans="1:37" s="34" customFormat="1" ht="13.15" x14ac:dyDescent="0.4">
      <c r="A19" s="158">
        <f>COUNT($A$17:A18)+1</f>
        <v>3</v>
      </c>
      <c r="B19" s="85" t="str">
        <f t="shared" si="0"/>
        <v xml:space="preserve"> </v>
      </c>
      <c r="C19" s="35" t="s">
        <v>106</v>
      </c>
      <c r="D19" s="80"/>
      <c r="E19" s="85" t="str">
        <f t="shared" si="6"/>
        <v/>
      </c>
      <c r="F19" s="81"/>
      <c r="G19" s="81"/>
      <c r="H19" s="58">
        <v>0</v>
      </c>
      <c r="I19" s="58">
        <v>0</v>
      </c>
      <c r="J19" s="58">
        <v>0</v>
      </c>
      <c r="K19" s="58">
        <v>0</v>
      </c>
      <c r="L19" s="58">
        <v>0</v>
      </c>
      <c r="M19" s="58">
        <v>0</v>
      </c>
      <c r="N19" s="58">
        <v>0</v>
      </c>
      <c r="O19" s="53" t="str">
        <f t="shared" si="7"/>
        <v>January</v>
      </c>
      <c r="P19" s="53">
        <f t="shared" si="8"/>
        <v>1</v>
      </c>
      <c r="Q19" s="105">
        <f t="shared" si="9"/>
        <v>36526</v>
      </c>
      <c r="R19" s="107">
        <f t="shared" si="10"/>
        <v>0.625</v>
      </c>
      <c r="S19" s="175">
        <f>IF(AND(OR(H19=0,H19=1),OR(I19=0,I19=1),OR(J19=0,J19=1),OR(K19=0,K19=1),OR(L19=0,L19=1),OR(N19=0,N19=1),OR(M19=0,M19=1)),0,1)</f>
        <v>0</v>
      </c>
      <c r="T19" s="175">
        <f>IF(L19+N19&gt;0,1,0)</f>
        <v>0</v>
      </c>
      <c r="U19" s="54">
        <f>IF(SUM(H19:N19)&gt;1,1,0)</f>
        <v>0</v>
      </c>
      <c r="V19" s="54">
        <f>IF(AND(G19&gt;0,SUM(H19:N19)=0),1,0)</f>
        <v>0</v>
      </c>
      <c r="W19" s="175">
        <f>IF(H19&gt;0,1,0)</f>
        <v>0</v>
      </c>
      <c r="X19" s="176"/>
      <c r="AC19" s="54"/>
      <c r="AD19" s="54"/>
      <c r="AE19" s="54"/>
      <c r="AF19" s="54"/>
      <c r="AG19" s="54"/>
      <c r="AH19" s="54"/>
      <c r="AI19" s="54"/>
      <c r="AJ19" s="54"/>
      <c r="AK19" s="54"/>
    </row>
    <row r="20" spans="1:37" s="34" customFormat="1" ht="22.9" ph="1" x14ac:dyDescent="0.4">
      <c r="A20" s="158">
        <f>COUNT($A$17:A19)+1</f>
        <v>4</v>
      </c>
      <c r="B20" s="85" t="str">
        <f t="shared" si="0"/>
        <v xml:space="preserve"> </v>
      </c>
      <c r="C20" s="35" t="s">
        <v>106</v>
      </c>
      <c r="D20" s="80"/>
      <c r="E20" s="85" t="str">
        <f t="shared" si="6"/>
        <v/>
      </c>
      <c r="F20" s="81"/>
      <c r="G20" s="81"/>
      <c r="H20" s="58">
        <v>0</v>
      </c>
      <c r="I20" s="58">
        <v>0</v>
      </c>
      <c r="J20" s="58">
        <v>0</v>
      </c>
      <c r="K20" s="58">
        <v>0</v>
      </c>
      <c r="L20" s="58">
        <v>0</v>
      </c>
      <c r="M20" s="58">
        <v>0</v>
      </c>
      <c r="N20" s="58">
        <v>0</v>
      </c>
      <c r="O20" s="53" t="str">
        <f t="shared" si="7"/>
        <v>January</v>
      </c>
      <c r="P20" s="53">
        <f t="shared" si="8"/>
        <v>1</v>
      </c>
      <c r="Q20" s="105">
        <f t="shared" si="9"/>
        <v>36526</v>
      </c>
      <c r="R20" s="107">
        <f t="shared" si="10"/>
        <v>0.625</v>
      </c>
      <c r="S20" s="175">
        <f t="shared" si="1"/>
        <v>0</v>
      </c>
      <c r="T20" s="175">
        <f t="shared" si="2"/>
        <v>0</v>
      </c>
      <c r="U20" s="54">
        <f t="shared" si="3"/>
        <v>0</v>
      </c>
      <c r="V20" s="54">
        <f t="shared" si="4"/>
        <v>0</v>
      </c>
      <c r="W20" s="175">
        <f t="shared" si="5"/>
        <v>0</v>
      </c>
      <c r="X20" s="176"/>
      <c r="Y20" s="34"/>
      <c r="Z20" s="34"/>
      <c r="AA20" s="34"/>
      <c r="AB20" s="34"/>
      <c r="AC20" s="54"/>
      <c r="AD20" s="54"/>
      <c r="AE20" s="54"/>
      <c r="AF20" s="54"/>
      <c r="AG20" s="54"/>
      <c r="AH20" s="54"/>
      <c r="AI20" s="54"/>
      <c r="AJ20" s="54"/>
      <c r="AK20" s="54"/>
    </row>
    <row r="21" spans="1:37" s="34" customFormat="1" ht="13.15" x14ac:dyDescent="0.4">
      <c r="A21" s="158">
        <f>COUNT($A$17:A20)+1</f>
        <v>5</v>
      </c>
      <c r="B21" s="85" t="str">
        <f t="shared" si="0"/>
        <v xml:space="preserve"> </v>
      </c>
      <c r="C21" s="35" t="s">
        <v>106</v>
      </c>
      <c r="D21" s="80"/>
      <c r="E21" s="85" t="str">
        <f t="shared" si="6"/>
        <v/>
      </c>
      <c r="F21" s="81"/>
      <c r="G21" s="81"/>
      <c r="H21" s="58">
        <v>0</v>
      </c>
      <c r="I21" s="58">
        <v>0</v>
      </c>
      <c r="J21" s="58">
        <v>0</v>
      </c>
      <c r="K21" s="58">
        <v>0</v>
      </c>
      <c r="L21" s="58">
        <v>0</v>
      </c>
      <c r="M21" s="58">
        <v>0</v>
      </c>
      <c r="N21" s="58">
        <v>0</v>
      </c>
      <c r="O21" s="53" t="str">
        <f t="shared" si="7"/>
        <v>January</v>
      </c>
      <c r="P21" s="53">
        <f t="shared" si="8"/>
        <v>1</v>
      </c>
      <c r="Q21" s="105">
        <f t="shared" si="9"/>
        <v>36526</v>
      </c>
      <c r="R21" s="107">
        <f t="shared" si="10"/>
        <v>0.625</v>
      </c>
      <c r="S21" s="175">
        <f t="shared" si="1"/>
        <v>0</v>
      </c>
      <c r="T21" s="175">
        <f t="shared" si="2"/>
        <v>0</v>
      </c>
      <c r="U21" s="54">
        <f t="shared" si="3"/>
        <v>0</v>
      </c>
      <c r="V21" s="54">
        <f t="shared" si="4"/>
        <v>0</v>
      </c>
      <c r="W21" s="175">
        <f t="shared" si="5"/>
        <v>0</v>
      </c>
      <c r="X21" s="176"/>
      <c r="AC21" s="54"/>
      <c r="AD21" s="54"/>
      <c r="AE21" s="54"/>
      <c r="AF21" s="54"/>
      <c r="AG21" s="54"/>
      <c r="AH21" s="54"/>
      <c r="AI21" s="54"/>
      <c r="AJ21" s="54"/>
      <c r="AK21" s="54"/>
    </row>
    <row r="22" spans="1:37" s="34" customFormat="1" ht="13.15" x14ac:dyDescent="0.4">
      <c r="A22" s="158">
        <f>COUNT($A$17:A21)+1</f>
        <v>6</v>
      </c>
      <c r="B22" s="85" t="str">
        <f t="shared" si="0"/>
        <v xml:space="preserve"> </v>
      </c>
      <c r="C22" s="35" t="s">
        <v>106</v>
      </c>
      <c r="D22" s="80"/>
      <c r="E22" s="85" t="str">
        <f t="shared" si="6"/>
        <v/>
      </c>
      <c r="F22" s="81"/>
      <c r="G22" s="81"/>
      <c r="H22" s="58">
        <v>0</v>
      </c>
      <c r="I22" s="58">
        <v>0</v>
      </c>
      <c r="J22" s="58">
        <v>0</v>
      </c>
      <c r="K22" s="58">
        <v>0</v>
      </c>
      <c r="L22" s="58">
        <v>0</v>
      </c>
      <c r="M22" s="58">
        <v>0</v>
      </c>
      <c r="N22" s="58">
        <v>0</v>
      </c>
      <c r="O22" s="53" t="str">
        <f t="shared" si="7"/>
        <v>January</v>
      </c>
      <c r="P22" s="53">
        <f t="shared" si="8"/>
        <v>1</v>
      </c>
      <c r="Q22" s="105">
        <f t="shared" si="9"/>
        <v>36526</v>
      </c>
      <c r="R22" s="107">
        <f t="shared" si="10"/>
        <v>0.625</v>
      </c>
      <c r="S22" s="175">
        <f t="shared" si="1"/>
        <v>0</v>
      </c>
      <c r="T22" s="175">
        <f t="shared" si="2"/>
        <v>0</v>
      </c>
      <c r="U22" s="54">
        <f t="shared" si="3"/>
        <v>0</v>
      </c>
      <c r="V22" s="54">
        <f t="shared" si="4"/>
        <v>0</v>
      </c>
      <c r="W22" s="175">
        <f t="shared" si="5"/>
        <v>0</v>
      </c>
      <c r="X22" s="176"/>
      <c r="AC22" s="54"/>
      <c r="AD22" s="54"/>
      <c r="AE22" s="54"/>
      <c r="AF22" s="54"/>
      <c r="AG22" s="54"/>
      <c r="AH22" s="54"/>
      <c r="AI22" s="54"/>
      <c r="AJ22" s="54"/>
      <c r="AK22" s="54"/>
    </row>
    <row r="23" spans="1:37" s="34" customFormat="1" ht="13.15" x14ac:dyDescent="0.4">
      <c r="A23" s="158">
        <f>COUNT($A$17:A22)+1</f>
        <v>7</v>
      </c>
      <c r="B23" s="85" t="str">
        <f t="shared" si="0"/>
        <v xml:space="preserve"> </v>
      </c>
      <c r="C23" s="35" t="s">
        <v>106</v>
      </c>
      <c r="D23" s="80"/>
      <c r="E23" s="85" t="str">
        <f t="shared" si="6"/>
        <v/>
      </c>
      <c r="F23" s="81"/>
      <c r="G23" s="81"/>
      <c r="H23" s="58">
        <v>0</v>
      </c>
      <c r="I23" s="58">
        <v>0</v>
      </c>
      <c r="J23" s="58">
        <v>0</v>
      </c>
      <c r="K23" s="58">
        <v>0</v>
      </c>
      <c r="L23" s="58">
        <v>0</v>
      </c>
      <c r="M23" s="58">
        <v>0</v>
      </c>
      <c r="N23" s="58">
        <v>0</v>
      </c>
      <c r="O23" s="53" t="str">
        <f t="shared" si="7"/>
        <v>January</v>
      </c>
      <c r="P23" s="53">
        <f t="shared" si="8"/>
        <v>1</v>
      </c>
      <c r="Q23" s="105">
        <f t="shared" si="9"/>
        <v>36526</v>
      </c>
      <c r="R23" s="107">
        <f t="shared" si="10"/>
        <v>0.625</v>
      </c>
      <c r="S23" s="175">
        <f t="shared" si="1"/>
        <v>0</v>
      </c>
      <c r="T23" s="175">
        <f t="shared" si="2"/>
        <v>0</v>
      </c>
      <c r="U23" s="54">
        <f t="shared" si="3"/>
        <v>0</v>
      </c>
      <c r="V23" s="54">
        <f t="shared" si="4"/>
        <v>0</v>
      </c>
      <c r="W23" s="175">
        <f t="shared" si="5"/>
        <v>0</v>
      </c>
      <c r="X23" s="176"/>
      <c r="AC23" s="54"/>
      <c r="AD23" s="54"/>
      <c r="AE23" s="54"/>
      <c r="AF23" s="54"/>
      <c r="AG23" s="54"/>
      <c r="AH23" s="54"/>
      <c r="AI23" s="54"/>
      <c r="AJ23" s="54"/>
      <c r="AK23" s="54"/>
    </row>
    <row r="24" spans="1:37" s="34" customFormat="1" ht="13.15" x14ac:dyDescent="0.4">
      <c r="A24" s="158">
        <f>COUNT($A$17:A23)+1</f>
        <v>8</v>
      </c>
      <c r="B24" s="85" t="str">
        <f t="shared" si="0"/>
        <v xml:space="preserve"> </v>
      </c>
      <c r="C24" s="103" t="s">
        <v>106</v>
      </c>
      <c r="D24" s="82"/>
      <c r="E24" s="85" t="str">
        <f t="shared" si="6"/>
        <v/>
      </c>
      <c r="F24" s="83"/>
      <c r="G24" s="83"/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53" t="str">
        <f t="shared" si="7"/>
        <v>January</v>
      </c>
      <c r="P24" s="53">
        <f t="shared" si="8"/>
        <v>1</v>
      </c>
      <c r="Q24" s="105">
        <f t="shared" si="9"/>
        <v>36526</v>
      </c>
      <c r="R24" s="107">
        <f t="shared" si="10"/>
        <v>0.625</v>
      </c>
      <c r="S24" s="159">
        <f t="shared" si="1"/>
        <v>0</v>
      </c>
      <c r="T24" s="159">
        <f t="shared" si="2"/>
        <v>0</v>
      </c>
      <c r="U24" s="60">
        <f t="shared" si="3"/>
        <v>0</v>
      </c>
      <c r="V24" s="60">
        <f t="shared" si="4"/>
        <v>0</v>
      </c>
      <c r="W24" s="159">
        <f t="shared" si="5"/>
        <v>0</v>
      </c>
      <c r="X24" s="176"/>
      <c r="AC24" s="54"/>
      <c r="AD24" s="54"/>
      <c r="AE24" s="54"/>
      <c r="AF24" s="54"/>
      <c r="AG24" s="54"/>
      <c r="AH24" s="54"/>
      <c r="AI24" s="54"/>
      <c r="AJ24" s="54"/>
      <c r="AK24" s="54"/>
    </row>
    <row r="25" spans="1:37" ht="15.4" x14ac:dyDescent="0.4">
      <c r="A25" s="153"/>
      <c r="B25" s="26"/>
      <c r="C25" s="26"/>
      <c r="D25" s="26"/>
      <c r="E25" s="26"/>
      <c r="F25" s="26"/>
      <c r="G25" s="26"/>
      <c r="H25" s="161"/>
      <c r="I25" s="162" t="str">
        <f>IF(T25+S25+U25+V25&gt;0,"WARNING:","")</f>
        <v/>
      </c>
      <c r="J25" s="163" t="str">
        <f>IF(S25&gt;0,"Values above must be 1's or 0's",IF(T25&gt;0,"NE and Ontario are not participating. These must be 0's",IF(U25&gt;0,"Choose one location only",IF(V25&gt;0,"You must select a location",""))))</f>
        <v/>
      </c>
      <c r="K25" s="164"/>
      <c r="L25" s="164"/>
      <c r="M25" s="164"/>
      <c r="N25" s="165"/>
      <c r="O25" s="165"/>
      <c r="P25" s="165"/>
      <c r="Q25" s="165"/>
      <c r="R25" s="165"/>
      <c r="S25" s="9">
        <f>SUM(S17:S24)</f>
        <v>0</v>
      </c>
      <c r="T25" s="9">
        <f>SUM(T17:T24)</f>
        <v>0</v>
      </c>
      <c r="U25" s="9">
        <f>SUM(U17:U24)</f>
        <v>0</v>
      </c>
      <c r="V25" s="9">
        <f>SUM(V17:V24)</f>
        <v>0</v>
      </c>
      <c r="W25" s="9">
        <f>SUM(W17:W24)</f>
        <v>0</v>
      </c>
      <c r="X25" s="152"/>
      <c r="AC25" s="54"/>
      <c r="AD25" s="54"/>
      <c r="AE25" s="54"/>
      <c r="AF25" s="54"/>
      <c r="AG25" s="54"/>
      <c r="AH25" s="54"/>
      <c r="AI25" s="54"/>
      <c r="AJ25" s="54"/>
      <c r="AK25" s="54"/>
    </row>
    <row r="26" spans="1:37" ht="13.15" x14ac:dyDescent="0.4">
      <c r="A26" s="166" t="s">
        <v>32</v>
      </c>
      <c r="B26" s="26"/>
      <c r="C26" s="26"/>
      <c r="D26" s="26"/>
      <c r="E26" s="26"/>
      <c r="F26" s="26"/>
      <c r="G26" s="9"/>
      <c r="H26" s="9"/>
      <c r="I26" s="26"/>
      <c r="J26" s="167"/>
      <c r="K26" s="167"/>
      <c r="L26" s="167"/>
      <c r="M26" s="167"/>
      <c r="N26" s="167"/>
      <c r="O26" s="167"/>
      <c r="P26" s="167"/>
      <c r="Q26" s="167"/>
      <c r="R26" s="167"/>
      <c r="S26" s="9"/>
      <c r="T26" s="9"/>
      <c r="U26" s="9"/>
      <c r="V26" s="9"/>
      <c r="W26" s="9"/>
      <c r="X26" s="152"/>
      <c r="AC26" s="54"/>
      <c r="AD26" s="54"/>
      <c r="AE26" s="54"/>
      <c r="AF26" s="54"/>
      <c r="AG26" s="54"/>
      <c r="AH26" s="54"/>
      <c r="AI26" s="54"/>
      <c r="AJ26" s="54"/>
      <c r="AK26" s="54"/>
    </row>
    <row r="27" spans="1:37" ht="13.15" x14ac:dyDescent="0.4">
      <c r="A27" s="168" t="s">
        <v>45</v>
      </c>
      <c r="B27" s="26"/>
      <c r="C27" s="26"/>
      <c r="D27" s="26"/>
      <c r="E27" s="26"/>
      <c r="F27" s="26"/>
      <c r="G27" s="9"/>
      <c r="H27" s="9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9"/>
      <c r="T27" s="9"/>
      <c r="U27" s="9"/>
      <c r="V27" s="9"/>
      <c r="W27" s="9"/>
      <c r="X27" s="152"/>
      <c r="AC27" s="54"/>
      <c r="AD27" s="54"/>
      <c r="AE27" s="54"/>
      <c r="AF27" s="54"/>
      <c r="AG27" s="54"/>
      <c r="AH27" s="54"/>
      <c r="AI27" s="54"/>
      <c r="AJ27" s="54"/>
      <c r="AK27" s="54"/>
    </row>
    <row r="28" spans="1:37" ht="13.15" x14ac:dyDescent="0.4">
      <c r="A28" s="169"/>
      <c r="B28" s="28" t="s">
        <v>73</v>
      </c>
      <c r="C28" s="28"/>
      <c r="D28" s="26"/>
      <c r="E28" s="26"/>
      <c r="F28" s="26"/>
      <c r="G28" s="9"/>
      <c r="H28" s="9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9"/>
      <c r="T28" s="9"/>
      <c r="U28" s="9"/>
      <c r="V28" s="9"/>
      <c r="W28" s="9"/>
      <c r="X28" s="152"/>
      <c r="AC28" s="54"/>
      <c r="AD28" s="54"/>
      <c r="AE28" s="54"/>
      <c r="AF28" s="54"/>
      <c r="AG28" s="54"/>
      <c r="AH28" s="54"/>
      <c r="AI28" s="54"/>
      <c r="AJ28" s="54"/>
      <c r="AK28" s="54"/>
    </row>
    <row r="29" spans="1:37" ht="13.15" x14ac:dyDescent="0.4">
      <c r="A29" s="170"/>
      <c r="B29" s="171" t="s">
        <v>75</v>
      </c>
      <c r="C29" s="171"/>
      <c r="D29" s="172"/>
      <c r="E29" s="172"/>
      <c r="F29" s="172"/>
      <c r="G29" s="9"/>
      <c r="H29" s="9"/>
      <c r="I29" s="172"/>
      <c r="J29" s="172"/>
      <c r="K29" s="172"/>
      <c r="L29" s="172"/>
      <c r="M29" s="172"/>
      <c r="N29" s="172"/>
      <c r="O29" s="172"/>
      <c r="P29" s="172"/>
      <c r="Q29" s="172"/>
      <c r="R29" s="172"/>
      <c r="S29" s="54"/>
      <c r="T29" s="54"/>
      <c r="U29" s="54"/>
      <c r="V29" s="54"/>
      <c r="W29" s="54"/>
      <c r="X29" s="152"/>
      <c r="AC29" s="54"/>
      <c r="AD29" s="54"/>
      <c r="AE29" s="54"/>
      <c r="AF29" s="54"/>
      <c r="AG29" s="54"/>
      <c r="AH29" s="54"/>
      <c r="AI29" s="54"/>
      <c r="AJ29" s="54"/>
      <c r="AK29" s="54"/>
    </row>
    <row r="30" spans="1:37" ht="13.15" hidden="1" x14ac:dyDescent="0.4">
      <c r="A30" s="153"/>
      <c r="B30" s="26"/>
      <c r="C30" s="26"/>
      <c r="D30" s="26" t="s">
        <v>15</v>
      </c>
      <c r="E30" s="26"/>
      <c r="F30" s="22"/>
      <c r="G30" s="22"/>
      <c r="H30" s="22"/>
      <c r="I30" s="22"/>
      <c r="J30" s="26"/>
      <c r="K30" s="26" t="s">
        <v>34</v>
      </c>
      <c r="L30" s="26"/>
      <c r="M30" s="22"/>
      <c r="N30" s="22"/>
      <c r="O30" s="26"/>
      <c r="P30" s="26"/>
      <c r="Q30" s="26"/>
      <c r="R30" s="26"/>
      <c r="S30" s="9"/>
      <c r="T30" s="9"/>
      <c r="U30" s="9"/>
      <c r="V30" s="9"/>
      <c r="W30" s="9"/>
      <c r="X30" s="152"/>
      <c r="AC30" s="54"/>
      <c r="AD30" s="54"/>
      <c r="AE30" s="54"/>
      <c r="AF30" s="54"/>
      <c r="AG30" s="54"/>
      <c r="AH30" s="54"/>
      <c r="AI30" s="54"/>
      <c r="AJ30" s="54"/>
      <c r="AK30" s="54"/>
    </row>
    <row r="31" spans="1:37" ht="13.15" x14ac:dyDescent="0.4">
      <c r="A31" s="153"/>
      <c r="B31" s="26"/>
      <c r="C31" s="26"/>
      <c r="D31" s="26"/>
      <c r="E31" s="26"/>
      <c r="F31" s="26"/>
      <c r="G31" s="26"/>
      <c r="H31" s="26"/>
      <c r="I31" s="26"/>
      <c r="J31" s="26"/>
      <c r="K31" s="173"/>
      <c r="L31" s="26"/>
      <c r="M31" s="26"/>
      <c r="N31" s="26"/>
      <c r="O31" s="26"/>
      <c r="P31" s="26"/>
      <c r="Q31" s="26"/>
      <c r="R31" s="26"/>
      <c r="S31" s="9"/>
      <c r="T31" s="9"/>
      <c r="U31" s="9"/>
      <c r="V31" s="9"/>
      <c r="W31" s="9"/>
      <c r="X31" s="152"/>
      <c r="AC31" s="54"/>
      <c r="AD31" s="54"/>
      <c r="AE31" s="54"/>
      <c r="AF31" s="54"/>
      <c r="AG31" s="54"/>
      <c r="AH31" s="54"/>
      <c r="AI31" s="54"/>
      <c r="AJ31" s="54"/>
      <c r="AK31" s="54"/>
    </row>
    <row r="32" spans="1:37" ht="13.5" thickBot="1" x14ac:dyDescent="0.45">
      <c r="A32" s="153"/>
      <c r="B32" s="26" t="s">
        <v>49</v>
      </c>
      <c r="C32" s="55" t="str">
        <f>+'Dec OPP'!C32</f>
        <v>Your Name Goes Here</v>
      </c>
      <c r="D32" s="55"/>
      <c r="E32" s="55"/>
      <c r="I32" s="26"/>
      <c r="J32" s="26" t="s">
        <v>34</v>
      </c>
      <c r="K32" s="26"/>
      <c r="L32" s="22" t="str">
        <f>+'Dec OPP'!L32</f>
        <v>Your Phone # Here</v>
      </c>
      <c r="M32" s="22"/>
      <c r="N32" s="22"/>
      <c r="O32" s="26"/>
      <c r="P32" s="26"/>
      <c r="Q32" s="26"/>
      <c r="R32" s="26"/>
      <c r="S32" s="9"/>
      <c r="T32" s="9"/>
      <c r="U32" s="9"/>
      <c r="V32" s="9"/>
      <c r="W32" s="9"/>
      <c r="X32" s="152"/>
      <c r="AC32" s="54"/>
      <c r="AD32" s="54"/>
      <c r="AE32" s="54"/>
      <c r="AF32" s="54"/>
      <c r="AG32" s="54"/>
      <c r="AH32" s="54"/>
      <c r="AI32" s="54"/>
      <c r="AJ32" s="54"/>
      <c r="AK32" s="54"/>
    </row>
    <row r="33" spans="1:37" ht="13.15" x14ac:dyDescent="0.4">
      <c r="A33" s="153"/>
      <c r="B33" s="26"/>
      <c r="C33" s="26"/>
      <c r="D33" s="26"/>
      <c r="E33" s="26"/>
      <c r="F33" s="192" t="s">
        <v>786</v>
      </c>
      <c r="G33" s="192"/>
      <c r="H33" s="192"/>
      <c r="I33" s="192"/>
      <c r="J33" s="192"/>
      <c r="K33" s="192"/>
      <c r="L33" s="192"/>
      <c r="M33" s="192"/>
      <c r="N33" s="192"/>
      <c r="O33" s="192"/>
      <c r="P33" s="192"/>
      <c r="Q33" s="192"/>
      <c r="R33" s="192"/>
      <c r="S33" s="192"/>
      <c r="T33" s="192"/>
      <c r="U33" s="192"/>
      <c r="V33" s="192"/>
      <c r="W33" s="192"/>
      <c r="X33" s="193"/>
      <c r="AC33" s="54"/>
      <c r="AD33" s="54"/>
      <c r="AE33" s="54"/>
      <c r="AF33" s="54"/>
      <c r="AG33" s="54"/>
      <c r="AH33" s="54"/>
      <c r="AI33" s="54"/>
      <c r="AJ33" s="54"/>
      <c r="AK33" s="54"/>
    </row>
    <row r="34" spans="1:37" ht="13.15" x14ac:dyDescent="0.4">
      <c r="A34" s="153"/>
      <c r="B34" s="26" t="s">
        <v>17</v>
      </c>
      <c r="C34" s="22" t="str">
        <f>+'Dec OPP'!C34</f>
        <v>Company</v>
      </c>
      <c r="D34" s="22"/>
      <c r="E34" s="22"/>
      <c r="F34" s="192"/>
      <c r="G34" s="192"/>
      <c r="H34" s="192"/>
      <c r="I34" s="192"/>
      <c r="J34" s="192"/>
      <c r="K34" s="192"/>
      <c r="L34" s="192"/>
      <c r="M34" s="192"/>
      <c r="N34" s="192"/>
      <c r="O34" s="192"/>
      <c r="P34" s="192"/>
      <c r="Q34" s="192"/>
      <c r="R34" s="192"/>
      <c r="S34" s="192"/>
      <c r="T34" s="192"/>
      <c r="U34" s="192"/>
      <c r="V34" s="192"/>
      <c r="W34" s="192"/>
      <c r="X34" s="193"/>
      <c r="AC34" s="54"/>
      <c r="AD34" s="54"/>
      <c r="AE34" s="54"/>
      <c r="AF34" s="54"/>
      <c r="AG34" s="54"/>
      <c r="AH34" s="54"/>
      <c r="AI34" s="54"/>
      <c r="AJ34" s="54"/>
      <c r="AK34" s="54"/>
    </row>
    <row r="35" spans="1:37" ht="13.15" x14ac:dyDescent="0.4">
      <c r="A35" s="153"/>
      <c r="B35" s="26" t="s">
        <v>16</v>
      </c>
      <c r="C35" s="22" t="str">
        <f>+'Dec OPP'!C35</f>
        <v>Address 1</v>
      </c>
      <c r="D35" s="22"/>
      <c r="E35" s="2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3"/>
      <c r="AC35" s="54"/>
      <c r="AD35" s="54"/>
      <c r="AE35" s="54"/>
      <c r="AF35" s="54"/>
      <c r="AG35" s="54"/>
      <c r="AH35" s="54"/>
      <c r="AI35" s="54"/>
      <c r="AJ35" s="54"/>
      <c r="AK35" s="54"/>
    </row>
    <row r="36" spans="1:37" ht="13.15" x14ac:dyDescent="0.4">
      <c r="A36" s="153"/>
      <c r="B36" s="26"/>
      <c r="C36" s="22" t="str">
        <f>+'Dec OPP'!C36</f>
        <v>Address 2</v>
      </c>
      <c r="D36" s="25"/>
      <c r="E36" s="25"/>
      <c r="F36" s="192"/>
      <c r="G36" s="192"/>
      <c r="H36" s="192"/>
      <c r="I36" s="192"/>
      <c r="J36" s="192"/>
      <c r="K36" s="192"/>
      <c r="L36" s="192"/>
      <c r="M36" s="192"/>
      <c r="N36" s="192"/>
      <c r="O36" s="192"/>
      <c r="P36" s="192"/>
      <c r="Q36" s="192"/>
      <c r="R36" s="192"/>
      <c r="S36" s="192"/>
      <c r="T36" s="192"/>
      <c r="U36" s="192"/>
      <c r="V36" s="192"/>
      <c r="W36" s="192"/>
      <c r="X36" s="193"/>
      <c r="AC36" s="54"/>
      <c r="AD36" s="54"/>
      <c r="AE36" s="54"/>
      <c r="AF36" s="54"/>
      <c r="AG36" s="54"/>
      <c r="AH36" s="54"/>
      <c r="AI36" s="54"/>
      <c r="AJ36" s="54"/>
      <c r="AK36" s="54"/>
    </row>
    <row r="37" spans="1:37" ht="13.15" x14ac:dyDescent="0.4">
      <c r="A37" s="153"/>
      <c r="B37" s="26"/>
      <c r="C37" s="22" t="str">
        <f>+'Dec OPP'!C37</f>
        <v>Address 3</v>
      </c>
      <c r="D37" s="25"/>
      <c r="E37" s="25"/>
      <c r="F37" s="192"/>
      <c r="G37" s="192"/>
      <c r="H37" s="192"/>
      <c r="I37" s="192"/>
      <c r="J37" s="192"/>
      <c r="K37" s="192"/>
      <c r="L37" s="192"/>
      <c r="M37" s="192"/>
      <c r="N37" s="192"/>
      <c r="O37" s="192"/>
      <c r="P37" s="192"/>
      <c r="Q37" s="192"/>
      <c r="R37" s="192"/>
      <c r="S37" s="192"/>
      <c r="T37" s="192"/>
      <c r="U37" s="192"/>
      <c r="V37" s="192"/>
      <c r="W37" s="192"/>
      <c r="X37" s="193"/>
      <c r="AC37" s="54"/>
      <c r="AD37" s="54"/>
      <c r="AE37" s="54"/>
      <c r="AF37" s="54"/>
      <c r="AG37" s="54"/>
      <c r="AH37" s="54"/>
      <c r="AI37" s="54"/>
      <c r="AJ37" s="54"/>
      <c r="AK37" s="54"/>
    </row>
    <row r="38" spans="1:37" ht="13.15" x14ac:dyDescent="0.4">
      <c r="A38" s="153"/>
      <c r="B38" s="26"/>
      <c r="C38" s="25" t="str">
        <f>+'Dec OPP'!C38</f>
        <v>City, State Zip</v>
      </c>
      <c r="D38" s="25"/>
      <c r="E38" s="25"/>
      <c r="F38" s="192"/>
      <c r="G38" s="192"/>
      <c r="H38" s="192"/>
      <c r="I38" s="192"/>
      <c r="J38" s="192"/>
      <c r="K38" s="192"/>
      <c r="L38" s="192"/>
      <c r="M38" s="192"/>
      <c r="N38" s="192"/>
      <c r="O38" s="192"/>
      <c r="P38" s="192"/>
      <c r="Q38" s="192"/>
      <c r="R38" s="192"/>
      <c r="S38" s="192"/>
      <c r="T38" s="192"/>
      <c r="U38" s="192"/>
      <c r="V38" s="192"/>
      <c r="W38" s="192"/>
      <c r="X38" s="193"/>
      <c r="AC38" s="54"/>
      <c r="AD38" s="54"/>
      <c r="AE38" s="54"/>
      <c r="AF38" s="54"/>
      <c r="AG38" s="54"/>
      <c r="AH38" s="54"/>
      <c r="AI38" s="54"/>
      <c r="AJ38" s="54"/>
      <c r="AK38" s="54"/>
    </row>
    <row r="39" spans="1:37" ht="13.15" x14ac:dyDescent="0.4">
      <c r="A39" s="153"/>
      <c r="B39" s="26"/>
      <c r="C39" s="26"/>
      <c r="D39" s="26"/>
      <c r="E39" s="26"/>
      <c r="F39" s="192"/>
      <c r="G39" s="192"/>
      <c r="H39" s="192"/>
      <c r="I39" s="192"/>
      <c r="J39" s="192"/>
      <c r="K39" s="192"/>
      <c r="L39" s="192"/>
      <c r="M39" s="192"/>
      <c r="N39" s="192"/>
      <c r="O39" s="192"/>
      <c r="P39" s="192"/>
      <c r="Q39" s="192"/>
      <c r="R39" s="192"/>
      <c r="S39" s="192"/>
      <c r="T39" s="192"/>
      <c r="U39" s="192"/>
      <c r="V39" s="192"/>
      <c r="W39" s="192"/>
      <c r="X39" s="193"/>
      <c r="AC39" s="54"/>
      <c r="AD39" s="54"/>
      <c r="AE39" s="54"/>
      <c r="AF39" s="54"/>
      <c r="AG39" s="54"/>
      <c r="AH39" s="54"/>
      <c r="AI39" s="54"/>
      <c r="AJ39" s="54"/>
      <c r="AK39" s="54"/>
    </row>
    <row r="40" spans="1:37" ht="13.15" x14ac:dyDescent="0.4">
      <c r="A40" s="153"/>
      <c r="B40" s="26" t="s">
        <v>19</v>
      </c>
      <c r="C40" s="22" t="str">
        <f>+'Dec OPP'!C40</f>
        <v>your @ address here</v>
      </c>
      <c r="D40" s="22"/>
      <c r="E40" s="22"/>
      <c r="F40" s="192"/>
      <c r="G40" s="192"/>
      <c r="H40" s="192"/>
      <c r="I40" s="192"/>
      <c r="J40" s="192"/>
      <c r="K40" s="192"/>
      <c r="L40" s="192"/>
      <c r="M40" s="192"/>
      <c r="N40" s="192"/>
      <c r="O40" s="192"/>
      <c r="P40" s="192"/>
      <c r="Q40" s="192"/>
      <c r="R40" s="192"/>
      <c r="S40" s="192"/>
      <c r="T40" s="192"/>
      <c r="U40" s="192"/>
      <c r="V40" s="192"/>
      <c r="W40" s="192"/>
      <c r="X40" s="193"/>
      <c r="AC40" s="54"/>
      <c r="AD40" s="54"/>
      <c r="AE40" s="54"/>
      <c r="AF40" s="54"/>
      <c r="AG40" s="54"/>
      <c r="AH40" s="54"/>
      <c r="AI40" s="54"/>
      <c r="AJ40" s="54"/>
      <c r="AK40" s="54"/>
    </row>
    <row r="41" spans="1:37" ht="13.15" thickBot="1" x14ac:dyDescent="0.4">
      <c r="A41" s="178"/>
      <c r="B41" s="177"/>
      <c r="C41" s="177"/>
      <c r="D41" s="177"/>
      <c r="E41" s="177"/>
      <c r="F41" s="194"/>
      <c r="G41" s="194"/>
      <c r="H41" s="194"/>
      <c r="I41" s="194"/>
      <c r="J41" s="194"/>
      <c r="K41" s="194"/>
      <c r="L41" s="194"/>
      <c r="M41" s="194"/>
      <c r="N41" s="194"/>
      <c r="O41" s="194"/>
      <c r="P41" s="194"/>
      <c r="Q41" s="194"/>
      <c r="R41" s="194"/>
      <c r="S41" s="194"/>
      <c r="T41" s="194"/>
      <c r="U41" s="194"/>
      <c r="V41" s="194"/>
      <c r="W41" s="194"/>
      <c r="X41" s="195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</row>
    <row r="42" spans="1:37" x14ac:dyDescent="0.35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</row>
    <row r="43" spans="1:37" x14ac:dyDescent="0.35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</row>
    <row r="44" spans="1:37" x14ac:dyDescent="0.3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</row>
    <row r="45" spans="1:37" x14ac:dyDescent="0.3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</row>
    <row r="46" spans="1:37" x14ac:dyDescent="0.35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</row>
    <row r="47" spans="1:37" x14ac:dyDescent="0.35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</row>
    <row r="48" spans="1:37" x14ac:dyDescent="0.35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</row>
    <row r="49" spans="1:37" x14ac:dyDescent="0.35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</row>
    <row r="50" spans="1:37" x14ac:dyDescent="0.35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</row>
    <row r="51" spans="1:37" x14ac:dyDescent="0.35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</row>
    <row r="52" spans="1:37" x14ac:dyDescent="0.35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</row>
    <row r="53" spans="1:37" x14ac:dyDescent="0.35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</row>
    <row r="54" spans="1:37" x14ac:dyDescent="0.35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</row>
    <row r="55" spans="1:37" x14ac:dyDescent="0.35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</row>
    <row r="56" spans="1:37" x14ac:dyDescent="0.35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</row>
    <row r="57" spans="1:37" x14ac:dyDescent="0.35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</row>
    <row r="58" spans="1:37" x14ac:dyDescent="0.35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</row>
    <row r="59" spans="1:37" x14ac:dyDescent="0.35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</row>
    <row r="60" spans="1:37" x14ac:dyDescent="0.35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</row>
    <row r="61" spans="1:37" x14ac:dyDescent="0.35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</row>
    <row r="62" spans="1:37" x14ac:dyDescent="0.35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</row>
    <row r="63" spans="1:37" x14ac:dyDescent="0.35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</row>
    <row r="64" spans="1:37" x14ac:dyDescent="0.35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</row>
    <row r="65" spans="1:37" x14ac:dyDescent="0.35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</row>
    <row r="66" spans="1:37" x14ac:dyDescent="0.35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</row>
    <row r="67" spans="1:37" x14ac:dyDescent="0.35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</row>
    <row r="68" spans="1:37" x14ac:dyDescent="0.35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</row>
    <row r="69" spans="1:37" x14ac:dyDescent="0.35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</row>
    <row r="70" spans="1:37" x14ac:dyDescent="0.35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</row>
    <row r="71" spans="1:37" x14ac:dyDescent="0.35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</row>
    <row r="72" spans="1:37" x14ac:dyDescent="0.35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</row>
    <row r="73" spans="1:37" x14ac:dyDescent="0.35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</row>
    <row r="74" spans="1:37" x14ac:dyDescent="0.35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</row>
    <row r="75" spans="1:37" x14ac:dyDescent="0.35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</row>
    <row r="76" spans="1:37" x14ac:dyDescent="0.35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</row>
    <row r="77" spans="1:37" x14ac:dyDescent="0.35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</row>
    <row r="78" spans="1:37" x14ac:dyDescent="0.35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</row>
    <row r="79" spans="1:37" hidden="1" x14ac:dyDescent="0.35">
      <c r="A79" t="s">
        <v>108</v>
      </c>
      <c r="B79" s="54" t="s">
        <v>275</v>
      </c>
      <c r="C79" s="54" t="s">
        <v>289</v>
      </c>
      <c r="D79" s="54" t="s">
        <v>40</v>
      </c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</row>
    <row r="80" spans="1:37" hidden="1" x14ac:dyDescent="0.35">
      <c r="A80" t="s">
        <v>109</v>
      </c>
      <c r="B80" s="54" t="s">
        <v>276</v>
      </c>
      <c r="C80" s="54">
        <v>1</v>
      </c>
      <c r="D80" s="54" t="s">
        <v>808</v>
      </c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</row>
    <row r="81" spans="1:37" hidden="1" x14ac:dyDescent="0.35">
      <c r="A81" t="s">
        <v>110</v>
      </c>
      <c r="B81" s="54" t="s">
        <v>106</v>
      </c>
      <c r="C81" s="54">
        <v>2</v>
      </c>
      <c r="D81" s="54" t="s">
        <v>196</v>
      </c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</row>
    <row r="82" spans="1:37" hidden="1" x14ac:dyDescent="0.35">
      <c r="A82" t="s">
        <v>111</v>
      </c>
      <c r="B82" s="54"/>
      <c r="C82" s="54">
        <v>3</v>
      </c>
      <c r="D82" s="54" t="s">
        <v>184</v>
      </c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</row>
    <row r="83" spans="1:37" hidden="1" x14ac:dyDescent="0.35">
      <c r="A83" t="s">
        <v>112</v>
      </c>
      <c r="B83" s="54"/>
      <c r="C83" s="54">
        <v>4</v>
      </c>
      <c r="D83" s="54" t="s">
        <v>797</v>
      </c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</row>
    <row r="84" spans="1:37" hidden="1" x14ac:dyDescent="0.35">
      <c r="A84" t="s">
        <v>113</v>
      </c>
      <c r="B84" s="54"/>
      <c r="C84" s="54">
        <v>5</v>
      </c>
      <c r="D84" s="54" t="s">
        <v>194</v>
      </c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</row>
    <row r="85" spans="1:37" hidden="1" x14ac:dyDescent="0.35">
      <c r="A85" t="s">
        <v>114</v>
      </c>
      <c r="B85" s="54"/>
      <c r="C85" s="54">
        <v>6</v>
      </c>
      <c r="D85" s="54" t="s">
        <v>182</v>
      </c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</row>
    <row r="86" spans="1:37" hidden="1" x14ac:dyDescent="0.35">
      <c r="A86" t="s">
        <v>115</v>
      </c>
      <c r="B86" s="54"/>
      <c r="C86" s="54">
        <v>7</v>
      </c>
      <c r="D86" s="54" t="s">
        <v>795</v>
      </c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</row>
    <row r="87" spans="1:37" hidden="1" x14ac:dyDescent="0.35">
      <c r="A87" t="s">
        <v>116</v>
      </c>
      <c r="B87" s="54"/>
      <c r="C87" s="54">
        <v>8</v>
      </c>
      <c r="D87" s="54" t="s">
        <v>193</v>
      </c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</row>
    <row r="88" spans="1:37" hidden="1" x14ac:dyDescent="0.35">
      <c r="A88" t="s">
        <v>117</v>
      </c>
      <c r="B88" s="54"/>
      <c r="C88" s="54">
        <v>9</v>
      </c>
      <c r="D88" s="54" t="s">
        <v>181</v>
      </c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</row>
    <row r="89" spans="1:37" hidden="1" x14ac:dyDescent="0.35">
      <c r="A89" t="s">
        <v>118</v>
      </c>
      <c r="B89" s="54"/>
      <c r="C89" s="54">
        <v>10</v>
      </c>
      <c r="D89" s="54" t="s">
        <v>794</v>
      </c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</row>
    <row r="90" spans="1:37" hidden="1" x14ac:dyDescent="0.35">
      <c r="A90" t="s">
        <v>119</v>
      </c>
      <c r="B90" s="54"/>
      <c r="C90" s="54">
        <v>11</v>
      </c>
      <c r="D90" s="54" t="s">
        <v>189</v>
      </c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</row>
    <row r="91" spans="1:37" hidden="1" x14ac:dyDescent="0.35">
      <c r="A91" t="s">
        <v>120</v>
      </c>
      <c r="B91" s="54"/>
      <c r="C91" s="54">
        <v>12</v>
      </c>
      <c r="D91" s="54" t="s">
        <v>177</v>
      </c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</row>
    <row r="92" spans="1:37" hidden="1" x14ac:dyDescent="0.35">
      <c r="A92" t="s">
        <v>121</v>
      </c>
      <c r="B92" s="54"/>
      <c r="C92" s="54">
        <v>13</v>
      </c>
      <c r="D92" s="54" t="s">
        <v>790</v>
      </c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</row>
    <row r="93" spans="1:37" hidden="1" x14ac:dyDescent="0.35">
      <c r="A93" t="s">
        <v>122</v>
      </c>
      <c r="B93" s="54"/>
      <c r="C93" s="54">
        <v>14</v>
      </c>
      <c r="D93" s="54" t="s">
        <v>199</v>
      </c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</row>
    <row r="94" spans="1:37" hidden="1" x14ac:dyDescent="0.35">
      <c r="A94" t="s">
        <v>123</v>
      </c>
      <c r="B94" s="54"/>
      <c r="C94" s="54">
        <v>15</v>
      </c>
      <c r="D94" s="54" t="s">
        <v>187</v>
      </c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</row>
    <row r="95" spans="1:37" hidden="1" x14ac:dyDescent="0.35">
      <c r="A95" t="s">
        <v>124</v>
      </c>
      <c r="B95" s="54"/>
      <c r="C95" s="54">
        <v>16</v>
      </c>
      <c r="D95" s="54" t="s">
        <v>800</v>
      </c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</row>
    <row r="96" spans="1:37" hidden="1" x14ac:dyDescent="0.35">
      <c r="A96" t="s">
        <v>125</v>
      </c>
      <c r="B96" s="54"/>
      <c r="C96" s="54">
        <v>17</v>
      </c>
      <c r="D96" s="54" t="s">
        <v>198</v>
      </c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</row>
    <row r="97" spans="1:37" hidden="1" x14ac:dyDescent="0.35">
      <c r="A97" t="s">
        <v>126</v>
      </c>
      <c r="B97" s="54"/>
      <c r="C97" s="54">
        <v>18</v>
      </c>
      <c r="D97" s="54" t="s">
        <v>186</v>
      </c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</row>
    <row r="98" spans="1:37" hidden="1" x14ac:dyDescent="0.35">
      <c r="A98" t="s">
        <v>127</v>
      </c>
      <c r="B98" s="54"/>
      <c r="C98" s="54">
        <v>19</v>
      </c>
      <c r="D98" s="54" t="s">
        <v>799</v>
      </c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</row>
    <row r="99" spans="1:37" hidden="1" x14ac:dyDescent="0.35">
      <c r="A99" t="s">
        <v>128</v>
      </c>
      <c r="B99" s="54"/>
      <c r="C99" s="54">
        <v>20</v>
      </c>
      <c r="D99" s="54" t="s">
        <v>809</v>
      </c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</row>
    <row r="100" spans="1:37" hidden="1" x14ac:dyDescent="0.35">
      <c r="A100" t="s">
        <v>129</v>
      </c>
      <c r="B100" s="54"/>
      <c r="C100" s="54">
        <v>21</v>
      </c>
      <c r="D100" s="54" t="s">
        <v>197</v>
      </c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</row>
    <row r="101" spans="1:37" hidden="1" x14ac:dyDescent="0.35">
      <c r="A101" t="s">
        <v>130</v>
      </c>
      <c r="B101" s="54"/>
      <c r="C101" s="54">
        <v>22</v>
      </c>
      <c r="D101" s="54" t="s">
        <v>185</v>
      </c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</row>
    <row r="102" spans="1:37" hidden="1" x14ac:dyDescent="0.35">
      <c r="A102" t="s">
        <v>131</v>
      </c>
      <c r="B102" s="54"/>
      <c r="C102" s="54">
        <v>23</v>
      </c>
      <c r="D102" s="54" t="s">
        <v>798</v>
      </c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</row>
    <row r="103" spans="1:37" hidden="1" x14ac:dyDescent="0.35">
      <c r="A103" t="s">
        <v>132</v>
      </c>
      <c r="B103" s="54"/>
      <c r="C103" s="54">
        <v>24</v>
      </c>
      <c r="D103" s="54" t="s">
        <v>190</v>
      </c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</row>
    <row r="104" spans="1:37" hidden="1" x14ac:dyDescent="0.35">
      <c r="A104" t="s">
        <v>133</v>
      </c>
      <c r="B104" s="54"/>
      <c r="C104" s="54">
        <v>25</v>
      </c>
      <c r="D104" s="54" t="s">
        <v>178</v>
      </c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</row>
    <row r="105" spans="1:37" hidden="1" x14ac:dyDescent="0.35">
      <c r="A105" t="s">
        <v>134</v>
      </c>
      <c r="B105" s="54"/>
      <c r="C105" s="54">
        <v>26</v>
      </c>
      <c r="D105" s="54" t="s">
        <v>791</v>
      </c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</row>
    <row r="106" spans="1:37" hidden="1" x14ac:dyDescent="0.35">
      <c r="A106" t="s">
        <v>135</v>
      </c>
      <c r="B106" s="54"/>
      <c r="C106" s="54">
        <v>27</v>
      </c>
      <c r="D106" s="54" t="s">
        <v>192</v>
      </c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</row>
    <row r="107" spans="1:37" hidden="1" x14ac:dyDescent="0.35">
      <c r="A107" t="s">
        <v>136</v>
      </c>
      <c r="B107" s="54"/>
      <c r="C107" s="54">
        <v>28</v>
      </c>
      <c r="D107" s="54" t="s">
        <v>180</v>
      </c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</row>
    <row r="108" spans="1:37" hidden="1" x14ac:dyDescent="0.35">
      <c r="A108" t="s">
        <v>137</v>
      </c>
      <c r="B108" s="54"/>
      <c r="C108" s="54">
        <v>29</v>
      </c>
      <c r="D108" s="54" t="s">
        <v>793</v>
      </c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</row>
    <row r="109" spans="1:37" hidden="1" x14ac:dyDescent="0.35">
      <c r="A109" t="s">
        <v>138</v>
      </c>
      <c r="B109" s="54"/>
      <c r="C109" s="54">
        <v>30</v>
      </c>
      <c r="D109" s="54" t="s">
        <v>191</v>
      </c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</row>
    <row r="110" spans="1:37" hidden="1" x14ac:dyDescent="0.35">
      <c r="A110" t="s">
        <v>139</v>
      </c>
      <c r="B110" s="54"/>
      <c r="C110" s="54">
        <v>31</v>
      </c>
      <c r="D110" s="54" t="s">
        <v>179</v>
      </c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</row>
    <row r="111" spans="1:37" hidden="1" x14ac:dyDescent="0.35">
      <c r="A111" t="s">
        <v>140</v>
      </c>
      <c r="B111" s="54"/>
      <c r="C111" s="54">
        <v>32</v>
      </c>
      <c r="D111" s="54" t="s">
        <v>792</v>
      </c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</row>
    <row r="112" spans="1:37" hidden="1" x14ac:dyDescent="0.35">
      <c r="A112" t="s">
        <v>141</v>
      </c>
      <c r="B112" s="54"/>
      <c r="C112" s="54">
        <v>33</v>
      </c>
      <c r="D112" s="54" t="s">
        <v>195</v>
      </c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</row>
    <row r="113" spans="1:37" hidden="1" x14ac:dyDescent="0.35">
      <c r="A113" t="s">
        <v>142</v>
      </c>
      <c r="B113" s="54"/>
      <c r="C113" s="54">
        <v>34</v>
      </c>
      <c r="D113" s="54" t="s">
        <v>183</v>
      </c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  <c r="AG113" s="54"/>
      <c r="AH113" s="54"/>
      <c r="AI113" s="54"/>
      <c r="AJ113" s="54"/>
      <c r="AK113" s="54"/>
    </row>
    <row r="114" spans="1:37" hidden="1" x14ac:dyDescent="0.35">
      <c r="A114" t="s">
        <v>143</v>
      </c>
      <c r="B114" s="54"/>
      <c r="C114" s="54">
        <v>35</v>
      </c>
      <c r="D114" s="54" t="s">
        <v>796</v>
      </c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</row>
    <row r="115" spans="1:37" hidden="1" x14ac:dyDescent="0.35">
      <c r="A115" t="s">
        <v>144</v>
      </c>
      <c r="B115" s="54"/>
      <c r="C115" s="54">
        <v>36</v>
      </c>
      <c r="D115" s="54" t="s">
        <v>188</v>
      </c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  <c r="AE115" s="54"/>
      <c r="AF115" s="54"/>
      <c r="AG115" s="54"/>
      <c r="AH115" s="54"/>
      <c r="AI115" s="54"/>
      <c r="AJ115" s="54"/>
      <c r="AK115" s="54"/>
    </row>
    <row r="116" spans="1:37" hidden="1" x14ac:dyDescent="0.35">
      <c r="A116" t="s">
        <v>145</v>
      </c>
      <c r="B116" s="54"/>
      <c r="C116" s="54">
        <v>37</v>
      </c>
      <c r="D116" s="54" t="s">
        <v>176</v>
      </c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</row>
    <row r="117" spans="1:37" hidden="1" x14ac:dyDescent="0.35">
      <c r="A117" t="s">
        <v>146</v>
      </c>
      <c r="B117" s="54"/>
      <c r="C117" s="54">
        <v>38</v>
      </c>
      <c r="D117" s="54" t="s">
        <v>789</v>
      </c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  <c r="AE117" s="54"/>
      <c r="AF117" s="54"/>
      <c r="AG117" s="54"/>
      <c r="AH117" s="54"/>
      <c r="AI117" s="54"/>
      <c r="AJ117" s="54"/>
      <c r="AK117" s="54"/>
    </row>
    <row r="118" spans="1:37" hidden="1" x14ac:dyDescent="0.35">
      <c r="A118" t="s">
        <v>147</v>
      </c>
      <c r="B118" s="54"/>
      <c r="C118" s="54">
        <v>101</v>
      </c>
      <c r="D118" s="54" t="s">
        <v>290</v>
      </c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  <c r="AE118" s="54"/>
      <c r="AF118" s="54"/>
      <c r="AG118" s="54"/>
      <c r="AH118" s="54"/>
      <c r="AI118" s="54"/>
      <c r="AJ118" s="54"/>
      <c r="AK118" s="54"/>
    </row>
    <row r="119" spans="1:37" hidden="1" x14ac:dyDescent="0.35">
      <c r="A119" t="s">
        <v>148</v>
      </c>
      <c r="B119" s="54"/>
      <c r="C119" s="54">
        <v>102</v>
      </c>
      <c r="D119" s="54" t="s">
        <v>291</v>
      </c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  <c r="AE119" s="54"/>
      <c r="AF119" s="54"/>
      <c r="AG119" s="54"/>
      <c r="AH119" s="54"/>
      <c r="AI119" s="54"/>
      <c r="AJ119" s="54"/>
      <c r="AK119" s="54"/>
    </row>
    <row r="120" spans="1:37" hidden="1" x14ac:dyDescent="0.35">
      <c r="A120" t="s">
        <v>149</v>
      </c>
      <c r="B120" s="54"/>
      <c r="C120" s="54">
        <v>103</v>
      </c>
      <c r="D120" s="54" t="s">
        <v>292</v>
      </c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</row>
    <row r="121" spans="1:37" hidden="1" x14ac:dyDescent="0.35">
      <c r="A121" t="s">
        <v>150</v>
      </c>
      <c r="B121" s="54"/>
      <c r="C121" s="54">
        <v>104</v>
      </c>
      <c r="D121" s="54" t="s">
        <v>293</v>
      </c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</row>
    <row r="122" spans="1:37" hidden="1" x14ac:dyDescent="0.35">
      <c r="A122" t="s">
        <v>151</v>
      </c>
      <c r="B122" s="54"/>
      <c r="C122" s="54">
        <v>105</v>
      </c>
      <c r="D122" s="54" t="s">
        <v>294</v>
      </c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</row>
    <row r="123" spans="1:37" hidden="1" x14ac:dyDescent="0.35">
      <c r="A123" t="s">
        <v>152</v>
      </c>
      <c r="B123" s="54"/>
      <c r="C123" s="54">
        <v>106</v>
      </c>
      <c r="D123" s="54" t="s">
        <v>295</v>
      </c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</row>
    <row r="124" spans="1:37" hidden="1" x14ac:dyDescent="0.35">
      <c r="A124" t="s">
        <v>153</v>
      </c>
      <c r="B124" s="54"/>
      <c r="C124" s="54">
        <v>107</v>
      </c>
      <c r="D124" s="54" t="s">
        <v>296</v>
      </c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</row>
    <row r="125" spans="1:37" hidden="1" x14ac:dyDescent="0.35">
      <c r="A125" t="s">
        <v>154</v>
      </c>
      <c r="B125" s="54"/>
      <c r="C125" s="54">
        <v>108</v>
      </c>
      <c r="D125" s="54" t="s">
        <v>297</v>
      </c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</row>
    <row r="126" spans="1:37" hidden="1" x14ac:dyDescent="0.35">
      <c r="A126" t="s">
        <v>155</v>
      </c>
      <c r="B126" s="54"/>
      <c r="C126" s="54">
        <v>109</v>
      </c>
      <c r="D126" s="54" t="s">
        <v>298</v>
      </c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</row>
    <row r="127" spans="1:37" hidden="1" x14ac:dyDescent="0.35">
      <c r="A127" t="s">
        <v>156</v>
      </c>
      <c r="B127" s="54"/>
      <c r="C127" s="54">
        <v>110</v>
      </c>
      <c r="D127" s="54" t="s">
        <v>299</v>
      </c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</row>
    <row r="128" spans="1:37" hidden="1" x14ac:dyDescent="0.35">
      <c r="A128" t="s">
        <v>157</v>
      </c>
      <c r="B128" s="54"/>
      <c r="C128" s="54">
        <v>111</v>
      </c>
      <c r="D128" s="54" t="s">
        <v>300</v>
      </c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</row>
    <row r="129" spans="1:37" hidden="1" x14ac:dyDescent="0.35">
      <c r="A129" t="s">
        <v>158</v>
      </c>
      <c r="B129" s="54"/>
      <c r="C129" s="54">
        <v>201</v>
      </c>
      <c r="D129" s="54" t="s">
        <v>301</v>
      </c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</row>
    <row r="130" spans="1:37" hidden="1" x14ac:dyDescent="0.35">
      <c r="A130" t="s">
        <v>159</v>
      </c>
      <c r="B130" s="54"/>
      <c r="C130" s="54">
        <v>202</v>
      </c>
      <c r="D130" s="54" t="s">
        <v>302</v>
      </c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</row>
    <row r="131" spans="1:37" hidden="1" x14ac:dyDescent="0.35">
      <c r="A131" t="s">
        <v>160</v>
      </c>
      <c r="B131" s="54"/>
      <c r="C131" s="54">
        <v>203</v>
      </c>
      <c r="D131" s="54" t="s">
        <v>303</v>
      </c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</row>
    <row r="132" spans="1:37" hidden="1" x14ac:dyDescent="0.35">
      <c r="A132" t="s">
        <v>161</v>
      </c>
      <c r="B132" s="54"/>
      <c r="C132" s="54">
        <v>204</v>
      </c>
      <c r="D132" s="54" t="s">
        <v>304</v>
      </c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</row>
    <row r="133" spans="1:37" hidden="1" x14ac:dyDescent="0.35">
      <c r="A133" t="s">
        <v>162</v>
      </c>
      <c r="B133" s="54"/>
      <c r="C133" s="54">
        <v>205</v>
      </c>
      <c r="D133" s="54" t="s">
        <v>305</v>
      </c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</row>
    <row r="134" spans="1:37" hidden="1" x14ac:dyDescent="0.35">
      <c r="A134" t="s">
        <v>163</v>
      </c>
      <c r="B134" s="54"/>
      <c r="C134" s="54">
        <v>206</v>
      </c>
      <c r="D134" s="54" t="s">
        <v>306</v>
      </c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</row>
    <row r="135" spans="1:37" hidden="1" x14ac:dyDescent="0.35">
      <c r="A135" t="s">
        <v>164</v>
      </c>
      <c r="B135" s="54"/>
      <c r="C135" s="54">
        <v>207</v>
      </c>
      <c r="D135" s="54" t="s">
        <v>307</v>
      </c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  <c r="AE135" s="54"/>
      <c r="AF135" s="54"/>
      <c r="AG135" s="54"/>
      <c r="AH135" s="54"/>
      <c r="AI135" s="54"/>
      <c r="AJ135" s="54"/>
      <c r="AK135" s="54"/>
    </row>
    <row r="136" spans="1:37" hidden="1" x14ac:dyDescent="0.35">
      <c r="A136" t="s">
        <v>165</v>
      </c>
      <c r="B136" s="54"/>
      <c r="C136" s="54">
        <v>208</v>
      </c>
      <c r="D136" s="54" t="s">
        <v>308</v>
      </c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  <c r="AE136" s="54"/>
      <c r="AF136" s="54"/>
      <c r="AG136" s="54"/>
      <c r="AH136" s="54"/>
      <c r="AI136" s="54"/>
      <c r="AJ136" s="54"/>
      <c r="AK136" s="54"/>
    </row>
    <row r="137" spans="1:37" hidden="1" x14ac:dyDescent="0.35">
      <c r="A137" t="s">
        <v>166</v>
      </c>
      <c r="B137" s="54"/>
      <c r="C137" s="54">
        <v>209</v>
      </c>
      <c r="D137" s="54" t="s">
        <v>309</v>
      </c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  <c r="AE137" s="54"/>
      <c r="AF137" s="54"/>
      <c r="AG137" s="54"/>
      <c r="AH137" s="54"/>
      <c r="AI137" s="54"/>
      <c r="AJ137" s="54"/>
      <c r="AK137" s="54"/>
    </row>
    <row r="138" spans="1:37" hidden="1" x14ac:dyDescent="0.35">
      <c r="A138" t="s">
        <v>167</v>
      </c>
      <c r="B138" s="54"/>
      <c r="C138" s="54">
        <v>210</v>
      </c>
      <c r="D138" s="54" t="s">
        <v>310</v>
      </c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  <c r="AE138" s="54"/>
      <c r="AF138" s="54"/>
      <c r="AG138" s="54"/>
      <c r="AH138" s="54"/>
      <c r="AI138" s="54"/>
      <c r="AJ138" s="54"/>
      <c r="AK138" s="54"/>
    </row>
    <row r="139" spans="1:37" hidden="1" x14ac:dyDescent="0.35">
      <c r="A139" t="s">
        <v>168</v>
      </c>
      <c r="B139" s="54"/>
      <c r="C139" s="54">
        <v>211</v>
      </c>
      <c r="D139" s="54" t="s">
        <v>311</v>
      </c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  <c r="AC139" s="54"/>
      <c r="AD139" s="54"/>
      <c r="AE139" s="54"/>
      <c r="AF139" s="54"/>
      <c r="AG139" s="54"/>
      <c r="AH139" s="54"/>
      <c r="AI139" s="54"/>
      <c r="AJ139" s="54"/>
      <c r="AK139" s="54"/>
    </row>
    <row r="140" spans="1:37" hidden="1" x14ac:dyDescent="0.35">
      <c r="A140" t="s">
        <v>169</v>
      </c>
      <c r="B140" s="54"/>
      <c r="C140" s="54">
        <v>212</v>
      </c>
      <c r="D140" s="54" t="s">
        <v>312</v>
      </c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</row>
    <row r="141" spans="1:37" hidden="1" x14ac:dyDescent="0.35">
      <c r="A141" t="s">
        <v>170</v>
      </c>
      <c r="B141" s="54"/>
      <c r="C141" s="54">
        <v>213</v>
      </c>
      <c r="D141" s="54" t="s">
        <v>313</v>
      </c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</row>
    <row r="142" spans="1:37" hidden="1" x14ac:dyDescent="0.35">
      <c r="A142" t="s">
        <v>171</v>
      </c>
      <c r="B142" s="54"/>
      <c r="C142" s="54">
        <v>214</v>
      </c>
      <c r="D142" s="54" t="s">
        <v>314</v>
      </c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</row>
    <row r="143" spans="1:37" hidden="1" x14ac:dyDescent="0.35">
      <c r="A143" t="s">
        <v>172</v>
      </c>
      <c r="B143" s="54"/>
      <c r="C143" s="54">
        <v>215</v>
      </c>
      <c r="D143" s="54" t="s">
        <v>315</v>
      </c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  <c r="AB143" s="54"/>
      <c r="AC143" s="54"/>
      <c r="AD143" s="54"/>
      <c r="AE143" s="54"/>
      <c r="AF143" s="54"/>
      <c r="AG143" s="54"/>
      <c r="AH143" s="54"/>
      <c r="AI143" s="54"/>
      <c r="AJ143" s="54"/>
      <c r="AK143" s="54"/>
    </row>
    <row r="144" spans="1:37" hidden="1" x14ac:dyDescent="0.35">
      <c r="A144" t="s">
        <v>173</v>
      </c>
      <c r="B144" s="54"/>
      <c r="C144" s="54">
        <v>216</v>
      </c>
      <c r="D144" s="54" t="s">
        <v>316</v>
      </c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</row>
    <row r="145" spans="1:37" hidden="1" x14ac:dyDescent="0.35">
      <c r="A145" t="s">
        <v>174</v>
      </c>
      <c r="B145" s="54"/>
      <c r="C145" s="54">
        <v>217</v>
      </c>
      <c r="D145" s="54" t="s">
        <v>317</v>
      </c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  <c r="AC145" s="54"/>
      <c r="AD145" s="54"/>
      <c r="AE145" s="54"/>
      <c r="AF145" s="54"/>
      <c r="AG145" s="54"/>
      <c r="AH145" s="54"/>
      <c r="AI145" s="54"/>
      <c r="AJ145" s="54"/>
      <c r="AK145" s="54"/>
    </row>
    <row r="146" spans="1:37" hidden="1" x14ac:dyDescent="0.35">
      <c r="A146" t="s">
        <v>175</v>
      </c>
      <c r="B146" s="54"/>
      <c r="C146" s="54">
        <v>218</v>
      </c>
      <c r="D146" s="54" t="s">
        <v>318</v>
      </c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</row>
    <row r="147" spans="1:37" hidden="1" x14ac:dyDescent="0.35">
      <c r="A147" t="s">
        <v>176</v>
      </c>
      <c r="B147" s="54"/>
      <c r="C147" s="54">
        <v>219</v>
      </c>
      <c r="D147" s="54" t="s">
        <v>319</v>
      </c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  <c r="AB147" s="54"/>
      <c r="AC147" s="54"/>
      <c r="AD147" s="54"/>
      <c r="AE147" s="54"/>
      <c r="AF147" s="54"/>
      <c r="AG147" s="54"/>
      <c r="AH147" s="54"/>
      <c r="AI147" s="54"/>
      <c r="AJ147" s="54"/>
      <c r="AK147" s="54"/>
    </row>
    <row r="148" spans="1:37" hidden="1" x14ac:dyDescent="0.35">
      <c r="A148" t="s">
        <v>177</v>
      </c>
      <c r="B148" s="54"/>
      <c r="C148" s="54">
        <v>220</v>
      </c>
      <c r="D148" s="54" t="s">
        <v>320</v>
      </c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</row>
    <row r="149" spans="1:37" hidden="1" x14ac:dyDescent="0.35">
      <c r="A149" t="s">
        <v>178</v>
      </c>
      <c r="B149" s="54"/>
      <c r="C149" s="54">
        <v>221</v>
      </c>
      <c r="D149" s="54" t="s">
        <v>321</v>
      </c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  <c r="AC149" s="54"/>
      <c r="AD149" s="54"/>
      <c r="AE149" s="54"/>
      <c r="AF149" s="54"/>
      <c r="AG149" s="54"/>
      <c r="AH149" s="54"/>
      <c r="AI149" s="54"/>
      <c r="AJ149" s="54"/>
      <c r="AK149" s="54"/>
    </row>
    <row r="150" spans="1:37" hidden="1" x14ac:dyDescent="0.35">
      <c r="A150" t="s">
        <v>179</v>
      </c>
      <c r="B150" s="54"/>
      <c r="C150" s="54">
        <v>222</v>
      </c>
      <c r="D150" s="54" t="s">
        <v>322</v>
      </c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  <c r="AB150" s="54"/>
      <c r="AC150" s="54"/>
      <c r="AD150" s="54"/>
      <c r="AE150" s="54"/>
      <c r="AF150" s="54"/>
      <c r="AG150" s="54"/>
      <c r="AH150" s="54"/>
      <c r="AI150" s="54"/>
      <c r="AJ150" s="54"/>
      <c r="AK150" s="54"/>
    </row>
    <row r="151" spans="1:37" hidden="1" x14ac:dyDescent="0.35">
      <c r="A151" t="s">
        <v>180</v>
      </c>
      <c r="B151" s="54"/>
      <c r="C151" s="54">
        <v>223</v>
      </c>
      <c r="D151" s="54" t="s">
        <v>323</v>
      </c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  <c r="AB151" s="54"/>
      <c r="AC151" s="54"/>
      <c r="AD151" s="54"/>
      <c r="AE151" s="54"/>
      <c r="AF151" s="54"/>
      <c r="AG151" s="54"/>
      <c r="AH151" s="54"/>
      <c r="AI151" s="54"/>
      <c r="AJ151" s="54"/>
      <c r="AK151" s="54"/>
    </row>
    <row r="152" spans="1:37" hidden="1" x14ac:dyDescent="0.35">
      <c r="A152" t="s">
        <v>181</v>
      </c>
      <c r="B152" s="54"/>
      <c r="C152" s="54">
        <v>224</v>
      </c>
      <c r="D152" s="54" t="s">
        <v>324</v>
      </c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</row>
    <row r="153" spans="1:37" hidden="1" x14ac:dyDescent="0.35">
      <c r="A153" t="s">
        <v>182</v>
      </c>
      <c r="B153" s="54"/>
      <c r="C153" s="54">
        <v>225</v>
      </c>
      <c r="D153" s="54" t="s">
        <v>325</v>
      </c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  <c r="AC153" s="54"/>
      <c r="AD153" s="54"/>
      <c r="AE153" s="54"/>
      <c r="AF153" s="54"/>
      <c r="AG153" s="54"/>
      <c r="AH153" s="54"/>
      <c r="AI153" s="54"/>
      <c r="AJ153" s="54"/>
      <c r="AK153" s="54"/>
    </row>
    <row r="154" spans="1:37" hidden="1" x14ac:dyDescent="0.35">
      <c r="A154" t="s">
        <v>183</v>
      </c>
      <c r="B154" s="54"/>
      <c r="C154" s="54">
        <v>226</v>
      </c>
      <c r="D154" s="54" t="s">
        <v>326</v>
      </c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  <c r="AC154" s="54"/>
      <c r="AD154" s="54"/>
      <c r="AE154" s="54"/>
      <c r="AF154" s="54"/>
      <c r="AG154" s="54"/>
      <c r="AH154" s="54"/>
      <c r="AI154" s="54"/>
      <c r="AJ154" s="54"/>
      <c r="AK154" s="54"/>
    </row>
    <row r="155" spans="1:37" hidden="1" x14ac:dyDescent="0.35">
      <c r="A155" t="s">
        <v>184</v>
      </c>
      <c r="B155" s="54"/>
      <c r="C155" s="54">
        <v>227</v>
      </c>
      <c r="D155" s="54" t="s">
        <v>327</v>
      </c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</row>
    <row r="156" spans="1:37" hidden="1" x14ac:dyDescent="0.35">
      <c r="A156" t="s">
        <v>185</v>
      </c>
      <c r="B156" s="54"/>
      <c r="C156" s="54">
        <v>228</v>
      </c>
      <c r="D156" s="54" t="s">
        <v>328</v>
      </c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  <c r="AC156" s="54"/>
      <c r="AD156" s="54"/>
      <c r="AE156" s="54"/>
      <c r="AF156" s="54"/>
      <c r="AG156" s="54"/>
      <c r="AH156" s="54"/>
      <c r="AI156" s="54"/>
      <c r="AJ156" s="54"/>
      <c r="AK156" s="54"/>
    </row>
    <row r="157" spans="1:37" hidden="1" x14ac:dyDescent="0.35">
      <c r="A157" t="s">
        <v>186</v>
      </c>
      <c r="B157" s="54"/>
      <c r="C157" s="54">
        <v>229</v>
      </c>
      <c r="D157" s="54" t="s">
        <v>329</v>
      </c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</row>
    <row r="158" spans="1:37" hidden="1" x14ac:dyDescent="0.35">
      <c r="A158" t="s">
        <v>187</v>
      </c>
      <c r="B158" s="54"/>
      <c r="C158" s="54">
        <v>230</v>
      </c>
      <c r="D158" s="54" t="s">
        <v>330</v>
      </c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</row>
    <row r="159" spans="1:37" hidden="1" x14ac:dyDescent="0.35">
      <c r="A159" t="s">
        <v>188</v>
      </c>
      <c r="B159" s="54"/>
      <c r="C159" s="54">
        <v>231</v>
      </c>
      <c r="D159" s="54" t="s">
        <v>331</v>
      </c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</row>
    <row r="160" spans="1:37" hidden="1" x14ac:dyDescent="0.35">
      <c r="A160" t="s">
        <v>189</v>
      </c>
      <c r="B160" s="54"/>
      <c r="C160" s="54">
        <v>232</v>
      </c>
      <c r="D160" s="54" t="s">
        <v>332</v>
      </c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  <c r="AC160" s="54"/>
      <c r="AD160" s="54"/>
      <c r="AE160" s="54"/>
      <c r="AF160" s="54"/>
      <c r="AG160" s="54"/>
      <c r="AH160" s="54"/>
      <c r="AI160" s="54"/>
      <c r="AJ160" s="54"/>
      <c r="AK160" s="54"/>
    </row>
    <row r="161" spans="1:37" hidden="1" x14ac:dyDescent="0.35">
      <c r="A161" t="s">
        <v>190</v>
      </c>
      <c r="B161" s="54"/>
      <c r="C161" s="54">
        <v>233</v>
      </c>
      <c r="D161" s="54" t="s">
        <v>333</v>
      </c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  <c r="AK161" s="54"/>
    </row>
    <row r="162" spans="1:37" hidden="1" x14ac:dyDescent="0.35">
      <c r="A162" t="s">
        <v>191</v>
      </c>
      <c r="B162" s="54"/>
      <c r="C162" s="54">
        <v>234</v>
      </c>
      <c r="D162" s="54" t="s">
        <v>334</v>
      </c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</row>
    <row r="163" spans="1:37" hidden="1" x14ac:dyDescent="0.35">
      <c r="A163" t="s">
        <v>192</v>
      </c>
      <c r="B163" s="54"/>
      <c r="C163" s="54">
        <v>235</v>
      </c>
      <c r="D163" s="54" t="s">
        <v>335</v>
      </c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</row>
    <row r="164" spans="1:37" hidden="1" x14ac:dyDescent="0.35">
      <c r="A164" t="s">
        <v>193</v>
      </c>
      <c r="B164" s="54"/>
      <c r="C164" s="54">
        <v>236</v>
      </c>
      <c r="D164" s="54" t="s">
        <v>336</v>
      </c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</row>
    <row r="165" spans="1:37" hidden="1" x14ac:dyDescent="0.35">
      <c r="A165" t="s">
        <v>194</v>
      </c>
      <c r="B165" s="54"/>
      <c r="C165" s="54">
        <v>237</v>
      </c>
      <c r="D165" s="54" t="s">
        <v>337</v>
      </c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</row>
    <row r="166" spans="1:37" hidden="1" x14ac:dyDescent="0.35">
      <c r="A166" t="s">
        <v>195</v>
      </c>
      <c r="B166" s="54"/>
      <c r="C166" s="54">
        <v>238</v>
      </c>
      <c r="D166" s="54" t="s">
        <v>338</v>
      </c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</row>
    <row r="167" spans="1:37" hidden="1" x14ac:dyDescent="0.35">
      <c r="A167" t="s">
        <v>196</v>
      </c>
      <c r="B167" s="54"/>
      <c r="C167" s="54">
        <v>239</v>
      </c>
      <c r="D167" s="54" t="s">
        <v>339</v>
      </c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</row>
    <row r="168" spans="1:37" hidden="1" x14ac:dyDescent="0.35">
      <c r="A168" t="s">
        <v>197</v>
      </c>
      <c r="B168" s="54"/>
      <c r="C168" s="54">
        <v>240</v>
      </c>
      <c r="D168" s="54" t="s">
        <v>340</v>
      </c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</row>
    <row r="169" spans="1:37" hidden="1" x14ac:dyDescent="0.35">
      <c r="A169" t="s">
        <v>198</v>
      </c>
      <c r="B169" s="54"/>
      <c r="C169" s="54">
        <v>241</v>
      </c>
      <c r="D169" s="54" t="s">
        <v>341</v>
      </c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</row>
    <row r="170" spans="1:37" hidden="1" x14ac:dyDescent="0.35">
      <c r="A170" t="s">
        <v>199</v>
      </c>
      <c r="B170" s="54"/>
      <c r="C170" s="54">
        <v>242</v>
      </c>
      <c r="D170" s="54" t="s">
        <v>342</v>
      </c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</row>
    <row r="171" spans="1:37" hidden="1" x14ac:dyDescent="0.35">
      <c r="A171" t="s">
        <v>200</v>
      </c>
      <c r="B171" s="54"/>
      <c r="C171" s="54">
        <v>243</v>
      </c>
      <c r="D171" s="54" t="s">
        <v>343</v>
      </c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</row>
    <row r="172" spans="1:37" hidden="1" x14ac:dyDescent="0.35">
      <c r="A172" t="s">
        <v>201</v>
      </c>
      <c r="B172" s="54"/>
      <c r="C172" s="54">
        <v>244</v>
      </c>
      <c r="D172" s="54" t="s">
        <v>344</v>
      </c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  <c r="AC172" s="54"/>
      <c r="AD172" s="54"/>
      <c r="AE172" s="54"/>
      <c r="AF172" s="54"/>
      <c r="AG172" s="54"/>
      <c r="AH172" s="54"/>
      <c r="AI172" s="54"/>
      <c r="AJ172" s="54"/>
      <c r="AK172" s="54"/>
    </row>
    <row r="173" spans="1:37" hidden="1" x14ac:dyDescent="0.35">
      <c r="A173" t="s">
        <v>789</v>
      </c>
      <c r="B173" s="54"/>
      <c r="C173" s="54">
        <v>245</v>
      </c>
      <c r="D173" s="54" t="s">
        <v>345</v>
      </c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  <c r="AC173" s="54"/>
      <c r="AD173" s="54"/>
      <c r="AE173" s="54"/>
      <c r="AF173" s="54"/>
      <c r="AG173" s="54"/>
      <c r="AH173" s="54"/>
      <c r="AI173" s="54"/>
      <c r="AJ173" s="54"/>
      <c r="AK173" s="54"/>
    </row>
    <row r="174" spans="1:37" hidden="1" x14ac:dyDescent="0.35">
      <c r="A174" t="s">
        <v>790</v>
      </c>
      <c r="B174" s="54"/>
      <c r="C174" s="54">
        <v>246</v>
      </c>
      <c r="D174" s="54" t="s">
        <v>346</v>
      </c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  <c r="AC174" s="54"/>
      <c r="AD174" s="54"/>
      <c r="AE174" s="54"/>
      <c r="AF174" s="54"/>
      <c r="AG174" s="54"/>
      <c r="AH174" s="54"/>
      <c r="AI174" s="54"/>
      <c r="AJ174" s="54"/>
      <c r="AK174" s="54"/>
    </row>
    <row r="175" spans="1:37" hidden="1" x14ac:dyDescent="0.35">
      <c r="A175" t="s">
        <v>791</v>
      </c>
      <c r="B175" s="54"/>
      <c r="C175" s="54">
        <v>247</v>
      </c>
      <c r="D175" s="54" t="s">
        <v>347</v>
      </c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  <c r="AC175" s="54"/>
      <c r="AD175" s="54"/>
      <c r="AE175" s="54"/>
      <c r="AF175" s="54"/>
      <c r="AG175" s="54"/>
      <c r="AH175" s="54"/>
      <c r="AI175" s="54"/>
      <c r="AJ175" s="54"/>
      <c r="AK175" s="54"/>
    </row>
    <row r="176" spans="1:37" hidden="1" x14ac:dyDescent="0.35">
      <c r="A176" t="s">
        <v>792</v>
      </c>
      <c r="B176" s="54"/>
      <c r="C176" s="54">
        <v>248</v>
      </c>
      <c r="D176" s="54" t="s">
        <v>348</v>
      </c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</row>
    <row r="177" spans="1:37" hidden="1" x14ac:dyDescent="0.35">
      <c r="A177" t="s">
        <v>793</v>
      </c>
      <c r="B177" s="54"/>
      <c r="C177" s="54">
        <v>249</v>
      </c>
      <c r="D177" s="54" t="s">
        <v>349</v>
      </c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  <c r="AE177" s="54"/>
      <c r="AF177" s="54"/>
      <c r="AG177" s="54"/>
      <c r="AH177" s="54"/>
      <c r="AI177" s="54"/>
      <c r="AJ177" s="54"/>
      <c r="AK177" s="54"/>
    </row>
    <row r="178" spans="1:37" hidden="1" x14ac:dyDescent="0.35">
      <c r="A178" t="s">
        <v>794</v>
      </c>
      <c r="B178" s="54"/>
      <c r="C178" s="54">
        <v>250</v>
      </c>
      <c r="D178" s="54" t="s">
        <v>350</v>
      </c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  <c r="AC178" s="54"/>
      <c r="AD178" s="54"/>
      <c r="AE178" s="54"/>
      <c r="AF178" s="54"/>
      <c r="AG178" s="54"/>
      <c r="AH178" s="54"/>
      <c r="AI178" s="54"/>
      <c r="AJ178" s="54"/>
      <c r="AK178" s="54"/>
    </row>
    <row r="179" spans="1:37" hidden="1" x14ac:dyDescent="0.35">
      <c r="A179" t="s">
        <v>795</v>
      </c>
      <c r="B179" s="54"/>
      <c r="C179" s="54">
        <v>251</v>
      </c>
      <c r="D179" s="54" t="s">
        <v>351</v>
      </c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  <c r="AC179" s="54"/>
      <c r="AD179" s="54"/>
      <c r="AE179" s="54"/>
      <c r="AF179" s="54"/>
      <c r="AG179" s="54"/>
      <c r="AH179" s="54"/>
      <c r="AI179" s="54"/>
      <c r="AJ179" s="54"/>
      <c r="AK179" s="54"/>
    </row>
    <row r="180" spans="1:37" hidden="1" x14ac:dyDescent="0.35">
      <c r="A180" t="s">
        <v>796</v>
      </c>
      <c r="B180" s="54"/>
      <c r="C180" s="54">
        <v>252</v>
      </c>
      <c r="D180" s="54" t="s">
        <v>352</v>
      </c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  <c r="AB180" s="54"/>
      <c r="AC180" s="54"/>
      <c r="AD180" s="54"/>
      <c r="AE180" s="54"/>
      <c r="AF180" s="54"/>
      <c r="AG180" s="54"/>
      <c r="AH180" s="54"/>
      <c r="AI180" s="54"/>
      <c r="AJ180" s="54"/>
      <c r="AK180" s="54"/>
    </row>
    <row r="181" spans="1:37" hidden="1" x14ac:dyDescent="0.35">
      <c r="A181" t="s">
        <v>797</v>
      </c>
      <c r="B181" s="54"/>
      <c r="C181" s="54">
        <v>253</v>
      </c>
      <c r="D181" s="54" t="s">
        <v>353</v>
      </c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  <c r="AC181" s="54"/>
      <c r="AD181" s="54"/>
      <c r="AE181" s="54"/>
      <c r="AF181" s="54"/>
      <c r="AG181" s="54"/>
      <c r="AH181" s="54"/>
      <c r="AI181" s="54"/>
      <c r="AJ181" s="54"/>
      <c r="AK181" s="54"/>
    </row>
    <row r="182" spans="1:37" hidden="1" x14ac:dyDescent="0.35">
      <c r="A182" t="s">
        <v>798</v>
      </c>
      <c r="B182" s="54"/>
      <c r="C182" s="54">
        <v>254</v>
      </c>
      <c r="D182" s="54" t="s">
        <v>354</v>
      </c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54"/>
      <c r="AH182" s="54"/>
      <c r="AI182" s="54"/>
      <c r="AJ182" s="54"/>
      <c r="AK182" s="54"/>
    </row>
    <row r="183" spans="1:37" hidden="1" x14ac:dyDescent="0.35">
      <c r="A183" t="s">
        <v>799</v>
      </c>
      <c r="B183" s="54"/>
      <c r="C183" s="54">
        <v>255</v>
      </c>
      <c r="D183" s="54" t="s">
        <v>355</v>
      </c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54"/>
      <c r="AH183" s="54"/>
      <c r="AI183" s="54"/>
      <c r="AJ183" s="54"/>
      <c r="AK183" s="54"/>
    </row>
    <row r="184" spans="1:37" hidden="1" x14ac:dyDescent="0.35">
      <c r="A184" t="s">
        <v>800</v>
      </c>
      <c r="B184" s="54"/>
      <c r="C184" s="54">
        <v>256</v>
      </c>
      <c r="D184" s="54" t="s">
        <v>356</v>
      </c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</row>
    <row r="185" spans="1:37" hidden="1" x14ac:dyDescent="0.35">
      <c r="A185" t="s">
        <v>202</v>
      </c>
      <c r="B185" s="54"/>
      <c r="C185" s="54">
        <v>257</v>
      </c>
      <c r="D185" s="54" t="s">
        <v>357</v>
      </c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  <c r="AC185" s="54"/>
      <c r="AD185" s="54"/>
      <c r="AE185" s="54"/>
      <c r="AF185" s="54"/>
      <c r="AG185" s="54"/>
      <c r="AH185" s="54"/>
      <c r="AI185" s="54"/>
      <c r="AJ185" s="54"/>
      <c r="AK185" s="54"/>
    </row>
    <row r="186" spans="1:37" hidden="1" x14ac:dyDescent="0.35">
      <c r="A186" t="s">
        <v>203</v>
      </c>
      <c r="B186" s="54"/>
      <c r="C186" s="54">
        <v>258</v>
      </c>
      <c r="D186" s="54" t="s">
        <v>358</v>
      </c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</row>
    <row r="187" spans="1:37" hidden="1" x14ac:dyDescent="0.35">
      <c r="A187" t="s">
        <v>204</v>
      </c>
      <c r="B187" s="54"/>
      <c r="C187" s="54">
        <v>259</v>
      </c>
      <c r="D187" s="54" t="s">
        <v>359</v>
      </c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  <c r="AG187" s="54"/>
      <c r="AH187" s="54"/>
      <c r="AI187" s="54"/>
      <c r="AJ187" s="54"/>
      <c r="AK187" s="54"/>
    </row>
    <row r="188" spans="1:37" hidden="1" x14ac:dyDescent="0.35">
      <c r="A188" t="s">
        <v>205</v>
      </c>
      <c r="B188" s="54"/>
      <c r="C188" s="54">
        <v>260</v>
      </c>
      <c r="D188" s="54" t="s">
        <v>360</v>
      </c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</row>
    <row r="189" spans="1:37" hidden="1" x14ac:dyDescent="0.35">
      <c r="A189" t="s">
        <v>206</v>
      </c>
      <c r="B189" s="54"/>
      <c r="C189" s="54">
        <v>261</v>
      </c>
      <c r="D189" s="54" t="s">
        <v>361</v>
      </c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  <c r="AB189" s="54"/>
      <c r="AC189" s="54"/>
      <c r="AD189" s="54"/>
      <c r="AE189" s="54"/>
      <c r="AF189" s="54"/>
      <c r="AG189" s="54"/>
      <c r="AH189" s="54"/>
      <c r="AI189" s="54"/>
      <c r="AJ189" s="54"/>
      <c r="AK189" s="54"/>
    </row>
    <row r="190" spans="1:37" hidden="1" x14ac:dyDescent="0.35">
      <c r="A190" t="s">
        <v>207</v>
      </c>
      <c r="B190" s="54"/>
      <c r="C190" s="54">
        <v>262</v>
      </c>
      <c r="D190" s="54" t="s">
        <v>362</v>
      </c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  <c r="AB190" s="54"/>
      <c r="AC190" s="54"/>
      <c r="AD190" s="54"/>
      <c r="AE190" s="54"/>
      <c r="AF190" s="54"/>
      <c r="AG190" s="54"/>
      <c r="AH190" s="54"/>
      <c r="AI190" s="54"/>
      <c r="AJ190" s="54"/>
      <c r="AK190" s="54"/>
    </row>
    <row r="191" spans="1:37" hidden="1" x14ac:dyDescent="0.35">
      <c r="A191" t="s">
        <v>208</v>
      </c>
      <c r="B191" s="54"/>
      <c r="C191" s="54">
        <v>263</v>
      </c>
      <c r="D191" s="54" t="s">
        <v>363</v>
      </c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4"/>
      <c r="AB191" s="54"/>
      <c r="AC191" s="54"/>
      <c r="AD191" s="54"/>
      <c r="AE191" s="54"/>
      <c r="AF191" s="54"/>
      <c r="AG191" s="54"/>
      <c r="AH191" s="54"/>
      <c r="AI191" s="54"/>
      <c r="AJ191" s="54"/>
      <c r="AK191" s="54"/>
    </row>
    <row r="192" spans="1:37" hidden="1" x14ac:dyDescent="0.35">
      <c r="A192" t="s">
        <v>209</v>
      </c>
      <c r="B192" s="54"/>
      <c r="C192" s="54">
        <v>264</v>
      </c>
      <c r="D192" s="54" t="s">
        <v>364</v>
      </c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  <c r="AB192" s="54"/>
      <c r="AC192" s="54"/>
      <c r="AD192" s="54"/>
      <c r="AE192" s="54"/>
      <c r="AF192" s="54"/>
      <c r="AG192" s="54"/>
      <c r="AH192" s="54"/>
      <c r="AI192" s="54"/>
      <c r="AJ192" s="54"/>
      <c r="AK192" s="54"/>
    </row>
    <row r="193" spans="1:37" hidden="1" x14ac:dyDescent="0.35">
      <c r="A193" t="s">
        <v>210</v>
      </c>
      <c r="B193" s="54"/>
      <c r="C193" s="54">
        <v>265</v>
      </c>
      <c r="D193" s="54" t="s">
        <v>365</v>
      </c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  <c r="AC193" s="54"/>
      <c r="AD193" s="54"/>
      <c r="AE193" s="54"/>
      <c r="AF193" s="54"/>
      <c r="AG193" s="54"/>
      <c r="AH193" s="54"/>
      <c r="AI193" s="54"/>
      <c r="AJ193" s="54"/>
      <c r="AK193" s="54"/>
    </row>
    <row r="194" spans="1:37" hidden="1" x14ac:dyDescent="0.35">
      <c r="A194" t="s">
        <v>211</v>
      </c>
      <c r="B194" s="54"/>
      <c r="C194" s="54">
        <v>266</v>
      </c>
      <c r="D194" s="54" t="s">
        <v>366</v>
      </c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  <c r="AC194" s="54"/>
      <c r="AD194" s="54"/>
      <c r="AE194" s="54"/>
      <c r="AF194" s="54"/>
      <c r="AG194" s="54"/>
      <c r="AH194" s="54"/>
      <c r="AI194" s="54"/>
      <c r="AJ194" s="54"/>
      <c r="AK194" s="54"/>
    </row>
    <row r="195" spans="1:37" hidden="1" x14ac:dyDescent="0.35">
      <c r="A195" t="s">
        <v>212</v>
      </c>
      <c r="B195" s="54"/>
      <c r="C195" s="54">
        <v>267</v>
      </c>
      <c r="D195" s="54" t="s">
        <v>367</v>
      </c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  <c r="AB195" s="54"/>
      <c r="AC195" s="54"/>
      <c r="AD195" s="54"/>
      <c r="AE195" s="54"/>
      <c r="AF195" s="54"/>
      <c r="AG195" s="54"/>
      <c r="AH195" s="54"/>
      <c r="AI195" s="54"/>
      <c r="AJ195" s="54"/>
      <c r="AK195" s="54"/>
    </row>
    <row r="196" spans="1:37" hidden="1" x14ac:dyDescent="0.35">
      <c r="A196" t="s">
        <v>213</v>
      </c>
      <c r="B196" s="54"/>
      <c r="C196" s="54">
        <v>268</v>
      </c>
      <c r="D196" s="54" t="s">
        <v>368</v>
      </c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  <c r="AC196" s="54"/>
      <c r="AD196" s="54"/>
      <c r="AE196" s="54"/>
      <c r="AF196" s="54"/>
      <c r="AG196" s="54"/>
      <c r="AH196" s="54"/>
      <c r="AI196" s="54"/>
      <c r="AJ196" s="54"/>
      <c r="AK196" s="54"/>
    </row>
    <row r="197" spans="1:37" hidden="1" x14ac:dyDescent="0.35">
      <c r="A197" t="s">
        <v>214</v>
      </c>
      <c r="B197" s="54"/>
      <c r="C197" s="54">
        <v>269</v>
      </c>
      <c r="D197" s="54" t="s">
        <v>369</v>
      </c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</row>
    <row r="198" spans="1:37" hidden="1" x14ac:dyDescent="0.35">
      <c r="A198" t="s">
        <v>215</v>
      </c>
      <c r="B198" s="54"/>
      <c r="C198" s="54">
        <v>270</v>
      </c>
      <c r="D198" s="54" t="s">
        <v>370</v>
      </c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  <c r="AB198" s="54"/>
      <c r="AC198" s="54"/>
      <c r="AD198" s="54"/>
      <c r="AE198" s="54"/>
      <c r="AF198" s="54"/>
      <c r="AG198" s="54"/>
      <c r="AH198" s="54"/>
      <c r="AI198" s="54"/>
      <c r="AJ198" s="54"/>
      <c r="AK198" s="54"/>
    </row>
    <row r="199" spans="1:37" hidden="1" x14ac:dyDescent="0.35">
      <c r="A199" t="s">
        <v>216</v>
      </c>
      <c r="B199" s="54"/>
      <c r="C199" s="54">
        <v>271</v>
      </c>
      <c r="D199" s="54" t="s">
        <v>371</v>
      </c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  <c r="AC199" s="54"/>
      <c r="AD199" s="54"/>
      <c r="AE199" s="54"/>
      <c r="AF199" s="54"/>
      <c r="AG199" s="54"/>
      <c r="AH199" s="54"/>
      <c r="AI199" s="54"/>
      <c r="AJ199" s="54"/>
      <c r="AK199" s="54"/>
    </row>
    <row r="200" spans="1:37" hidden="1" x14ac:dyDescent="0.35">
      <c r="A200" t="s">
        <v>217</v>
      </c>
      <c r="B200" s="54"/>
      <c r="C200" s="54">
        <v>272</v>
      </c>
      <c r="D200" s="54" t="s">
        <v>372</v>
      </c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  <c r="AF200" s="54"/>
      <c r="AG200" s="54"/>
      <c r="AH200" s="54"/>
      <c r="AI200" s="54"/>
      <c r="AJ200" s="54"/>
      <c r="AK200" s="54"/>
    </row>
    <row r="201" spans="1:37" hidden="1" x14ac:dyDescent="0.35">
      <c r="A201" t="s">
        <v>801</v>
      </c>
      <c r="B201" s="54"/>
      <c r="C201" s="54">
        <v>273</v>
      </c>
      <c r="D201" s="54" t="s">
        <v>373</v>
      </c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  <c r="AC201" s="54"/>
      <c r="AD201" s="54"/>
      <c r="AE201" s="54"/>
      <c r="AF201" s="54"/>
      <c r="AG201" s="54"/>
      <c r="AH201" s="54"/>
      <c r="AI201" s="54"/>
      <c r="AJ201" s="54"/>
      <c r="AK201" s="54"/>
    </row>
    <row r="202" spans="1:37" hidden="1" x14ac:dyDescent="0.35">
      <c r="A202" t="s">
        <v>802</v>
      </c>
      <c r="B202" s="54"/>
      <c r="C202" s="54">
        <v>274</v>
      </c>
      <c r="D202" s="54" t="s">
        <v>374</v>
      </c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  <c r="AC202" s="54"/>
      <c r="AD202" s="54"/>
      <c r="AE202" s="54"/>
      <c r="AF202" s="54"/>
      <c r="AG202" s="54"/>
      <c r="AH202" s="54"/>
      <c r="AI202" s="54"/>
      <c r="AJ202" s="54"/>
      <c r="AK202" s="54"/>
    </row>
    <row r="203" spans="1:37" hidden="1" x14ac:dyDescent="0.35">
      <c r="A203" t="s">
        <v>218</v>
      </c>
      <c r="B203" s="54"/>
      <c r="C203" s="54">
        <v>275</v>
      </c>
      <c r="D203" s="54" t="s">
        <v>375</v>
      </c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  <c r="AE203" s="54"/>
      <c r="AF203" s="54"/>
      <c r="AG203" s="54"/>
      <c r="AH203" s="54"/>
      <c r="AI203" s="54"/>
      <c r="AJ203" s="54"/>
      <c r="AK203" s="54"/>
    </row>
    <row r="204" spans="1:37" hidden="1" x14ac:dyDescent="0.35">
      <c r="A204" t="s">
        <v>219</v>
      </c>
      <c r="B204" s="54"/>
      <c r="C204" s="54">
        <v>276</v>
      </c>
      <c r="D204" s="54" t="s">
        <v>376</v>
      </c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  <c r="AC204" s="54"/>
      <c r="AD204" s="54"/>
      <c r="AE204" s="54"/>
      <c r="AF204" s="54"/>
      <c r="AG204" s="54"/>
      <c r="AH204" s="54"/>
      <c r="AI204" s="54"/>
      <c r="AJ204" s="54"/>
      <c r="AK204" s="54"/>
    </row>
    <row r="205" spans="1:37" hidden="1" x14ac:dyDescent="0.35">
      <c r="A205" t="s">
        <v>220</v>
      </c>
      <c r="B205" s="54"/>
      <c r="C205" s="54">
        <v>277</v>
      </c>
      <c r="D205" s="54" t="s">
        <v>377</v>
      </c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  <c r="AC205" s="54"/>
      <c r="AD205" s="54"/>
      <c r="AE205" s="54"/>
      <c r="AF205" s="54"/>
      <c r="AG205" s="54"/>
      <c r="AH205" s="54"/>
      <c r="AI205" s="54"/>
      <c r="AJ205" s="54"/>
      <c r="AK205" s="54"/>
    </row>
    <row r="206" spans="1:37" hidden="1" x14ac:dyDescent="0.35">
      <c r="A206" t="s">
        <v>221</v>
      </c>
      <c r="B206" s="54"/>
      <c r="C206" s="54">
        <v>278</v>
      </c>
      <c r="D206" s="54" t="s">
        <v>378</v>
      </c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  <c r="AC206" s="54"/>
      <c r="AD206" s="54"/>
      <c r="AE206" s="54"/>
      <c r="AF206" s="54"/>
      <c r="AG206" s="54"/>
      <c r="AH206" s="54"/>
      <c r="AI206" s="54"/>
      <c r="AJ206" s="54"/>
      <c r="AK206" s="54"/>
    </row>
    <row r="207" spans="1:37" hidden="1" x14ac:dyDescent="0.35">
      <c r="A207" t="s">
        <v>222</v>
      </c>
      <c r="B207" s="54"/>
      <c r="C207" s="54">
        <v>279</v>
      </c>
      <c r="D207" s="54" t="s">
        <v>379</v>
      </c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  <c r="AF207" s="54"/>
      <c r="AG207" s="54"/>
      <c r="AH207" s="54"/>
      <c r="AI207" s="54"/>
      <c r="AJ207" s="54"/>
      <c r="AK207" s="54"/>
    </row>
    <row r="208" spans="1:37" hidden="1" x14ac:dyDescent="0.35">
      <c r="A208" t="s">
        <v>223</v>
      </c>
      <c r="B208" s="54"/>
      <c r="C208" s="54">
        <v>280</v>
      </c>
      <c r="D208" s="54" t="s">
        <v>380</v>
      </c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  <c r="AC208" s="54"/>
      <c r="AD208" s="54"/>
      <c r="AE208" s="54"/>
      <c r="AF208" s="54"/>
      <c r="AG208" s="54"/>
      <c r="AH208" s="54"/>
      <c r="AI208" s="54"/>
      <c r="AJ208" s="54"/>
      <c r="AK208" s="54"/>
    </row>
    <row r="209" spans="1:37" hidden="1" x14ac:dyDescent="0.35">
      <c r="A209" t="s">
        <v>224</v>
      </c>
      <c r="B209" s="54"/>
      <c r="C209" s="54">
        <v>281</v>
      </c>
      <c r="D209" s="54" t="s">
        <v>381</v>
      </c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  <c r="AG209" s="54"/>
      <c r="AH209" s="54"/>
      <c r="AI209" s="54"/>
      <c r="AJ209" s="54"/>
      <c r="AK209" s="54"/>
    </row>
    <row r="210" spans="1:37" hidden="1" x14ac:dyDescent="0.35">
      <c r="A210" t="s">
        <v>225</v>
      </c>
      <c r="B210" s="54"/>
      <c r="C210" s="54">
        <v>282</v>
      </c>
      <c r="D210" s="54" t="s">
        <v>382</v>
      </c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  <c r="AB210" s="54"/>
      <c r="AC210" s="54"/>
      <c r="AD210" s="54"/>
      <c r="AE210" s="54"/>
      <c r="AF210" s="54"/>
      <c r="AG210" s="54"/>
      <c r="AH210" s="54"/>
      <c r="AI210" s="54"/>
      <c r="AJ210" s="54"/>
      <c r="AK210" s="54"/>
    </row>
    <row r="211" spans="1:37" hidden="1" x14ac:dyDescent="0.35">
      <c r="A211" t="s">
        <v>226</v>
      </c>
      <c r="B211" s="54"/>
      <c r="C211" s="54">
        <v>283</v>
      </c>
      <c r="D211" s="54" t="s">
        <v>383</v>
      </c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  <c r="AB211" s="54"/>
      <c r="AC211" s="54"/>
      <c r="AD211" s="54"/>
      <c r="AE211" s="54"/>
      <c r="AF211" s="54"/>
      <c r="AG211" s="54"/>
      <c r="AH211" s="54"/>
      <c r="AI211" s="54"/>
      <c r="AJ211" s="54"/>
      <c r="AK211" s="54"/>
    </row>
    <row r="212" spans="1:37" hidden="1" x14ac:dyDescent="0.35">
      <c r="A212" t="s">
        <v>227</v>
      </c>
      <c r="B212" s="54"/>
      <c r="C212" s="54">
        <v>284</v>
      </c>
      <c r="D212" s="54" t="s">
        <v>384</v>
      </c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  <c r="AB212" s="54"/>
      <c r="AC212" s="54"/>
      <c r="AD212" s="54"/>
      <c r="AE212" s="54"/>
      <c r="AF212" s="54"/>
      <c r="AG212" s="54"/>
      <c r="AH212" s="54"/>
      <c r="AI212" s="54"/>
      <c r="AJ212" s="54"/>
      <c r="AK212" s="54"/>
    </row>
    <row r="213" spans="1:37" hidden="1" x14ac:dyDescent="0.35">
      <c r="A213" t="s">
        <v>228</v>
      </c>
      <c r="B213" s="54"/>
      <c r="C213" s="54">
        <v>285</v>
      </c>
      <c r="D213" s="54" t="s">
        <v>385</v>
      </c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  <c r="AB213" s="54"/>
      <c r="AC213" s="54"/>
      <c r="AD213" s="54"/>
      <c r="AE213" s="54"/>
      <c r="AF213" s="54"/>
      <c r="AG213" s="54"/>
      <c r="AH213" s="54"/>
      <c r="AI213" s="54"/>
      <c r="AJ213" s="54"/>
      <c r="AK213" s="54"/>
    </row>
    <row r="214" spans="1:37" hidden="1" x14ac:dyDescent="0.35">
      <c r="A214" t="s">
        <v>229</v>
      </c>
      <c r="B214" s="54"/>
      <c r="C214" s="54">
        <v>286</v>
      </c>
      <c r="D214" s="54" t="s">
        <v>386</v>
      </c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  <c r="AC214" s="54"/>
      <c r="AD214" s="54"/>
      <c r="AE214" s="54"/>
      <c r="AF214" s="54"/>
      <c r="AG214" s="54"/>
      <c r="AH214" s="54"/>
      <c r="AI214" s="54"/>
      <c r="AJ214" s="54"/>
      <c r="AK214" s="54"/>
    </row>
    <row r="215" spans="1:37" hidden="1" x14ac:dyDescent="0.35">
      <c r="A215" t="s">
        <v>230</v>
      </c>
      <c r="B215" s="54"/>
      <c r="C215" s="54">
        <v>287</v>
      </c>
      <c r="D215" s="54" t="s">
        <v>387</v>
      </c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  <c r="AC215" s="54"/>
      <c r="AD215" s="54"/>
      <c r="AE215" s="54"/>
      <c r="AF215" s="54"/>
      <c r="AG215" s="54"/>
      <c r="AH215" s="54"/>
      <c r="AI215" s="54"/>
      <c r="AJ215" s="54"/>
      <c r="AK215" s="54"/>
    </row>
    <row r="216" spans="1:37" hidden="1" x14ac:dyDescent="0.35">
      <c r="A216" t="s">
        <v>231</v>
      </c>
      <c r="B216" s="54"/>
      <c r="C216" s="54">
        <v>301</v>
      </c>
      <c r="D216" s="54" t="s">
        <v>388</v>
      </c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  <c r="AB216" s="54"/>
      <c r="AC216" s="54"/>
      <c r="AD216" s="54"/>
      <c r="AE216" s="54"/>
      <c r="AF216" s="54"/>
      <c r="AG216" s="54"/>
      <c r="AH216" s="54"/>
      <c r="AI216" s="54"/>
      <c r="AJ216" s="54"/>
      <c r="AK216" s="54"/>
    </row>
    <row r="217" spans="1:37" hidden="1" x14ac:dyDescent="0.35">
      <c r="A217" t="s">
        <v>232</v>
      </c>
      <c r="B217" s="54"/>
      <c r="C217" s="54">
        <v>302</v>
      </c>
      <c r="D217" s="54" t="s">
        <v>389</v>
      </c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  <c r="AC217" s="54"/>
      <c r="AD217" s="54"/>
      <c r="AE217" s="54"/>
      <c r="AF217" s="54"/>
      <c r="AG217" s="54"/>
      <c r="AH217" s="54"/>
      <c r="AI217" s="54"/>
      <c r="AJ217" s="54"/>
      <c r="AK217" s="54"/>
    </row>
    <row r="218" spans="1:37" hidden="1" x14ac:dyDescent="0.35">
      <c r="A218" t="s">
        <v>233</v>
      </c>
      <c r="B218" s="54"/>
      <c r="C218" s="54">
        <v>303</v>
      </c>
      <c r="D218" s="54" t="s">
        <v>390</v>
      </c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  <c r="AB218" s="54"/>
      <c r="AC218" s="54"/>
      <c r="AD218" s="54"/>
      <c r="AE218" s="54"/>
      <c r="AF218" s="54"/>
      <c r="AG218" s="54"/>
      <c r="AH218" s="54"/>
      <c r="AI218" s="54"/>
      <c r="AJ218" s="54"/>
      <c r="AK218" s="54"/>
    </row>
    <row r="219" spans="1:37" hidden="1" x14ac:dyDescent="0.35">
      <c r="A219" t="s">
        <v>234</v>
      </c>
      <c r="B219" s="54"/>
      <c r="C219" s="54">
        <v>304</v>
      </c>
      <c r="D219" s="54" t="s">
        <v>391</v>
      </c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  <c r="AC219" s="54"/>
      <c r="AD219" s="54"/>
      <c r="AE219" s="54"/>
      <c r="AF219" s="54"/>
      <c r="AG219" s="54"/>
      <c r="AH219" s="54"/>
      <c r="AI219" s="54"/>
      <c r="AJ219" s="54"/>
      <c r="AK219" s="54"/>
    </row>
    <row r="220" spans="1:37" hidden="1" x14ac:dyDescent="0.35">
      <c r="A220" t="s">
        <v>235</v>
      </c>
      <c r="B220" s="54"/>
      <c r="C220" s="54">
        <v>305</v>
      </c>
      <c r="D220" s="54" t="s">
        <v>392</v>
      </c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  <c r="AB220" s="54"/>
      <c r="AC220" s="54"/>
      <c r="AD220" s="54"/>
      <c r="AE220" s="54"/>
      <c r="AF220" s="54"/>
      <c r="AG220" s="54"/>
      <c r="AH220" s="54"/>
      <c r="AI220" s="54"/>
      <c r="AJ220" s="54"/>
      <c r="AK220" s="54"/>
    </row>
    <row r="221" spans="1:37" hidden="1" x14ac:dyDescent="0.35">
      <c r="A221" t="s">
        <v>236</v>
      </c>
      <c r="B221" s="54"/>
      <c r="C221" s="54">
        <v>306</v>
      </c>
      <c r="D221" s="54" t="s">
        <v>393</v>
      </c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  <c r="AC221" s="54"/>
      <c r="AD221" s="54"/>
      <c r="AE221" s="54"/>
      <c r="AF221" s="54"/>
      <c r="AG221" s="54"/>
      <c r="AH221" s="54"/>
      <c r="AI221" s="54"/>
      <c r="AJ221" s="54"/>
      <c r="AK221" s="54"/>
    </row>
    <row r="222" spans="1:37" hidden="1" x14ac:dyDescent="0.35">
      <c r="A222" t="s">
        <v>237</v>
      </c>
      <c r="B222" s="54"/>
      <c r="C222" s="54">
        <v>307</v>
      </c>
      <c r="D222" s="54" t="s">
        <v>394</v>
      </c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  <c r="AB222" s="54"/>
      <c r="AC222" s="54"/>
      <c r="AD222" s="54"/>
      <c r="AE222" s="54"/>
      <c r="AF222" s="54"/>
      <c r="AG222" s="54"/>
      <c r="AH222" s="54"/>
      <c r="AI222" s="54"/>
      <c r="AJ222" s="54"/>
      <c r="AK222" s="54"/>
    </row>
    <row r="223" spans="1:37" hidden="1" x14ac:dyDescent="0.35">
      <c r="A223" t="s">
        <v>238</v>
      </c>
      <c r="B223" s="54"/>
      <c r="C223" s="54">
        <v>308</v>
      </c>
      <c r="D223" s="54" t="s">
        <v>395</v>
      </c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  <c r="AB223" s="54"/>
      <c r="AC223" s="54"/>
      <c r="AD223" s="54"/>
      <c r="AE223" s="54"/>
      <c r="AF223" s="54"/>
      <c r="AG223" s="54"/>
      <c r="AH223" s="54"/>
      <c r="AI223" s="54"/>
      <c r="AJ223" s="54"/>
      <c r="AK223" s="54"/>
    </row>
    <row r="224" spans="1:37" hidden="1" x14ac:dyDescent="0.35">
      <c r="A224" t="s">
        <v>239</v>
      </c>
      <c r="B224" s="54"/>
      <c r="C224" s="54">
        <v>309</v>
      </c>
      <c r="D224" s="54" t="s">
        <v>396</v>
      </c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  <c r="AC224" s="54"/>
      <c r="AD224" s="54"/>
      <c r="AE224" s="54"/>
      <c r="AF224" s="54"/>
      <c r="AG224" s="54"/>
      <c r="AH224" s="54"/>
      <c r="AI224" s="54"/>
      <c r="AJ224" s="54"/>
      <c r="AK224" s="54"/>
    </row>
    <row r="225" spans="1:37" hidden="1" x14ac:dyDescent="0.35">
      <c r="A225" t="s">
        <v>240</v>
      </c>
      <c r="B225" s="54"/>
      <c r="C225" s="54">
        <v>310</v>
      </c>
      <c r="D225" s="54" t="s">
        <v>397</v>
      </c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  <c r="AC225" s="54"/>
      <c r="AD225" s="54"/>
      <c r="AE225" s="54"/>
      <c r="AF225" s="54"/>
      <c r="AG225" s="54"/>
      <c r="AH225" s="54"/>
      <c r="AI225" s="54"/>
      <c r="AJ225" s="54"/>
      <c r="AK225" s="54"/>
    </row>
    <row r="226" spans="1:37" hidden="1" x14ac:dyDescent="0.35">
      <c r="A226" t="s">
        <v>241</v>
      </c>
      <c r="B226" s="54"/>
      <c r="C226" s="54">
        <v>311</v>
      </c>
      <c r="D226" s="54" t="s">
        <v>398</v>
      </c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  <c r="AC226" s="54"/>
      <c r="AD226" s="54"/>
      <c r="AE226" s="54"/>
      <c r="AF226" s="54"/>
      <c r="AG226" s="54"/>
      <c r="AH226" s="54"/>
      <c r="AI226" s="54"/>
      <c r="AJ226" s="54"/>
      <c r="AK226" s="54"/>
    </row>
    <row r="227" spans="1:37" hidden="1" x14ac:dyDescent="0.35">
      <c r="A227" t="s">
        <v>242</v>
      </c>
      <c r="B227" s="54"/>
      <c r="C227" s="54">
        <v>312</v>
      </c>
      <c r="D227" s="54" t="s">
        <v>399</v>
      </c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  <c r="AC227" s="54"/>
      <c r="AD227" s="54"/>
      <c r="AE227" s="54"/>
      <c r="AF227" s="54"/>
      <c r="AG227" s="54"/>
      <c r="AH227" s="54"/>
      <c r="AI227" s="54"/>
      <c r="AJ227" s="54"/>
      <c r="AK227" s="54"/>
    </row>
    <row r="228" spans="1:37" hidden="1" x14ac:dyDescent="0.35">
      <c r="A228" t="s">
        <v>243</v>
      </c>
      <c r="B228" s="54"/>
      <c r="C228" s="54">
        <v>313</v>
      </c>
      <c r="D228" s="54" t="s">
        <v>400</v>
      </c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  <c r="AC228" s="54"/>
      <c r="AD228" s="54"/>
      <c r="AE228" s="54"/>
      <c r="AF228" s="54"/>
      <c r="AG228" s="54"/>
      <c r="AH228" s="54"/>
      <c r="AI228" s="54"/>
      <c r="AJ228" s="54"/>
      <c r="AK228" s="54"/>
    </row>
    <row r="229" spans="1:37" hidden="1" x14ac:dyDescent="0.35">
      <c r="A229" t="s">
        <v>244</v>
      </c>
      <c r="B229" s="54"/>
      <c r="C229" s="54">
        <v>314</v>
      </c>
      <c r="D229" s="54" t="s">
        <v>401</v>
      </c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  <c r="AB229" s="54"/>
      <c r="AC229" s="54"/>
      <c r="AD229" s="54"/>
      <c r="AE229" s="54"/>
      <c r="AF229" s="54"/>
      <c r="AG229" s="54"/>
      <c r="AH229" s="54"/>
      <c r="AI229" s="54"/>
      <c r="AJ229" s="54"/>
      <c r="AK229" s="54"/>
    </row>
    <row r="230" spans="1:37" hidden="1" x14ac:dyDescent="0.35">
      <c r="A230" t="s">
        <v>245</v>
      </c>
      <c r="B230" s="54"/>
      <c r="C230" s="54">
        <v>315</v>
      </c>
      <c r="D230" s="54" t="s">
        <v>402</v>
      </c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  <c r="AC230" s="54"/>
      <c r="AD230" s="54"/>
      <c r="AE230" s="54"/>
      <c r="AF230" s="54"/>
      <c r="AG230" s="54"/>
      <c r="AH230" s="54"/>
      <c r="AI230" s="54"/>
      <c r="AJ230" s="54"/>
      <c r="AK230" s="54"/>
    </row>
    <row r="231" spans="1:37" hidden="1" x14ac:dyDescent="0.35">
      <c r="A231" t="s">
        <v>246</v>
      </c>
      <c r="B231" s="54"/>
      <c r="C231" s="54">
        <v>316</v>
      </c>
      <c r="D231" s="54" t="s">
        <v>403</v>
      </c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  <c r="AB231" s="54"/>
      <c r="AC231" s="54"/>
      <c r="AD231" s="54"/>
      <c r="AE231" s="54"/>
      <c r="AF231" s="54"/>
      <c r="AG231" s="54"/>
      <c r="AH231" s="54"/>
      <c r="AI231" s="54"/>
      <c r="AJ231" s="54"/>
      <c r="AK231" s="54"/>
    </row>
    <row r="232" spans="1:37" hidden="1" x14ac:dyDescent="0.35">
      <c r="A232" t="s">
        <v>247</v>
      </c>
      <c r="B232" s="54"/>
      <c r="C232" s="54">
        <v>401</v>
      </c>
      <c r="D232" s="54" t="s">
        <v>404</v>
      </c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  <c r="AB232" s="54"/>
      <c r="AC232" s="54"/>
      <c r="AD232" s="54"/>
      <c r="AE232" s="54"/>
      <c r="AF232" s="54"/>
      <c r="AG232" s="54"/>
      <c r="AH232" s="54"/>
      <c r="AI232" s="54"/>
      <c r="AJ232" s="54"/>
      <c r="AK232" s="54"/>
    </row>
    <row r="233" spans="1:37" hidden="1" x14ac:dyDescent="0.35">
      <c r="A233" t="s">
        <v>248</v>
      </c>
      <c r="B233" s="54"/>
      <c r="C233" s="54">
        <v>402</v>
      </c>
      <c r="D233" s="54" t="s">
        <v>405</v>
      </c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  <c r="AC233" s="54"/>
      <c r="AD233" s="54"/>
      <c r="AE233" s="54"/>
      <c r="AF233" s="54"/>
      <c r="AG233" s="54"/>
      <c r="AH233" s="54"/>
      <c r="AI233" s="54"/>
      <c r="AJ233" s="54"/>
      <c r="AK233" s="54"/>
    </row>
    <row r="234" spans="1:37" hidden="1" x14ac:dyDescent="0.35">
      <c r="A234" t="s">
        <v>249</v>
      </c>
      <c r="B234" s="54"/>
      <c r="C234" s="54">
        <v>403</v>
      </c>
      <c r="D234" s="54" t="s">
        <v>406</v>
      </c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  <c r="AE234" s="54"/>
      <c r="AF234" s="54"/>
      <c r="AG234" s="54"/>
      <c r="AH234" s="54"/>
      <c r="AI234" s="54"/>
      <c r="AJ234" s="54"/>
      <c r="AK234" s="54"/>
    </row>
    <row r="235" spans="1:37" hidden="1" x14ac:dyDescent="0.35">
      <c r="A235" t="s">
        <v>250</v>
      </c>
      <c r="B235" s="54"/>
      <c r="C235" s="54">
        <v>404</v>
      </c>
      <c r="D235" s="54" t="s">
        <v>407</v>
      </c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  <c r="AE235" s="54"/>
      <c r="AF235" s="54"/>
      <c r="AG235" s="54"/>
      <c r="AH235" s="54"/>
      <c r="AI235" s="54"/>
      <c r="AJ235" s="54"/>
      <c r="AK235" s="54"/>
    </row>
    <row r="236" spans="1:37" hidden="1" x14ac:dyDescent="0.35">
      <c r="A236" t="s">
        <v>251</v>
      </c>
      <c r="B236" s="54"/>
      <c r="C236" s="54">
        <v>405</v>
      </c>
      <c r="D236" s="54" t="s">
        <v>408</v>
      </c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  <c r="AC236" s="54"/>
      <c r="AD236" s="54"/>
      <c r="AE236" s="54"/>
      <c r="AF236" s="54"/>
      <c r="AG236" s="54"/>
      <c r="AH236" s="54"/>
      <c r="AI236" s="54"/>
      <c r="AJ236" s="54"/>
      <c r="AK236" s="54"/>
    </row>
    <row r="237" spans="1:37" hidden="1" x14ac:dyDescent="0.35">
      <c r="A237" t="s">
        <v>252</v>
      </c>
      <c r="B237" s="54"/>
      <c r="C237" s="54">
        <v>406</v>
      </c>
      <c r="D237" s="54" t="s">
        <v>409</v>
      </c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  <c r="AE237" s="54"/>
      <c r="AF237" s="54"/>
      <c r="AG237" s="54"/>
      <c r="AH237" s="54"/>
      <c r="AI237" s="54"/>
      <c r="AJ237" s="54"/>
      <c r="AK237" s="54"/>
    </row>
    <row r="238" spans="1:37" hidden="1" x14ac:dyDescent="0.35">
      <c r="A238" t="s">
        <v>253</v>
      </c>
      <c r="B238" s="54"/>
      <c r="C238" s="54">
        <v>407</v>
      </c>
      <c r="D238" s="54" t="s">
        <v>410</v>
      </c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  <c r="AE238" s="54"/>
      <c r="AF238" s="54"/>
      <c r="AG238" s="54"/>
      <c r="AH238" s="54"/>
      <c r="AI238" s="54"/>
      <c r="AJ238" s="54"/>
      <c r="AK238" s="54"/>
    </row>
    <row r="239" spans="1:37" hidden="1" x14ac:dyDescent="0.35">
      <c r="A239" t="s">
        <v>254</v>
      </c>
      <c r="B239" s="54"/>
      <c r="C239" s="54">
        <v>501</v>
      </c>
      <c r="D239" s="54" t="s">
        <v>411</v>
      </c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  <c r="AE239" s="54"/>
      <c r="AF239" s="54"/>
      <c r="AG239" s="54"/>
      <c r="AH239" s="54"/>
      <c r="AI239" s="54"/>
      <c r="AJ239" s="54"/>
      <c r="AK239" s="54"/>
    </row>
    <row r="240" spans="1:37" hidden="1" x14ac:dyDescent="0.35">
      <c r="A240" t="s">
        <v>255</v>
      </c>
      <c r="B240" s="54"/>
      <c r="C240" s="54">
        <v>502</v>
      </c>
      <c r="D240" s="54" t="s">
        <v>412</v>
      </c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  <c r="AE240" s="54"/>
      <c r="AF240" s="54"/>
      <c r="AG240" s="54"/>
      <c r="AH240" s="54"/>
      <c r="AI240" s="54"/>
      <c r="AJ240" s="54"/>
      <c r="AK240" s="54"/>
    </row>
    <row r="241" spans="1:37" hidden="1" x14ac:dyDescent="0.35">
      <c r="A241" t="s">
        <v>256</v>
      </c>
      <c r="B241" s="54"/>
      <c r="C241" s="54">
        <v>503</v>
      </c>
      <c r="D241" s="54" t="s">
        <v>413</v>
      </c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  <c r="AE241" s="54"/>
      <c r="AF241" s="54"/>
      <c r="AG241" s="54"/>
      <c r="AH241" s="54"/>
      <c r="AI241" s="54"/>
      <c r="AJ241" s="54"/>
      <c r="AK241" s="54"/>
    </row>
    <row r="242" spans="1:37" hidden="1" x14ac:dyDescent="0.35">
      <c r="A242" t="s">
        <v>257</v>
      </c>
      <c r="B242" s="54"/>
      <c r="C242" s="54">
        <v>504</v>
      </c>
      <c r="D242" s="54" t="s">
        <v>414</v>
      </c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  <c r="AE242" s="54"/>
      <c r="AF242" s="54"/>
      <c r="AG242" s="54"/>
      <c r="AH242" s="54"/>
      <c r="AI242" s="54"/>
      <c r="AJ242" s="54"/>
      <c r="AK242" s="54"/>
    </row>
    <row r="243" spans="1:37" hidden="1" x14ac:dyDescent="0.35">
      <c r="A243" t="s">
        <v>258</v>
      </c>
      <c r="B243" s="54"/>
      <c r="C243" s="54">
        <v>505</v>
      </c>
      <c r="D243" s="54" t="s">
        <v>415</v>
      </c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  <c r="AE243" s="54"/>
      <c r="AF243" s="54"/>
      <c r="AG243" s="54"/>
      <c r="AH243" s="54"/>
      <c r="AI243" s="54"/>
      <c r="AJ243" s="54"/>
      <c r="AK243" s="54"/>
    </row>
    <row r="244" spans="1:37" hidden="1" x14ac:dyDescent="0.35">
      <c r="A244" t="s">
        <v>259</v>
      </c>
      <c r="B244" s="54"/>
      <c r="C244" s="54">
        <v>506</v>
      </c>
      <c r="D244" s="54" t="s">
        <v>416</v>
      </c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  <c r="AE244" s="54"/>
      <c r="AF244" s="54"/>
      <c r="AG244" s="54"/>
      <c r="AH244" s="54"/>
      <c r="AI244" s="54"/>
      <c r="AJ244" s="54"/>
      <c r="AK244" s="54"/>
    </row>
    <row r="245" spans="1:37" hidden="1" x14ac:dyDescent="0.35">
      <c r="A245" t="s">
        <v>260</v>
      </c>
      <c r="B245" s="54"/>
      <c r="C245" s="54">
        <v>507</v>
      </c>
      <c r="D245" s="54" t="s">
        <v>417</v>
      </c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  <c r="AE245" s="54"/>
      <c r="AF245" s="54"/>
      <c r="AG245" s="54"/>
      <c r="AH245" s="54"/>
      <c r="AI245" s="54"/>
      <c r="AJ245" s="54"/>
      <c r="AK245" s="54"/>
    </row>
    <row r="246" spans="1:37" hidden="1" x14ac:dyDescent="0.35">
      <c r="A246" t="s">
        <v>261</v>
      </c>
      <c r="B246" s="54"/>
      <c r="C246" s="54">
        <v>508</v>
      </c>
      <c r="D246" s="54" t="s">
        <v>418</v>
      </c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  <c r="AE246" s="54"/>
      <c r="AF246" s="54"/>
      <c r="AG246" s="54"/>
      <c r="AH246" s="54"/>
      <c r="AI246" s="54"/>
      <c r="AJ246" s="54"/>
      <c r="AK246" s="54"/>
    </row>
    <row r="247" spans="1:37" hidden="1" x14ac:dyDescent="0.35">
      <c r="A247" t="s">
        <v>262</v>
      </c>
      <c r="B247" s="54"/>
      <c r="C247" s="54">
        <v>509</v>
      </c>
      <c r="D247" s="54" t="s">
        <v>419</v>
      </c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  <c r="AG247" s="54"/>
      <c r="AH247" s="54"/>
      <c r="AI247" s="54"/>
      <c r="AJ247" s="54"/>
      <c r="AK247" s="54"/>
    </row>
    <row r="248" spans="1:37" hidden="1" x14ac:dyDescent="0.35">
      <c r="A248" t="s">
        <v>263</v>
      </c>
      <c r="B248" s="54"/>
      <c r="C248" s="54">
        <v>510</v>
      </c>
      <c r="D248" s="54" t="s">
        <v>420</v>
      </c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54"/>
      <c r="AC248" s="54"/>
      <c r="AD248" s="54"/>
      <c r="AE248" s="54"/>
      <c r="AF248" s="54"/>
      <c r="AG248" s="54"/>
      <c r="AH248" s="54"/>
      <c r="AI248" s="54"/>
      <c r="AJ248" s="54"/>
      <c r="AK248" s="54"/>
    </row>
    <row r="249" spans="1:37" hidden="1" x14ac:dyDescent="0.35">
      <c r="A249" t="s">
        <v>264</v>
      </c>
      <c r="B249" s="54"/>
      <c r="C249" s="54">
        <v>511</v>
      </c>
      <c r="D249" s="54" t="s">
        <v>421</v>
      </c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  <c r="AC249" s="54"/>
      <c r="AD249" s="54"/>
      <c r="AE249" s="54"/>
      <c r="AF249" s="54"/>
      <c r="AG249" s="54"/>
      <c r="AH249" s="54"/>
      <c r="AI249" s="54"/>
      <c r="AJ249" s="54"/>
      <c r="AK249" s="54"/>
    </row>
    <row r="250" spans="1:37" hidden="1" x14ac:dyDescent="0.35">
      <c r="A250" s="54" t="s">
        <v>265</v>
      </c>
      <c r="B250" s="54"/>
      <c r="C250" s="54">
        <v>512</v>
      </c>
      <c r="D250" s="54" t="s">
        <v>422</v>
      </c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  <c r="AC250" s="54"/>
      <c r="AD250" s="54"/>
      <c r="AE250" s="54"/>
      <c r="AF250" s="54"/>
      <c r="AG250" s="54"/>
      <c r="AH250" s="54"/>
      <c r="AI250" s="54"/>
      <c r="AJ250" s="54"/>
      <c r="AK250" s="54"/>
    </row>
    <row r="251" spans="1:37" hidden="1" x14ac:dyDescent="0.35">
      <c r="A251" s="54" t="s">
        <v>266</v>
      </c>
      <c r="B251" s="54"/>
      <c r="C251" s="54">
        <v>513</v>
      </c>
      <c r="D251" s="54" t="s">
        <v>423</v>
      </c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  <c r="AE251" s="54"/>
      <c r="AF251" s="54"/>
      <c r="AG251" s="54"/>
      <c r="AH251" s="54"/>
      <c r="AI251" s="54"/>
      <c r="AJ251" s="54"/>
      <c r="AK251" s="54"/>
    </row>
    <row r="252" spans="1:37" hidden="1" x14ac:dyDescent="0.35">
      <c r="A252" s="54" t="s">
        <v>267</v>
      </c>
      <c r="B252" s="54"/>
      <c r="C252" s="54">
        <v>514</v>
      </c>
      <c r="D252" s="54" t="s">
        <v>424</v>
      </c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  <c r="AC252" s="54"/>
      <c r="AD252" s="54"/>
      <c r="AE252" s="54"/>
      <c r="AF252" s="54"/>
      <c r="AG252" s="54"/>
      <c r="AH252" s="54"/>
      <c r="AI252" s="54"/>
      <c r="AJ252" s="54"/>
      <c r="AK252" s="54"/>
    </row>
    <row r="253" spans="1:37" hidden="1" x14ac:dyDescent="0.35">
      <c r="A253" s="54" t="s">
        <v>268</v>
      </c>
      <c r="B253" s="54"/>
      <c r="C253" s="54">
        <v>515</v>
      </c>
      <c r="D253" s="54" t="s">
        <v>425</v>
      </c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  <c r="AC253" s="54"/>
      <c r="AD253" s="54"/>
      <c r="AE253" s="54"/>
      <c r="AF253" s="54"/>
      <c r="AG253" s="54"/>
      <c r="AH253" s="54"/>
      <c r="AI253" s="54"/>
      <c r="AJ253" s="54"/>
      <c r="AK253" s="54"/>
    </row>
    <row r="254" spans="1:37" hidden="1" x14ac:dyDescent="0.35">
      <c r="A254" s="54" t="s">
        <v>269</v>
      </c>
      <c r="B254" s="54"/>
      <c r="C254" s="54">
        <v>516</v>
      </c>
      <c r="D254" s="54" t="s">
        <v>426</v>
      </c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  <c r="AC254" s="54"/>
      <c r="AD254" s="54"/>
      <c r="AE254" s="54"/>
      <c r="AF254" s="54"/>
      <c r="AG254" s="54"/>
      <c r="AH254" s="54"/>
      <c r="AI254" s="54"/>
      <c r="AJ254" s="54"/>
      <c r="AK254" s="54"/>
    </row>
    <row r="255" spans="1:37" hidden="1" x14ac:dyDescent="0.35">
      <c r="A255" s="54" t="s">
        <v>270</v>
      </c>
      <c r="B255" s="54"/>
      <c r="C255" s="54">
        <v>517</v>
      </c>
      <c r="D255" s="54" t="s">
        <v>427</v>
      </c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  <c r="AC255" s="54"/>
      <c r="AD255" s="54"/>
      <c r="AE255" s="54"/>
      <c r="AF255" s="54"/>
      <c r="AG255" s="54"/>
      <c r="AH255" s="54"/>
      <c r="AI255" s="54"/>
      <c r="AJ255" s="54"/>
      <c r="AK255" s="54"/>
    </row>
    <row r="256" spans="1:37" hidden="1" x14ac:dyDescent="0.35">
      <c r="A256" s="54" t="s">
        <v>271</v>
      </c>
      <c r="B256" s="54"/>
      <c r="C256" s="54">
        <v>518</v>
      </c>
      <c r="D256" s="54" t="s">
        <v>428</v>
      </c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  <c r="AC256" s="54"/>
      <c r="AD256" s="54"/>
      <c r="AE256" s="54"/>
      <c r="AF256" s="54"/>
      <c r="AG256" s="54"/>
      <c r="AH256" s="54"/>
      <c r="AI256" s="54"/>
      <c r="AJ256" s="54"/>
      <c r="AK256" s="54"/>
    </row>
    <row r="257" spans="1:37" hidden="1" x14ac:dyDescent="0.35">
      <c r="A257" s="54" t="s">
        <v>272</v>
      </c>
      <c r="B257" s="54"/>
      <c r="C257" s="54">
        <v>519</v>
      </c>
      <c r="D257" s="54" t="s">
        <v>429</v>
      </c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  <c r="AC257" s="54"/>
      <c r="AD257" s="54"/>
      <c r="AE257" s="54"/>
      <c r="AF257" s="54"/>
      <c r="AG257" s="54"/>
      <c r="AH257" s="54"/>
      <c r="AI257" s="54"/>
      <c r="AJ257" s="54"/>
      <c r="AK257" s="54"/>
    </row>
    <row r="258" spans="1:37" hidden="1" x14ac:dyDescent="0.35">
      <c r="A258" s="54" t="s">
        <v>273</v>
      </c>
      <c r="B258" s="54"/>
      <c r="C258" s="54">
        <v>520</v>
      </c>
      <c r="D258" s="54" t="s">
        <v>430</v>
      </c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  <c r="AC258" s="54"/>
      <c r="AD258" s="54"/>
      <c r="AE258" s="54"/>
      <c r="AF258" s="54"/>
      <c r="AG258" s="54"/>
      <c r="AH258" s="54"/>
      <c r="AI258" s="54"/>
      <c r="AJ258" s="54"/>
      <c r="AK258" s="54"/>
    </row>
    <row r="259" spans="1:37" hidden="1" x14ac:dyDescent="0.35">
      <c r="A259" s="54" t="s">
        <v>274</v>
      </c>
      <c r="B259" s="54"/>
      <c r="C259" s="54">
        <v>521</v>
      </c>
      <c r="D259" s="54" t="s">
        <v>431</v>
      </c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  <c r="AC259" s="54"/>
      <c r="AD259" s="54"/>
      <c r="AE259" s="54"/>
      <c r="AF259" s="54"/>
      <c r="AG259" s="54"/>
      <c r="AH259" s="54"/>
      <c r="AI259" s="54"/>
      <c r="AJ259" s="54"/>
      <c r="AK259" s="54"/>
    </row>
    <row r="260" spans="1:37" hidden="1" x14ac:dyDescent="0.35">
      <c r="A260" s="54"/>
      <c r="B260" s="54"/>
      <c r="C260" s="54">
        <v>522</v>
      </c>
      <c r="D260" s="54" t="s">
        <v>432</v>
      </c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  <c r="AC260" s="54"/>
      <c r="AD260" s="54"/>
      <c r="AE260" s="54"/>
      <c r="AF260" s="54"/>
      <c r="AG260" s="54"/>
      <c r="AH260" s="54"/>
      <c r="AI260" s="54"/>
      <c r="AJ260" s="54"/>
      <c r="AK260" s="54"/>
    </row>
    <row r="261" spans="1:37" hidden="1" x14ac:dyDescent="0.35">
      <c r="A261" s="54"/>
      <c r="B261" s="54"/>
      <c r="C261" s="54">
        <v>523</v>
      </c>
      <c r="D261" s="54" t="s">
        <v>433</v>
      </c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  <c r="AC261" s="54"/>
      <c r="AD261" s="54"/>
      <c r="AE261" s="54"/>
      <c r="AF261" s="54"/>
      <c r="AG261" s="54"/>
      <c r="AH261" s="54"/>
      <c r="AI261" s="54"/>
      <c r="AJ261" s="54"/>
      <c r="AK261" s="54"/>
    </row>
    <row r="262" spans="1:37" hidden="1" x14ac:dyDescent="0.35">
      <c r="A262" s="54"/>
      <c r="B262" s="54"/>
      <c r="C262" s="54">
        <v>524</v>
      </c>
      <c r="D262" s="54" t="s">
        <v>434</v>
      </c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  <c r="AB262" s="54"/>
      <c r="AC262" s="54"/>
      <c r="AD262" s="54"/>
      <c r="AE262" s="54"/>
      <c r="AF262" s="54"/>
      <c r="AG262" s="54"/>
      <c r="AH262" s="54"/>
      <c r="AI262" s="54"/>
      <c r="AJ262" s="54"/>
      <c r="AK262" s="54"/>
    </row>
    <row r="263" spans="1:37" hidden="1" x14ac:dyDescent="0.35">
      <c r="A263" s="54"/>
      <c r="B263" s="54"/>
      <c r="C263" s="54">
        <v>525</v>
      </c>
      <c r="D263" s="54" t="s">
        <v>435</v>
      </c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  <c r="AC263" s="54"/>
      <c r="AD263" s="54"/>
      <c r="AE263" s="54"/>
      <c r="AF263" s="54"/>
      <c r="AG263" s="54"/>
      <c r="AH263" s="54"/>
      <c r="AI263" s="54"/>
      <c r="AJ263" s="54"/>
      <c r="AK263" s="54"/>
    </row>
    <row r="264" spans="1:37" hidden="1" x14ac:dyDescent="0.35">
      <c r="A264" s="54"/>
      <c r="B264" s="54"/>
      <c r="C264" s="54">
        <v>526</v>
      </c>
      <c r="D264" s="54" t="s">
        <v>436</v>
      </c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  <c r="AB264" s="54"/>
      <c r="AC264" s="54"/>
      <c r="AD264" s="54"/>
      <c r="AE264" s="54"/>
      <c r="AF264" s="54"/>
      <c r="AG264" s="54"/>
      <c r="AH264" s="54"/>
      <c r="AI264" s="54"/>
      <c r="AJ264" s="54"/>
      <c r="AK264" s="54"/>
    </row>
    <row r="265" spans="1:37" hidden="1" x14ac:dyDescent="0.35">
      <c r="A265" s="54"/>
      <c r="B265" s="54"/>
      <c r="C265" s="54">
        <v>527</v>
      </c>
      <c r="D265" s="54" t="s">
        <v>437</v>
      </c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  <c r="AC265" s="54"/>
      <c r="AD265" s="54"/>
      <c r="AE265" s="54"/>
      <c r="AF265" s="54"/>
      <c r="AG265" s="54"/>
      <c r="AH265" s="54"/>
      <c r="AI265" s="54"/>
      <c r="AJ265" s="54"/>
      <c r="AK265" s="54"/>
    </row>
    <row r="266" spans="1:37" hidden="1" x14ac:dyDescent="0.35">
      <c r="A266" s="54"/>
      <c r="B266" s="54"/>
      <c r="C266" s="54">
        <v>528</v>
      </c>
      <c r="D266" s="54" t="s">
        <v>438</v>
      </c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  <c r="AB266" s="54"/>
      <c r="AC266" s="54"/>
      <c r="AD266" s="54"/>
      <c r="AE266" s="54"/>
      <c r="AF266" s="54"/>
      <c r="AG266" s="54"/>
      <c r="AH266" s="54"/>
      <c r="AI266" s="54"/>
      <c r="AJ266" s="54"/>
      <c r="AK266" s="54"/>
    </row>
    <row r="267" spans="1:37" hidden="1" x14ac:dyDescent="0.35">
      <c r="A267" s="54"/>
      <c r="B267" s="54"/>
      <c r="C267" s="54">
        <v>529</v>
      </c>
      <c r="D267" s="54" t="s">
        <v>439</v>
      </c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  <c r="AC267" s="54"/>
      <c r="AD267" s="54"/>
      <c r="AE267" s="54"/>
      <c r="AF267" s="54"/>
      <c r="AG267" s="54"/>
      <c r="AH267" s="54"/>
      <c r="AI267" s="54"/>
      <c r="AJ267" s="54"/>
      <c r="AK267" s="54"/>
    </row>
    <row r="268" spans="1:37" hidden="1" x14ac:dyDescent="0.35">
      <c r="A268" s="54"/>
      <c r="B268" s="54"/>
      <c r="C268" s="54">
        <v>530</v>
      </c>
      <c r="D268" s="54" t="s">
        <v>440</v>
      </c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  <c r="AC268" s="54"/>
      <c r="AD268" s="54"/>
      <c r="AE268" s="54"/>
      <c r="AF268" s="54"/>
      <c r="AG268" s="54"/>
      <c r="AH268" s="54"/>
      <c r="AI268" s="54"/>
      <c r="AJ268" s="54"/>
      <c r="AK268" s="54"/>
    </row>
    <row r="269" spans="1:37" hidden="1" x14ac:dyDescent="0.35">
      <c r="A269" s="54"/>
      <c r="B269" s="54"/>
      <c r="C269" s="54">
        <v>531</v>
      </c>
      <c r="D269" s="54" t="s">
        <v>441</v>
      </c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  <c r="AC269" s="54"/>
      <c r="AD269" s="54"/>
      <c r="AE269" s="54"/>
      <c r="AF269" s="54"/>
      <c r="AG269" s="54"/>
      <c r="AH269" s="54"/>
      <c r="AI269" s="54"/>
      <c r="AJ269" s="54"/>
      <c r="AK269" s="54"/>
    </row>
    <row r="270" spans="1:37" hidden="1" x14ac:dyDescent="0.35">
      <c r="A270" s="54"/>
      <c r="B270" s="54"/>
      <c r="C270" s="54">
        <v>532</v>
      </c>
      <c r="D270" s="54" t="s">
        <v>442</v>
      </c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  <c r="AF270" s="54"/>
      <c r="AG270" s="54"/>
      <c r="AH270" s="54"/>
      <c r="AI270" s="54"/>
      <c r="AJ270" s="54"/>
      <c r="AK270" s="54"/>
    </row>
    <row r="271" spans="1:37" hidden="1" x14ac:dyDescent="0.35">
      <c r="A271" s="54"/>
      <c r="B271" s="54"/>
      <c r="C271" s="54">
        <v>601</v>
      </c>
      <c r="D271" s="54" t="s">
        <v>443</v>
      </c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  <c r="AE271" s="54"/>
      <c r="AF271" s="54"/>
      <c r="AG271" s="54"/>
      <c r="AH271" s="54"/>
      <c r="AI271" s="54"/>
      <c r="AJ271" s="54"/>
      <c r="AK271" s="54"/>
    </row>
    <row r="272" spans="1:37" hidden="1" x14ac:dyDescent="0.35">
      <c r="A272" s="54"/>
      <c r="B272" s="54"/>
      <c r="C272" s="54">
        <v>602</v>
      </c>
      <c r="D272" s="54" t="s">
        <v>444</v>
      </c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  <c r="AG272" s="54"/>
      <c r="AH272" s="54"/>
      <c r="AI272" s="54"/>
      <c r="AJ272" s="54"/>
      <c r="AK272" s="54"/>
    </row>
    <row r="273" spans="1:37" hidden="1" x14ac:dyDescent="0.35">
      <c r="A273" s="54"/>
      <c r="B273" s="54"/>
      <c r="C273" s="54">
        <v>701</v>
      </c>
      <c r="D273" s="54" t="s">
        <v>445</v>
      </c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  <c r="AE273" s="54"/>
      <c r="AF273" s="54"/>
      <c r="AG273" s="54"/>
      <c r="AH273" s="54"/>
      <c r="AI273" s="54"/>
      <c r="AJ273" s="54"/>
      <c r="AK273" s="54"/>
    </row>
    <row r="274" spans="1:37" hidden="1" x14ac:dyDescent="0.35">
      <c r="A274" s="54"/>
      <c r="B274" s="54"/>
      <c r="C274" s="54">
        <v>702</v>
      </c>
      <c r="D274" s="54" t="s">
        <v>446</v>
      </c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  <c r="AC274" s="54"/>
      <c r="AD274" s="54"/>
      <c r="AE274" s="54"/>
      <c r="AF274" s="54"/>
      <c r="AG274" s="54"/>
      <c r="AH274" s="54"/>
      <c r="AI274" s="54"/>
      <c r="AJ274" s="54"/>
      <c r="AK274" s="54"/>
    </row>
    <row r="275" spans="1:37" hidden="1" x14ac:dyDescent="0.35">
      <c r="A275" s="54"/>
      <c r="B275" s="54"/>
      <c r="C275" s="54">
        <v>721</v>
      </c>
      <c r="D275" s="54" t="s">
        <v>447</v>
      </c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  <c r="AE275" s="54"/>
      <c r="AF275" s="54"/>
      <c r="AG275" s="54"/>
      <c r="AH275" s="54"/>
      <c r="AI275" s="54"/>
      <c r="AJ275" s="54"/>
      <c r="AK275" s="54"/>
    </row>
    <row r="276" spans="1:37" hidden="1" x14ac:dyDescent="0.35">
      <c r="A276" s="54"/>
      <c r="B276" s="54"/>
      <c r="C276" s="54">
        <v>800</v>
      </c>
      <c r="D276" s="54" t="s">
        <v>448</v>
      </c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  <c r="AE276" s="54"/>
      <c r="AF276" s="54"/>
      <c r="AG276" s="54"/>
      <c r="AH276" s="54"/>
      <c r="AI276" s="54"/>
      <c r="AJ276" s="54"/>
      <c r="AK276" s="54"/>
    </row>
    <row r="277" spans="1:37" hidden="1" x14ac:dyDescent="0.35">
      <c r="A277" s="54"/>
      <c r="B277" s="54"/>
      <c r="C277" s="54">
        <v>900</v>
      </c>
      <c r="D277" s="54" t="s">
        <v>449</v>
      </c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  <c r="AE277" s="54"/>
      <c r="AF277" s="54"/>
      <c r="AG277" s="54"/>
      <c r="AH277" s="54"/>
      <c r="AI277" s="54"/>
      <c r="AJ277" s="54"/>
      <c r="AK277" s="54"/>
    </row>
    <row r="278" spans="1:37" hidden="1" x14ac:dyDescent="0.35">
      <c r="A278" s="54"/>
      <c r="B278" s="54"/>
      <c r="C278" s="54">
        <v>951</v>
      </c>
      <c r="D278" s="54" t="s">
        <v>450</v>
      </c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  <c r="AE278" s="54"/>
      <c r="AF278" s="54"/>
      <c r="AG278" s="54"/>
      <c r="AH278" s="54"/>
      <c r="AI278" s="54"/>
      <c r="AJ278" s="54"/>
      <c r="AK278" s="54"/>
    </row>
    <row r="279" spans="1:37" hidden="1" x14ac:dyDescent="0.35">
      <c r="A279" s="54"/>
      <c r="B279" s="54"/>
      <c r="C279" s="54">
        <v>961</v>
      </c>
      <c r="D279" s="54" t="s">
        <v>451</v>
      </c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  <c r="AE279" s="54"/>
      <c r="AF279" s="54"/>
      <c r="AG279" s="54"/>
      <c r="AH279" s="54"/>
      <c r="AI279" s="54"/>
      <c r="AJ279" s="54"/>
      <c r="AK279" s="54"/>
    </row>
    <row r="280" spans="1:37" hidden="1" x14ac:dyDescent="0.35">
      <c r="A280" s="54"/>
      <c r="B280" s="54"/>
      <c r="C280" s="54">
        <v>981</v>
      </c>
      <c r="D280" s="54" t="s">
        <v>452</v>
      </c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  <c r="AE280" s="54"/>
      <c r="AF280" s="54"/>
      <c r="AG280" s="54"/>
      <c r="AH280" s="54"/>
      <c r="AI280" s="54"/>
      <c r="AJ280" s="54"/>
      <c r="AK280" s="54"/>
    </row>
    <row r="281" spans="1:37" hidden="1" x14ac:dyDescent="0.35">
      <c r="A281" s="54"/>
      <c r="B281" s="54"/>
      <c r="C281" s="54">
        <v>991</v>
      </c>
      <c r="D281" s="54" t="s">
        <v>453</v>
      </c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  <c r="AE281" s="54"/>
      <c r="AF281" s="54"/>
      <c r="AG281" s="54"/>
      <c r="AH281" s="54"/>
      <c r="AI281" s="54"/>
      <c r="AJ281" s="54"/>
      <c r="AK281" s="54"/>
    </row>
    <row r="282" spans="1:37" hidden="1" x14ac:dyDescent="0.35">
      <c r="A282" s="54"/>
      <c r="B282" s="54"/>
      <c r="C282" s="54">
        <v>1001</v>
      </c>
      <c r="D282" s="54" t="s">
        <v>454</v>
      </c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  <c r="AE282" s="54"/>
      <c r="AF282" s="54"/>
      <c r="AG282" s="54"/>
      <c r="AH282" s="54"/>
      <c r="AI282" s="54"/>
      <c r="AJ282" s="54"/>
      <c r="AK282" s="54"/>
    </row>
    <row r="283" spans="1:37" hidden="1" x14ac:dyDescent="0.35">
      <c r="A283" s="54"/>
      <c r="B283" s="54"/>
      <c r="C283" s="54">
        <v>1002</v>
      </c>
      <c r="D283" s="54" t="s">
        <v>455</v>
      </c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  <c r="AE283" s="54"/>
      <c r="AF283" s="54"/>
      <c r="AG283" s="54"/>
      <c r="AH283" s="54"/>
      <c r="AI283" s="54"/>
      <c r="AJ283" s="54"/>
      <c r="AK283" s="54"/>
    </row>
    <row r="284" spans="1:37" hidden="1" x14ac:dyDescent="0.35">
      <c r="A284" s="54"/>
      <c r="B284" s="54"/>
      <c r="C284" s="54">
        <v>1003</v>
      </c>
      <c r="D284" s="54" t="s">
        <v>456</v>
      </c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  <c r="AE284" s="54"/>
      <c r="AF284" s="54"/>
      <c r="AG284" s="54"/>
      <c r="AH284" s="54"/>
      <c r="AI284" s="54"/>
      <c r="AJ284" s="54"/>
      <c r="AK284" s="54"/>
    </row>
    <row r="285" spans="1:37" hidden="1" x14ac:dyDescent="0.35">
      <c r="A285" s="54"/>
      <c r="B285" s="54"/>
      <c r="C285" s="54">
        <v>1004</v>
      </c>
      <c r="D285" s="54" t="s">
        <v>457</v>
      </c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  <c r="AE285" s="54"/>
      <c r="AF285" s="54"/>
      <c r="AG285" s="54"/>
      <c r="AH285" s="54"/>
      <c r="AI285" s="54"/>
      <c r="AJ285" s="54"/>
      <c r="AK285" s="54"/>
    </row>
    <row r="286" spans="1:37" hidden="1" x14ac:dyDescent="0.35">
      <c r="A286" s="54"/>
      <c r="B286" s="54"/>
      <c r="C286" s="54">
        <v>23512</v>
      </c>
      <c r="D286" s="54" t="s">
        <v>458</v>
      </c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  <c r="AC286" s="54"/>
      <c r="AD286" s="54"/>
      <c r="AE286" s="54"/>
      <c r="AF286" s="54"/>
      <c r="AG286" s="54"/>
      <c r="AH286" s="54"/>
      <c r="AI286" s="54"/>
      <c r="AJ286" s="54"/>
      <c r="AK286" s="54"/>
    </row>
    <row r="287" spans="1:37" hidden="1" x14ac:dyDescent="0.35">
      <c r="A287" s="54"/>
      <c r="B287" s="54"/>
      <c r="C287" s="54">
        <v>23513</v>
      </c>
      <c r="D287" s="54" t="s">
        <v>459</v>
      </c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  <c r="AC287" s="54"/>
      <c r="AD287" s="54"/>
      <c r="AE287" s="54"/>
      <c r="AF287" s="54"/>
      <c r="AG287" s="54"/>
      <c r="AH287" s="54"/>
      <c r="AI287" s="54"/>
      <c r="AJ287" s="54"/>
      <c r="AK287" s="54"/>
    </row>
    <row r="288" spans="1:37" hidden="1" x14ac:dyDescent="0.35">
      <c r="A288" s="54"/>
      <c r="B288" s="54"/>
      <c r="C288" s="54">
        <v>23514</v>
      </c>
      <c r="D288" s="54" t="s">
        <v>460</v>
      </c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  <c r="AC288" s="54"/>
      <c r="AD288" s="54"/>
      <c r="AE288" s="54"/>
      <c r="AF288" s="54"/>
      <c r="AG288" s="54"/>
      <c r="AH288" s="54"/>
      <c r="AI288" s="54"/>
      <c r="AJ288" s="54"/>
      <c r="AK288" s="54"/>
    </row>
    <row r="289" spans="1:37" hidden="1" x14ac:dyDescent="0.35">
      <c r="A289" s="54"/>
      <c r="B289" s="54"/>
      <c r="C289" s="54">
        <v>23515</v>
      </c>
      <c r="D289" s="54" t="s">
        <v>461</v>
      </c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  <c r="AC289" s="54"/>
      <c r="AD289" s="54"/>
      <c r="AE289" s="54"/>
      <c r="AF289" s="54"/>
      <c r="AG289" s="54"/>
      <c r="AH289" s="54"/>
      <c r="AI289" s="54"/>
      <c r="AJ289" s="54"/>
      <c r="AK289" s="54"/>
    </row>
    <row r="290" spans="1:37" hidden="1" x14ac:dyDescent="0.35">
      <c r="A290" s="54"/>
      <c r="B290" s="54"/>
      <c r="C290" s="54">
        <v>23516</v>
      </c>
      <c r="D290" s="54" t="s">
        <v>462</v>
      </c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  <c r="AC290" s="54"/>
      <c r="AD290" s="54"/>
      <c r="AE290" s="54"/>
      <c r="AF290" s="54"/>
      <c r="AG290" s="54"/>
      <c r="AH290" s="54"/>
      <c r="AI290" s="54"/>
      <c r="AJ290" s="54"/>
      <c r="AK290" s="54"/>
    </row>
    <row r="291" spans="1:37" hidden="1" x14ac:dyDescent="0.35">
      <c r="A291" s="54"/>
      <c r="B291" s="54"/>
      <c r="C291" s="54">
        <v>23517</v>
      </c>
      <c r="D291" s="54" t="s">
        <v>463</v>
      </c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  <c r="AB291" s="54"/>
      <c r="AC291" s="54"/>
      <c r="AD291" s="54"/>
      <c r="AE291" s="54"/>
      <c r="AF291" s="54"/>
      <c r="AG291" s="54"/>
      <c r="AH291" s="54"/>
      <c r="AI291" s="54"/>
      <c r="AJ291" s="54"/>
      <c r="AK291" s="54"/>
    </row>
    <row r="292" spans="1:37" hidden="1" x14ac:dyDescent="0.35">
      <c r="A292" s="54"/>
      <c r="B292" s="54"/>
      <c r="C292" s="54">
        <v>23518</v>
      </c>
      <c r="D292" s="54" t="s">
        <v>464</v>
      </c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  <c r="AC292" s="54"/>
      <c r="AD292" s="54"/>
      <c r="AE292" s="54"/>
      <c r="AF292" s="54"/>
      <c r="AG292" s="54"/>
      <c r="AH292" s="54"/>
      <c r="AI292" s="54"/>
      <c r="AJ292" s="54"/>
      <c r="AK292" s="54"/>
    </row>
    <row r="293" spans="1:37" hidden="1" x14ac:dyDescent="0.35">
      <c r="A293" s="54"/>
      <c r="B293" s="54"/>
      <c r="C293" s="54">
        <v>23519</v>
      </c>
      <c r="D293" s="54" t="s">
        <v>465</v>
      </c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  <c r="AC293" s="54"/>
      <c r="AD293" s="54"/>
      <c r="AE293" s="54"/>
      <c r="AF293" s="54"/>
      <c r="AG293" s="54"/>
      <c r="AH293" s="54"/>
      <c r="AI293" s="54"/>
      <c r="AJ293" s="54"/>
      <c r="AK293" s="54"/>
    </row>
    <row r="294" spans="1:37" hidden="1" x14ac:dyDescent="0.35">
      <c r="A294" s="54"/>
      <c r="B294" s="54"/>
      <c r="C294" s="54">
        <v>23520</v>
      </c>
      <c r="D294" s="54" t="s">
        <v>466</v>
      </c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  <c r="AB294" s="54"/>
      <c r="AC294" s="54"/>
      <c r="AD294" s="54"/>
      <c r="AE294" s="54"/>
      <c r="AF294" s="54"/>
      <c r="AG294" s="54"/>
      <c r="AH294" s="54"/>
      <c r="AI294" s="54"/>
      <c r="AJ294" s="54"/>
      <c r="AK294" s="54"/>
    </row>
    <row r="295" spans="1:37" hidden="1" x14ac:dyDescent="0.35">
      <c r="A295" s="54"/>
      <c r="B295" s="54"/>
      <c r="C295" s="54">
        <v>23522</v>
      </c>
      <c r="D295" s="54" t="s">
        <v>467</v>
      </c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  <c r="AC295" s="54"/>
      <c r="AD295" s="54"/>
      <c r="AE295" s="54"/>
      <c r="AF295" s="54"/>
      <c r="AG295" s="54"/>
      <c r="AH295" s="54"/>
      <c r="AI295" s="54"/>
      <c r="AJ295" s="54"/>
      <c r="AK295" s="54"/>
    </row>
    <row r="296" spans="1:37" hidden="1" x14ac:dyDescent="0.35">
      <c r="A296" s="54"/>
      <c r="B296" s="54"/>
      <c r="C296" s="54">
        <v>23523</v>
      </c>
      <c r="D296" s="54" t="s">
        <v>468</v>
      </c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  <c r="AC296" s="54"/>
      <c r="AD296" s="54"/>
      <c r="AE296" s="54"/>
      <c r="AF296" s="54"/>
      <c r="AG296" s="54"/>
      <c r="AH296" s="54"/>
      <c r="AI296" s="54"/>
      <c r="AJ296" s="54"/>
      <c r="AK296" s="54"/>
    </row>
    <row r="297" spans="1:37" hidden="1" x14ac:dyDescent="0.35">
      <c r="A297" s="54"/>
      <c r="B297" s="54"/>
      <c r="C297" s="54">
        <v>23524</v>
      </c>
      <c r="D297" s="54" t="s">
        <v>469</v>
      </c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  <c r="AC297" s="54"/>
      <c r="AD297" s="54"/>
      <c r="AE297" s="54"/>
      <c r="AF297" s="54"/>
      <c r="AG297" s="54"/>
      <c r="AH297" s="54"/>
      <c r="AI297" s="54"/>
      <c r="AJ297" s="54"/>
      <c r="AK297" s="54"/>
    </row>
    <row r="298" spans="1:37" hidden="1" x14ac:dyDescent="0.35">
      <c r="A298" s="54"/>
      <c r="B298" s="54"/>
      <c r="C298" s="54">
        <v>23526</v>
      </c>
      <c r="D298" s="54" t="s">
        <v>470</v>
      </c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  <c r="AC298" s="54"/>
      <c r="AD298" s="54"/>
      <c r="AE298" s="54"/>
      <c r="AF298" s="54"/>
      <c r="AG298" s="54"/>
      <c r="AH298" s="54"/>
      <c r="AI298" s="54"/>
      <c r="AJ298" s="54"/>
      <c r="AK298" s="54"/>
    </row>
    <row r="299" spans="1:37" hidden="1" x14ac:dyDescent="0.35">
      <c r="A299" s="54"/>
      <c r="B299" s="54"/>
      <c r="C299" s="54">
        <v>23527</v>
      </c>
      <c r="D299" s="54" t="s">
        <v>471</v>
      </c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  <c r="AC299" s="54"/>
      <c r="AD299" s="54"/>
      <c r="AE299" s="54"/>
      <c r="AF299" s="54"/>
      <c r="AG299" s="54"/>
      <c r="AH299" s="54"/>
      <c r="AI299" s="54"/>
      <c r="AJ299" s="54"/>
      <c r="AK299" s="54"/>
    </row>
    <row r="300" spans="1:37" hidden="1" x14ac:dyDescent="0.35">
      <c r="A300" s="54"/>
      <c r="B300" s="54"/>
      <c r="C300" s="54">
        <v>23528</v>
      </c>
      <c r="D300" s="54" t="s">
        <v>472</v>
      </c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  <c r="AB300" s="54"/>
      <c r="AC300" s="54"/>
      <c r="AD300" s="54"/>
      <c r="AE300" s="54"/>
      <c r="AF300" s="54"/>
      <c r="AG300" s="54"/>
      <c r="AH300" s="54"/>
      <c r="AI300" s="54"/>
      <c r="AJ300" s="54"/>
      <c r="AK300" s="54"/>
    </row>
    <row r="301" spans="1:37" hidden="1" x14ac:dyDescent="0.35">
      <c r="A301" s="54"/>
      <c r="B301" s="54"/>
      <c r="C301" s="54">
        <v>23530</v>
      </c>
      <c r="D301" s="54" t="s">
        <v>473</v>
      </c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  <c r="AB301" s="54"/>
      <c r="AC301" s="54"/>
      <c r="AD301" s="54"/>
      <c r="AE301" s="54"/>
      <c r="AF301" s="54"/>
      <c r="AG301" s="54"/>
      <c r="AH301" s="54"/>
      <c r="AI301" s="54"/>
      <c r="AJ301" s="54"/>
      <c r="AK301" s="54"/>
    </row>
    <row r="302" spans="1:37" hidden="1" x14ac:dyDescent="0.35">
      <c r="A302" s="54"/>
      <c r="B302" s="54"/>
      <c r="C302" s="54">
        <v>23531</v>
      </c>
      <c r="D302" s="54" t="s">
        <v>474</v>
      </c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  <c r="AB302" s="54"/>
      <c r="AC302" s="54"/>
      <c r="AD302" s="54"/>
      <c r="AE302" s="54"/>
      <c r="AF302" s="54"/>
      <c r="AG302" s="54"/>
      <c r="AH302" s="54"/>
      <c r="AI302" s="54"/>
      <c r="AJ302" s="54"/>
      <c r="AK302" s="54"/>
    </row>
    <row r="303" spans="1:37" hidden="1" x14ac:dyDescent="0.35">
      <c r="A303" s="54"/>
      <c r="B303" s="54"/>
      <c r="C303" s="54">
        <v>23533</v>
      </c>
      <c r="D303" s="54" t="s">
        <v>475</v>
      </c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  <c r="AB303" s="54"/>
      <c r="AC303" s="54"/>
      <c r="AD303" s="54"/>
      <c r="AE303" s="54"/>
      <c r="AF303" s="54"/>
      <c r="AG303" s="54"/>
      <c r="AH303" s="54"/>
      <c r="AI303" s="54"/>
      <c r="AJ303" s="54"/>
      <c r="AK303" s="54"/>
    </row>
    <row r="304" spans="1:37" hidden="1" x14ac:dyDescent="0.35">
      <c r="A304" s="54"/>
      <c r="B304" s="54"/>
      <c r="C304" s="54">
        <v>23534</v>
      </c>
      <c r="D304" s="54" t="s">
        <v>476</v>
      </c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  <c r="AB304" s="54"/>
      <c r="AC304" s="54"/>
      <c r="AD304" s="54"/>
      <c r="AE304" s="54"/>
      <c r="AF304" s="54"/>
      <c r="AG304" s="54"/>
      <c r="AH304" s="54"/>
      <c r="AI304" s="54"/>
      <c r="AJ304" s="54"/>
      <c r="AK304" s="54"/>
    </row>
    <row r="305" spans="1:37" hidden="1" x14ac:dyDescent="0.35">
      <c r="A305" s="54"/>
      <c r="B305" s="54"/>
      <c r="C305" s="54">
        <v>23535</v>
      </c>
      <c r="D305" s="54" t="s">
        <v>477</v>
      </c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  <c r="AB305" s="54"/>
      <c r="AC305" s="54"/>
      <c r="AD305" s="54"/>
      <c r="AE305" s="54"/>
      <c r="AF305" s="54"/>
      <c r="AG305" s="54"/>
      <c r="AH305" s="54"/>
      <c r="AI305" s="54"/>
      <c r="AJ305" s="54"/>
      <c r="AK305" s="54"/>
    </row>
    <row r="306" spans="1:37" hidden="1" x14ac:dyDescent="0.35">
      <c r="A306" s="54"/>
      <c r="B306" s="54"/>
      <c r="C306" s="54">
        <v>23538</v>
      </c>
      <c r="D306" s="54" t="s">
        <v>478</v>
      </c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  <c r="AB306" s="54"/>
      <c r="AC306" s="54"/>
      <c r="AD306" s="54"/>
      <c r="AE306" s="54"/>
      <c r="AF306" s="54"/>
      <c r="AG306" s="54"/>
      <c r="AH306" s="54"/>
      <c r="AI306" s="54"/>
      <c r="AJ306" s="54"/>
      <c r="AK306" s="54"/>
    </row>
    <row r="307" spans="1:37" hidden="1" x14ac:dyDescent="0.35">
      <c r="A307" s="54"/>
      <c r="B307" s="54"/>
      <c r="C307" s="54">
        <v>23540</v>
      </c>
      <c r="D307" s="54" t="s">
        <v>479</v>
      </c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  <c r="AB307" s="54"/>
      <c r="AC307" s="54"/>
      <c r="AD307" s="54"/>
      <c r="AE307" s="54"/>
      <c r="AF307" s="54"/>
      <c r="AG307" s="54"/>
      <c r="AH307" s="54"/>
      <c r="AI307" s="54"/>
      <c r="AJ307" s="54"/>
      <c r="AK307" s="54"/>
    </row>
    <row r="308" spans="1:37" hidden="1" x14ac:dyDescent="0.35">
      <c r="A308" s="54"/>
      <c r="B308" s="54"/>
      <c r="C308" s="54">
        <v>23541</v>
      </c>
      <c r="D308" s="54" t="s">
        <v>480</v>
      </c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  <c r="AB308" s="54"/>
      <c r="AC308" s="54"/>
      <c r="AD308" s="54"/>
      <c r="AE308" s="54"/>
      <c r="AF308" s="54"/>
      <c r="AG308" s="54"/>
      <c r="AH308" s="54"/>
      <c r="AI308" s="54"/>
      <c r="AJ308" s="54"/>
      <c r="AK308" s="54"/>
    </row>
    <row r="309" spans="1:37" hidden="1" x14ac:dyDescent="0.35">
      <c r="A309" s="54"/>
      <c r="B309" s="54"/>
      <c r="C309" s="54">
        <v>23543</v>
      </c>
      <c r="D309" s="54" t="s">
        <v>481</v>
      </c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  <c r="AB309" s="54"/>
      <c r="AC309" s="54"/>
      <c r="AD309" s="54"/>
      <c r="AE309" s="54"/>
      <c r="AF309" s="54"/>
      <c r="AG309" s="54"/>
      <c r="AH309" s="54"/>
      <c r="AI309" s="54"/>
      <c r="AJ309" s="54"/>
      <c r="AK309" s="54"/>
    </row>
    <row r="310" spans="1:37" hidden="1" x14ac:dyDescent="0.35">
      <c r="A310" s="54"/>
      <c r="B310" s="54"/>
      <c r="C310" s="54">
        <v>23545</v>
      </c>
      <c r="D310" s="54" t="s">
        <v>482</v>
      </c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  <c r="AE310" s="54"/>
      <c r="AF310" s="54"/>
      <c r="AG310" s="54"/>
      <c r="AH310" s="54"/>
      <c r="AI310" s="54"/>
      <c r="AJ310" s="54"/>
      <c r="AK310" s="54"/>
    </row>
    <row r="311" spans="1:37" hidden="1" x14ac:dyDescent="0.35">
      <c r="A311" s="54"/>
      <c r="B311" s="54"/>
      <c r="C311" s="54">
        <v>23546</v>
      </c>
      <c r="D311" s="54" t="s">
        <v>483</v>
      </c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  <c r="AE311" s="54"/>
      <c r="AF311" s="54"/>
      <c r="AG311" s="54"/>
      <c r="AH311" s="54"/>
      <c r="AI311" s="54"/>
      <c r="AJ311" s="54"/>
      <c r="AK311" s="54"/>
    </row>
    <row r="312" spans="1:37" hidden="1" x14ac:dyDescent="0.35">
      <c r="A312" s="54"/>
      <c r="B312" s="54"/>
      <c r="C312" s="54">
        <v>23547</v>
      </c>
      <c r="D312" s="54" t="s">
        <v>484</v>
      </c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54"/>
      <c r="AC312" s="54"/>
      <c r="AD312" s="54"/>
      <c r="AE312" s="54"/>
      <c r="AF312" s="54"/>
      <c r="AG312" s="54"/>
      <c r="AH312" s="54"/>
      <c r="AI312" s="54"/>
      <c r="AJ312" s="54"/>
      <c r="AK312" s="54"/>
    </row>
    <row r="313" spans="1:37" hidden="1" x14ac:dyDescent="0.35">
      <c r="A313" s="54"/>
      <c r="B313" s="54"/>
      <c r="C313" s="54">
        <v>23548</v>
      </c>
      <c r="D313" s="54" t="s">
        <v>485</v>
      </c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  <c r="AE313" s="54"/>
      <c r="AF313" s="54"/>
      <c r="AG313" s="54"/>
      <c r="AH313" s="54"/>
      <c r="AI313" s="54"/>
      <c r="AJ313" s="54"/>
      <c r="AK313" s="54"/>
    </row>
    <row r="314" spans="1:37" hidden="1" x14ac:dyDescent="0.35">
      <c r="A314" s="54"/>
      <c r="B314" s="54"/>
      <c r="C314" s="54">
        <v>23550</v>
      </c>
      <c r="D314" s="54" t="s">
        <v>486</v>
      </c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  <c r="AE314" s="54"/>
      <c r="AF314" s="54"/>
      <c r="AG314" s="54"/>
      <c r="AH314" s="54"/>
      <c r="AI314" s="54"/>
      <c r="AJ314" s="54"/>
      <c r="AK314" s="54"/>
    </row>
    <row r="315" spans="1:37" hidden="1" x14ac:dyDescent="0.35">
      <c r="A315" s="54"/>
      <c r="B315" s="54"/>
      <c r="C315" s="54">
        <v>23551</v>
      </c>
      <c r="D315" s="54" t="s">
        <v>487</v>
      </c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  <c r="AE315" s="54"/>
      <c r="AF315" s="54"/>
      <c r="AG315" s="54"/>
      <c r="AH315" s="54"/>
      <c r="AI315" s="54"/>
      <c r="AJ315" s="54"/>
      <c r="AK315" s="54"/>
    </row>
    <row r="316" spans="1:37" hidden="1" x14ac:dyDescent="0.35">
      <c r="A316" s="54"/>
      <c r="B316" s="54"/>
      <c r="C316" s="54">
        <v>23552</v>
      </c>
      <c r="D316" s="54" t="s">
        <v>488</v>
      </c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  <c r="AE316" s="54"/>
      <c r="AF316" s="54"/>
      <c r="AG316" s="54"/>
      <c r="AH316" s="54"/>
      <c r="AI316" s="54"/>
      <c r="AJ316" s="54"/>
      <c r="AK316" s="54"/>
    </row>
    <row r="317" spans="1:37" hidden="1" x14ac:dyDescent="0.35">
      <c r="A317" s="54"/>
      <c r="B317" s="54"/>
      <c r="C317" s="54">
        <v>23553</v>
      </c>
      <c r="D317" s="54" t="s">
        <v>489</v>
      </c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  <c r="AE317" s="54"/>
      <c r="AF317" s="54"/>
      <c r="AG317" s="54"/>
      <c r="AH317" s="54"/>
      <c r="AI317" s="54"/>
      <c r="AJ317" s="54"/>
      <c r="AK317" s="54"/>
    </row>
    <row r="318" spans="1:37" hidden="1" x14ac:dyDescent="0.35">
      <c r="A318" s="54"/>
      <c r="B318" s="54"/>
      <c r="C318" s="54">
        <v>23555</v>
      </c>
      <c r="D318" s="54" t="s">
        <v>490</v>
      </c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  <c r="AE318" s="54"/>
      <c r="AF318" s="54"/>
      <c r="AG318" s="54"/>
      <c r="AH318" s="54"/>
      <c r="AI318" s="54"/>
      <c r="AJ318" s="54"/>
      <c r="AK318" s="54"/>
    </row>
    <row r="319" spans="1:37" hidden="1" x14ac:dyDescent="0.35">
      <c r="A319" s="54"/>
      <c r="B319" s="54"/>
      <c r="C319" s="54">
        <v>23557</v>
      </c>
      <c r="D319" s="54" t="s">
        <v>491</v>
      </c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  <c r="AE319" s="54"/>
      <c r="AF319" s="54"/>
      <c r="AG319" s="54"/>
      <c r="AH319" s="54"/>
      <c r="AI319" s="54"/>
      <c r="AJ319" s="54"/>
      <c r="AK319" s="54"/>
    </row>
    <row r="320" spans="1:37" hidden="1" x14ac:dyDescent="0.35">
      <c r="A320" s="54"/>
      <c r="B320" s="54"/>
      <c r="C320" s="54">
        <v>23558</v>
      </c>
      <c r="D320" s="54" t="s">
        <v>492</v>
      </c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  <c r="AE320" s="54"/>
      <c r="AF320" s="54"/>
      <c r="AG320" s="54"/>
      <c r="AH320" s="54"/>
      <c r="AI320" s="54"/>
      <c r="AJ320" s="54"/>
      <c r="AK320" s="54"/>
    </row>
    <row r="321" spans="1:37" hidden="1" x14ac:dyDescent="0.35">
      <c r="A321" s="54"/>
      <c r="B321" s="54"/>
      <c r="C321" s="54">
        <v>23559</v>
      </c>
      <c r="D321" s="54" t="s">
        <v>493</v>
      </c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  <c r="AE321" s="54"/>
      <c r="AF321" s="54"/>
      <c r="AG321" s="54"/>
      <c r="AH321" s="54"/>
      <c r="AI321" s="54"/>
      <c r="AJ321" s="54"/>
      <c r="AK321" s="54"/>
    </row>
    <row r="322" spans="1:37" hidden="1" x14ac:dyDescent="0.35">
      <c r="A322" s="54"/>
      <c r="B322" s="54"/>
      <c r="C322" s="54">
        <v>23560</v>
      </c>
      <c r="D322" s="54" t="s">
        <v>494</v>
      </c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  <c r="AE322" s="54"/>
      <c r="AF322" s="54"/>
      <c r="AG322" s="54"/>
      <c r="AH322" s="54"/>
      <c r="AI322" s="54"/>
      <c r="AJ322" s="54"/>
      <c r="AK322" s="54"/>
    </row>
    <row r="323" spans="1:37" hidden="1" x14ac:dyDescent="0.35">
      <c r="A323" s="54"/>
      <c r="B323" s="54"/>
      <c r="C323" s="54">
        <v>23561</v>
      </c>
      <c r="D323" s="54" t="s">
        <v>495</v>
      </c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  <c r="AE323" s="54"/>
      <c r="AF323" s="54"/>
      <c r="AG323" s="54"/>
      <c r="AH323" s="54"/>
      <c r="AI323" s="54"/>
      <c r="AJ323" s="54"/>
      <c r="AK323" s="54"/>
    </row>
    <row r="324" spans="1:37" hidden="1" x14ac:dyDescent="0.35">
      <c r="A324" s="54"/>
      <c r="B324" s="54"/>
      <c r="C324" s="54">
        <v>23562</v>
      </c>
      <c r="D324" s="54" t="s">
        <v>496</v>
      </c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  <c r="AC324" s="54"/>
      <c r="AD324" s="54"/>
      <c r="AE324" s="54"/>
      <c r="AF324" s="54"/>
      <c r="AG324" s="54"/>
      <c r="AH324" s="54"/>
      <c r="AI324" s="54"/>
      <c r="AJ324" s="54"/>
      <c r="AK324" s="54"/>
    </row>
    <row r="325" spans="1:37" hidden="1" x14ac:dyDescent="0.35">
      <c r="A325" s="54"/>
      <c r="B325" s="54"/>
      <c r="C325" s="54">
        <v>23563</v>
      </c>
      <c r="D325" s="54" t="s">
        <v>497</v>
      </c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  <c r="AB325" s="54"/>
      <c r="AC325" s="54"/>
      <c r="AD325" s="54"/>
      <c r="AE325" s="54"/>
      <c r="AF325" s="54"/>
      <c r="AG325" s="54"/>
      <c r="AH325" s="54"/>
      <c r="AI325" s="54"/>
      <c r="AJ325" s="54"/>
      <c r="AK325" s="54"/>
    </row>
    <row r="326" spans="1:37" hidden="1" x14ac:dyDescent="0.35">
      <c r="A326" s="54"/>
      <c r="B326" s="54"/>
      <c r="C326" s="54">
        <v>23564</v>
      </c>
      <c r="D326" s="54" t="s">
        <v>498</v>
      </c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  <c r="AC326" s="54"/>
      <c r="AD326" s="54"/>
      <c r="AE326" s="54"/>
      <c r="AF326" s="54"/>
      <c r="AG326" s="54"/>
      <c r="AH326" s="54"/>
      <c r="AI326" s="54"/>
      <c r="AJ326" s="54"/>
      <c r="AK326" s="54"/>
    </row>
    <row r="327" spans="1:37" hidden="1" x14ac:dyDescent="0.35">
      <c r="A327" s="54"/>
      <c r="B327" s="54"/>
      <c r="C327" s="54">
        <v>23565</v>
      </c>
      <c r="D327" s="54" t="s">
        <v>499</v>
      </c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  <c r="AB327" s="54"/>
      <c r="AC327" s="54"/>
      <c r="AD327" s="54"/>
      <c r="AE327" s="54"/>
      <c r="AF327" s="54"/>
      <c r="AG327" s="54"/>
      <c r="AH327" s="54"/>
      <c r="AI327" s="54"/>
      <c r="AJ327" s="54"/>
      <c r="AK327" s="54"/>
    </row>
    <row r="328" spans="1:37" hidden="1" x14ac:dyDescent="0.35">
      <c r="A328" s="54"/>
      <c r="B328" s="54"/>
      <c r="C328" s="54">
        <v>23566</v>
      </c>
      <c r="D328" s="54" t="s">
        <v>500</v>
      </c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  <c r="AB328" s="54"/>
      <c r="AC328" s="54"/>
      <c r="AD328" s="54"/>
      <c r="AE328" s="54"/>
      <c r="AF328" s="54"/>
      <c r="AG328" s="54"/>
      <c r="AH328" s="54"/>
      <c r="AI328" s="54"/>
      <c r="AJ328" s="54"/>
      <c r="AK328" s="54"/>
    </row>
    <row r="329" spans="1:37" hidden="1" x14ac:dyDescent="0.35">
      <c r="A329" s="54"/>
      <c r="B329" s="54"/>
      <c r="C329" s="54">
        <v>23567</v>
      </c>
      <c r="D329" s="54" t="s">
        <v>501</v>
      </c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  <c r="AC329" s="54"/>
      <c r="AD329" s="54"/>
      <c r="AE329" s="54"/>
      <c r="AF329" s="54"/>
      <c r="AG329" s="54"/>
      <c r="AH329" s="54"/>
      <c r="AI329" s="54"/>
      <c r="AJ329" s="54"/>
      <c r="AK329" s="54"/>
    </row>
    <row r="330" spans="1:37" hidden="1" x14ac:dyDescent="0.35">
      <c r="A330" s="54"/>
      <c r="B330" s="54"/>
      <c r="C330" s="54">
        <v>23571</v>
      </c>
      <c r="D330" s="54" t="s">
        <v>502</v>
      </c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  <c r="AC330" s="54"/>
      <c r="AD330" s="54"/>
      <c r="AE330" s="54"/>
      <c r="AF330" s="54"/>
      <c r="AG330" s="54"/>
      <c r="AH330" s="54"/>
      <c r="AI330" s="54"/>
      <c r="AJ330" s="54"/>
      <c r="AK330" s="54"/>
    </row>
    <row r="331" spans="1:37" hidden="1" x14ac:dyDescent="0.35">
      <c r="A331" s="54"/>
      <c r="B331" s="54"/>
      <c r="C331" s="54">
        <v>23572</v>
      </c>
      <c r="D331" s="54" t="s">
        <v>503</v>
      </c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  <c r="AC331" s="54"/>
      <c r="AD331" s="54"/>
      <c r="AE331" s="54"/>
      <c r="AF331" s="54"/>
      <c r="AG331" s="54"/>
      <c r="AH331" s="54"/>
      <c r="AI331" s="54"/>
      <c r="AJ331" s="54"/>
      <c r="AK331" s="54"/>
    </row>
    <row r="332" spans="1:37" hidden="1" x14ac:dyDescent="0.35">
      <c r="A332" s="54"/>
      <c r="B332" s="54"/>
      <c r="C332" s="54">
        <v>23573</v>
      </c>
      <c r="D332" s="54" t="s">
        <v>504</v>
      </c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  <c r="AE332" s="54"/>
      <c r="AF332" s="54"/>
      <c r="AG332" s="54"/>
      <c r="AH332" s="54"/>
      <c r="AI332" s="54"/>
      <c r="AJ332" s="54"/>
      <c r="AK332" s="54"/>
    </row>
    <row r="333" spans="1:37" hidden="1" x14ac:dyDescent="0.35">
      <c r="A333" s="54"/>
      <c r="B333" s="54"/>
      <c r="C333" s="54">
        <v>23574</v>
      </c>
      <c r="D333" s="54" t="s">
        <v>505</v>
      </c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  <c r="AC333" s="54"/>
      <c r="AD333" s="54"/>
      <c r="AE333" s="54"/>
      <c r="AF333" s="54"/>
      <c r="AG333" s="54"/>
      <c r="AH333" s="54"/>
      <c r="AI333" s="54"/>
      <c r="AJ333" s="54"/>
      <c r="AK333" s="54"/>
    </row>
    <row r="334" spans="1:37" hidden="1" x14ac:dyDescent="0.35">
      <c r="A334" s="54"/>
      <c r="B334" s="54"/>
      <c r="C334" s="54">
        <v>23575</v>
      </c>
      <c r="D334" s="54" t="s">
        <v>506</v>
      </c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  <c r="AC334" s="54"/>
      <c r="AD334" s="54"/>
      <c r="AE334" s="54"/>
      <c r="AF334" s="54"/>
      <c r="AG334" s="54"/>
      <c r="AH334" s="54"/>
      <c r="AI334" s="54"/>
      <c r="AJ334" s="54"/>
      <c r="AK334" s="54"/>
    </row>
    <row r="335" spans="1:37" hidden="1" x14ac:dyDescent="0.35">
      <c r="A335" s="54"/>
      <c r="B335" s="54"/>
      <c r="C335" s="54">
        <v>23579</v>
      </c>
      <c r="D335" s="54" t="s">
        <v>507</v>
      </c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  <c r="AC335" s="54"/>
      <c r="AD335" s="54"/>
      <c r="AE335" s="54"/>
      <c r="AF335" s="54"/>
      <c r="AG335" s="54"/>
      <c r="AH335" s="54"/>
      <c r="AI335" s="54"/>
      <c r="AJ335" s="54"/>
      <c r="AK335" s="54"/>
    </row>
    <row r="336" spans="1:37" hidden="1" x14ac:dyDescent="0.35">
      <c r="A336" s="54"/>
      <c r="B336" s="54"/>
      <c r="C336" s="54">
        <v>23580</v>
      </c>
      <c r="D336" s="54" t="s">
        <v>508</v>
      </c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  <c r="AC336" s="54"/>
      <c r="AD336" s="54"/>
      <c r="AE336" s="54"/>
      <c r="AF336" s="54"/>
      <c r="AG336" s="54"/>
      <c r="AH336" s="54"/>
      <c r="AI336" s="54"/>
      <c r="AJ336" s="54"/>
      <c r="AK336" s="54"/>
    </row>
    <row r="337" spans="1:37" hidden="1" x14ac:dyDescent="0.35">
      <c r="A337" s="54"/>
      <c r="B337" s="54"/>
      <c r="C337" s="54">
        <v>23582</v>
      </c>
      <c r="D337" s="54" t="s">
        <v>509</v>
      </c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  <c r="AC337" s="54"/>
      <c r="AD337" s="54"/>
      <c r="AE337" s="54"/>
      <c r="AF337" s="54"/>
      <c r="AG337" s="54"/>
      <c r="AH337" s="54"/>
      <c r="AI337" s="54"/>
      <c r="AJ337" s="54"/>
      <c r="AK337" s="54"/>
    </row>
    <row r="338" spans="1:37" hidden="1" x14ac:dyDescent="0.35">
      <c r="A338" s="54"/>
      <c r="B338" s="54"/>
      <c r="C338" s="54">
        <v>23583</v>
      </c>
      <c r="D338" s="54" t="s">
        <v>510</v>
      </c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  <c r="AC338" s="54"/>
      <c r="AD338" s="54"/>
      <c r="AE338" s="54"/>
      <c r="AF338" s="54"/>
      <c r="AG338" s="54"/>
      <c r="AH338" s="54"/>
      <c r="AI338" s="54"/>
      <c r="AJ338" s="54"/>
      <c r="AK338" s="54"/>
    </row>
    <row r="339" spans="1:37" hidden="1" x14ac:dyDescent="0.35">
      <c r="A339" s="54"/>
      <c r="B339" s="54"/>
      <c r="C339" s="54">
        <v>23584</v>
      </c>
      <c r="D339" s="54" t="s">
        <v>511</v>
      </c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  <c r="AB339" s="54"/>
      <c r="AC339" s="54"/>
      <c r="AD339" s="54"/>
      <c r="AE339" s="54"/>
      <c r="AF339" s="54"/>
      <c r="AG339" s="54"/>
      <c r="AH339" s="54"/>
      <c r="AI339" s="54"/>
      <c r="AJ339" s="54"/>
      <c r="AK339" s="54"/>
    </row>
    <row r="340" spans="1:37" hidden="1" x14ac:dyDescent="0.35">
      <c r="A340" s="54"/>
      <c r="B340" s="54"/>
      <c r="C340" s="54">
        <v>23585</v>
      </c>
      <c r="D340" s="54" t="s">
        <v>512</v>
      </c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  <c r="AB340" s="54"/>
      <c r="AC340" s="54"/>
      <c r="AD340" s="54"/>
      <c r="AE340" s="54"/>
      <c r="AF340" s="54"/>
      <c r="AG340" s="54"/>
      <c r="AH340" s="54"/>
      <c r="AI340" s="54"/>
      <c r="AJ340" s="54"/>
      <c r="AK340" s="54"/>
    </row>
    <row r="341" spans="1:37" hidden="1" x14ac:dyDescent="0.35">
      <c r="A341" s="54"/>
      <c r="B341" s="54"/>
      <c r="C341" s="54">
        <v>23586</v>
      </c>
      <c r="D341" s="54" t="s">
        <v>513</v>
      </c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  <c r="AB341" s="54"/>
      <c r="AC341" s="54"/>
      <c r="AD341" s="54"/>
      <c r="AE341" s="54"/>
      <c r="AF341" s="54"/>
      <c r="AG341" s="54"/>
      <c r="AH341" s="54"/>
      <c r="AI341" s="54"/>
      <c r="AJ341" s="54"/>
      <c r="AK341" s="54"/>
    </row>
    <row r="342" spans="1:37" hidden="1" x14ac:dyDescent="0.35">
      <c r="A342" s="54"/>
      <c r="B342" s="54"/>
      <c r="C342" s="54">
        <v>23587</v>
      </c>
      <c r="D342" s="54" t="s">
        <v>514</v>
      </c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  <c r="AB342" s="54"/>
      <c r="AC342" s="54"/>
      <c r="AD342" s="54"/>
      <c r="AE342" s="54"/>
      <c r="AF342" s="54"/>
      <c r="AG342" s="54"/>
      <c r="AH342" s="54"/>
      <c r="AI342" s="54"/>
      <c r="AJ342" s="54"/>
      <c r="AK342" s="54"/>
    </row>
    <row r="343" spans="1:37" hidden="1" x14ac:dyDescent="0.35">
      <c r="A343" s="54"/>
      <c r="B343" s="54"/>
      <c r="C343" s="54">
        <v>23588</v>
      </c>
      <c r="D343" s="54" t="s">
        <v>515</v>
      </c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  <c r="AB343" s="54"/>
      <c r="AC343" s="54"/>
      <c r="AD343" s="54"/>
      <c r="AE343" s="54"/>
      <c r="AF343" s="54"/>
      <c r="AG343" s="54"/>
      <c r="AH343" s="54"/>
      <c r="AI343" s="54"/>
      <c r="AJ343" s="54"/>
      <c r="AK343" s="54"/>
    </row>
    <row r="344" spans="1:37" hidden="1" x14ac:dyDescent="0.35">
      <c r="A344" s="54"/>
      <c r="B344" s="54"/>
      <c r="C344" s="54">
        <v>23589</v>
      </c>
      <c r="D344" s="54" t="s">
        <v>516</v>
      </c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  <c r="AB344" s="54"/>
      <c r="AC344" s="54"/>
      <c r="AD344" s="54"/>
      <c r="AE344" s="54"/>
      <c r="AF344" s="54"/>
      <c r="AG344" s="54"/>
      <c r="AH344" s="54"/>
      <c r="AI344" s="54"/>
      <c r="AJ344" s="54"/>
      <c r="AK344" s="54"/>
    </row>
    <row r="345" spans="1:37" hidden="1" x14ac:dyDescent="0.35">
      <c r="A345" s="54"/>
      <c r="B345" s="54"/>
      <c r="C345" s="54">
        <v>23590</v>
      </c>
      <c r="D345" s="54" t="s">
        <v>517</v>
      </c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  <c r="AC345" s="54"/>
      <c r="AD345" s="54"/>
      <c r="AE345" s="54"/>
      <c r="AF345" s="54"/>
      <c r="AG345" s="54"/>
      <c r="AH345" s="54"/>
      <c r="AI345" s="54"/>
      <c r="AJ345" s="54"/>
      <c r="AK345" s="54"/>
    </row>
    <row r="346" spans="1:37" hidden="1" x14ac:dyDescent="0.35">
      <c r="A346" s="54"/>
      <c r="B346" s="54"/>
      <c r="C346" s="54">
        <v>23591</v>
      </c>
      <c r="D346" s="54" t="s">
        <v>518</v>
      </c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  <c r="AB346" s="54"/>
      <c r="AC346" s="54"/>
      <c r="AD346" s="54"/>
      <c r="AE346" s="54"/>
      <c r="AF346" s="54"/>
      <c r="AG346" s="54"/>
      <c r="AH346" s="54"/>
      <c r="AI346" s="54"/>
      <c r="AJ346" s="54"/>
      <c r="AK346" s="54"/>
    </row>
    <row r="347" spans="1:37" hidden="1" x14ac:dyDescent="0.35">
      <c r="A347" s="54"/>
      <c r="B347" s="54"/>
      <c r="C347" s="54">
        <v>23592</v>
      </c>
      <c r="D347" s="54" t="s">
        <v>519</v>
      </c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  <c r="AB347" s="54"/>
      <c r="AC347" s="54"/>
      <c r="AD347" s="54"/>
      <c r="AE347" s="54"/>
      <c r="AF347" s="54"/>
      <c r="AG347" s="54"/>
      <c r="AH347" s="54"/>
      <c r="AI347" s="54"/>
      <c r="AJ347" s="54"/>
      <c r="AK347" s="54"/>
    </row>
    <row r="348" spans="1:37" hidden="1" x14ac:dyDescent="0.35">
      <c r="A348" s="54"/>
      <c r="B348" s="54"/>
      <c r="C348" s="54">
        <v>23593</v>
      </c>
      <c r="D348" s="54" t="s">
        <v>520</v>
      </c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  <c r="AE348" s="54"/>
      <c r="AF348" s="54"/>
      <c r="AG348" s="54"/>
      <c r="AH348" s="54"/>
      <c r="AI348" s="54"/>
      <c r="AJ348" s="54"/>
      <c r="AK348" s="54"/>
    </row>
    <row r="349" spans="1:37" hidden="1" x14ac:dyDescent="0.35">
      <c r="A349" s="54"/>
      <c r="B349" s="54"/>
      <c r="C349" s="54">
        <v>23595</v>
      </c>
      <c r="D349" s="54" t="s">
        <v>521</v>
      </c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  <c r="AE349" s="54"/>
      <c r="AF349" s="54"/>
      <c r="AG349" s="54"/>
      <c r="AH349" s="54"/>
      <c r="AI349" s="54"/>
      <c r="AJ349" s="54"/>
      <c r="AK349" s="54"/>
    </row>
    <row r="350" spans="1:37" hidden="1" x14ac:dyDescent="0.35">
      <c r="A350" s="54"/>
      <c r="B350" s="54"/>
      <c r="C350" s="54">
        <v>23598</v>
      </c>
      <c r="D350" s="54" t="s">
        <v>522</v>
      </c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  <c r="AB350" s="54"/>
      <c r="AC350" s="54"/>
      <c r="AD350" s="54"/>
      <c r="AE350" s="54"/>
      <c r="AF350" s="54"/>
      <c r="AG350" s="54"/>
      <c r="AH350" s="54"/>
      <c r="AI350" s="54"/>
      <c r="AJ350" s="54"/>
      <c r="AK350" s="54"/>
    </row>
    <row r="351" spans="1:37" hidden="1" x14ac:dyDescent="0.35">
      <c r="A351" s="54"/>
      <c r="B351" s="54"/>
      <c r="C351" s="54">
        <v>23600</v>
      </c>
      <c r="D351" s="54" t="s">
        <v>523</v>
      </c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  <c r="AE351" s="54"/>
      <c r="AF351" s="54"/>
      <c r="AG351" s="54"/>
      <c r="AH351" s="54"/>
      <c r="AI351" s="54"/>
      <c r="AJ351" s="54"/>
      <c r="AK351" s="54"/>
    </row>
    <row r="352" spans="1:37" hidden="1" x14ac:dyDescent="0.35">
      <c r="A352" s="54"/>
      <c r="B352" s="54"/>
      <c r="C352" s="54">
        <v>23601</v>
      </c>
      <c r="D352" s="54" t="s">
        <v>524</v>
      </c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  <c r="AE352" s="54"/>
      <c r="AF352" s="54"/>
      <c r="AG352" s="54"/>
      <c r="AH352" s="54"/>
      <c r="AI352" s="54"/>
      <c r="AJ352" s="54"/>
      <c r="AK352" s="54"/>
    </row>
    <row r="353" spans="1:37" hidden="1" x14ac:dyDescent="0.35">
      <c r="A353" s="54"/>
      <c r="B353" s="54"/>
      <c r="C353" s="54">
        <v>23603</v>
      </c>
      <c r="D353" s="54" t="s">
        <v>525</v>
      </c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  <c r="AE353" s="54"/>
      <c r="AF353" s="54"/>
      <c r="AG353" s="54"/>
      <c r="AH353" s="54"/>
      <c r="AI353" s="54"/>
      <c r="AJ353" s="54"/>
      <c r="AK353" s="54"/>
    </row>
    <row r="354" spans="1:37" hidden="1" x14ac:dyDescent="0.35">
      <c r="A354" s="54"/>
      <c r="B354" s="54"/>
      <c r="C354" s="54">
        <v>23604</v>
      </c>
      <c r="D354" s="54" t="s">
        <v>526</v>
      </c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  <c r="AE354" s="54"/>
      <c r="AF354" s="54"/>
      <c r="AG354" s="54"/>
      <c r="AH354" s="54"/>
      <c r="AI354" s="54"/>
      <c r="AJ354" s="54"/>
      <c r="AK354" s="54"/>
    </row>
    <row r="355" spans="1:37" hidden="1" x14ac:dyDescent="0.35">
      <c r="A355" s="54"/>
      <c r="B355" s="54"/>
      <c r="C355" s="54">
        <v>23606</v>
      </c>
      <c r="D355" s="54" t="s">
        <v>527</v>
      </c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  <c r="AE355" s="54"/>
      <c r="AF355" s="54"/>
      <c r="AG355" s="54"/>
      <c r="AH355" s="54"/>
      <c r="AI355" s="54"/>
      <c r="AJ355" s="54"/>
      <c r="AK355" s="54"/>
    </row>
    <row r="356" spans="1:37" hidden="1" x14ac:dyDescent="0.35">
      <c r="A356" s="54"/>
      <c r="B356" s="54"/>
      <c r="C356" s="54">
        <v>23607</v>
      </c>
      <c r="D356" s="54" t="s">
        <v>528</v>
      </c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  <c r="AE356" s="54"/>
      <c r="AF356" s="54"/>
      <c r="AG356" s="54"/>
      <c r="AH356" s="54"/>
      <c r="AI356" s="54"/>
      <c r="AJ356" s="54"/>
      <c r="AK356" s="54"/>
    </row>
    <row r="357" spans="1:37" hidden="1" x14ac:dyDescent="0.35">
      <c r="A357" s="54"/>
      <c r="B357" s="54"/>
      <c r="C357" s="54">
        <v>23608</v>
      </c>
      <c r="D357" s="54" t="s">
        <v>529</v>
      </c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  <c r="AE357" s="54"/>
      <c r="AF357" s="54"/>
      <c r="AG357" s="54"/>
      <c r="AH357" s="54"/>
      <c r="AI357" s="54"/>
      <c r="AJ357" s="54"/>
      <c r="AK357" s="54"/>
    </row>
    <row r="358" spans="1:37" hidden="1" x14ac:dyDescent="0.35">
      <c r="A358" s="54"/>
      <c r="B358" s="54"/>
      <c r="C358" s="54">
        <v>23609</v>
      </c>
      <c r="D358" s="54" t="s">
        <v>530</v>
      </c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  <c r="AE358" s="54"/>
      <c r="AF358" s="54"/>
      <c r="AG358" s="54"/>
      <c r="AH358" s="54"/>
      <c r="AI358" s="54"/>
      <c r="AJ358" s="54"/>
      <c r="AK358" s="54"/>
    </row>
    <row r="359" spans="1:37" hidden="1" x14ac:dyDescent="0.35">
      <c r="A359" s="54"/>
      <c r="B359" s="54"/>
      <c r="C359" s="54">
        <v>23610</v>
      </c>
      <c r="D359" s="54" t="s">
        <v>531</v>
      </c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  <c r="AE359" s="54"/>
      <c r="AF359" s="54"/>
      <c r="AG359" s="54"/>
      <c r="AH359" s="54"/>
      <c r="AI359" s="54"/>
      <c r="AJ359" s="54"/>
      <c r="AK359" s="54"/>
    </row>
    <row r="360" spans="1:37" hidden="1" x14ac:dyDescent="0.35">
      <c r="A360" s="54"/>
      <c r="B360" s="54"/>
      <c r="C360" s="54">
        <v>23611</v>
      </c>
      <c r="D360" s="54" t="s">
        <v>532</v>
      </c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  <c r="AE360" s="54"/>
      <c r="AF360" s="54"/>
      <c r="AG360" s="54"/>
      <c r="AH360" s="54"/>
      <c r="AI360" s="54"/>
      <c r="AJ360" s="54"/>
      <c r="AK360" s="54"/>
    </row>
    <row r="361" spans="1:37" hidden="1" x14ac:dyDescent="0.35">
      <c r="A361" s="54"/>
      <c r="B361" s="54"/>
      <c r="C361" s="54">
        <v>23612</v>
      </c>
      <c r="D361" s="54" t="s">
        <v>533</v>
      </c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  <c r="AE361" s="54"/>
      <c r="AF361" s="54"/>
      <c r="AG361" s="54"/>
      <c r="AH361" s="54"/>
      <c r="AI361" s="54"/>
      <c r="AJ361" s="54"/>
      <c r="AK361" s="54"/>
    </row>
    <row r="362" spans="1:37" hidden="1" x14ac:dyDescent="0.35">
      <c r="A362" s="54"/>
      <c r="B362" s="54"/>
      <c r="C362" s="54">
        <v>23613</v>
      </c>
      <c r="D362" s="54" t="s">
        <v>534</v>
      </c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  <c r="AB362" s="54"/>
      <c r="AC362" s="54"/>
      <c r="AD362" s="54"/>
      <c r="AE362" s="54"/>
      <c r="AF362" s="54"/>
      <c r="AG362" s="54"/>
      <c r="AH362" s="54"/>
      <c r="AI362" s="54"/>
      <c r="AJ362" s="54"/>
      <c r="AK362" s="54"/>
    </row>
    <row r="363" spans="1:37" hidden="1" x14ac:dyDescent="0.35">
      <c r="A363" s="54"/>
      <c r="B363" s="54"/>
      <c r="C363" s="54">
        <v>23614</v>
      </c>
      <c r="D363" s="54" t="s">
        <v>535</v>
      </c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  <c r="AB363" s="54"/>
      <c r="AC363" s="54"/>
      <c r="AD363" s="54"/>
      <c r="AE363" s="54"/>
      <c r="AF363" s="54"/>
      <c r="AG363" s="54"/>
      <c r="AH363" s="54"/>
      <c r="AI363" s="54"/>
      <c r="AJ363" s="54"/>
      <c r="AK363" s="54"/>
    </row>
    <row r="364" spans="1:37" hidden="1" x14ac:dyDescent="0.35">
      <c r="A364" s="54"/>
      <c r="B364" s="54"/>
      <c r="C364" s="54">
        <v>23616</v>
      </c>
      <c r="D364" s="54" t="s">
        <v>536</v>
      </c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  <c r="AB364" s="54"/>
      <c r="AC364" s="54"/>
      <c r="AD364" s="54"/>
      <c r="AE364" s="54"/>
      <c r="AF364" s="54"/>
      <c r="AG364" s="54"/>
      <c r="AH364" s="54"/>
      <c r="AI364" s="54"/>
      <c r="AJ364" s="54"/>
      <c r="AK364" s="54"/>
    </row>
    <row r="365" spans="1:37" hidden="1" x14ac:dyDescent="0.35">
      <c r="A365" s="54"/>
      <c r="B365" s="54"/>
      <c r="C365" s="54">
        <v>23619</v>
      </c>
      <c r="D365" s="54" t="s">
        <v>537</v>
      </c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54"/>
      <c r="AC365" s="54"/>
      <c r="AD365" s="54"/>
      <c r="AE365" s="54"/>
      <c r="AF365" s="54"/>
      <c r="AG365" s="54"/>
      <c r="AH365" s="54"/>
      <c r="AI365" s="54"/>
      <c r="AJ365" s="54"/>
      <c r="AK365" s="54"/>
    </row>
    <row r="366" spans="1:37" hidden="1" x14ac:dyDescent="0.35">
      <c r="A366" s="54"/>
      <c r="B366" s="54"/>
      <c r="C366" s="54">
        <v>23620</v>
      </c>
      <c r="D366" s="54" t="s">
        <v>538</v>
      </c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  <c r="AC366" s="54"/>
      <c r="AD366" s="54"/>
      <c r="AE366" s="54"/>
      <c r="AF366" s="54"/>
      <c r="AG366" s="54"/>
      <c r="AH366" s="54"/>
      <c r="AI366" s="54"/>
      <c r="AJ366" s="54"/>
      <c r="AK366" s="54"/>
    </row>
    <row r="367" spans="1:37" hidden="1" x14ac:dyDescent="0.35">
      <c r="A367" s="54"/>
      <c r="B367" s="54"/>
      <c r="C367" s="54">
        <v>23621</v>
      </c>
      <c r="D367" s="54" t="s">
        <v>539</v>
      </c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  <c r="AC367" s="54"/>
      <c r="AD367" s="54"/>
      <c r="AE367" s="54"/>
      <c r="AF367" s="54"/>
      <c r="AG367" s="54"/>
      <c r="AH367" s="54"/>
      <c r="AI367" s="54"/>
      <c r="AJ367" s="54"/>
      <c r="AK367" s="54"/>
    </row>
    <row r="368" spans="1:37" hidden="1" x14ac:dyDescent="0.35">
      <c r="A368" s="54"/>
      <c r="B368" s="54"/>
      <c r="C368" s="54">
        <v>23622</v>
      </c>
      <c r="D368" s="54" t="s">
        <v>540</v>
      </c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  <c r="AC368" s="54"/>
      <c r="AD368" s="54"/>
      <c r="AE368" s="54"/>
      <c r="AF368" s="54"/>
      <c r="AG368" s="54"/>
      <c r="AH368" s="54"/>
      <c r="AI368" s="54"/>
      <c r="AJ368" s="54"/>
      <c r="AK368" s="54"/>
    </row>
    <row r="369" spans="1:37" hidden="1" x14ac:dyDescent="0.35">
      <c r="A369" s="54"/>
      <c r="B369" s="54"/>
      <c r="C369" s="54">
        <v>23625</v>
      </c>
      <c r="D369" s="54" t="s">
        <v>541</v>
      </c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  <c r="AC369" s="54"/>
      <c r="AD369" s="54"/>
      <c r="AE369" s="54"/>
      <c r="AF369" s="54"/>
      <c r="AG369" s="54"/>
      <c r="AH369" s="54"/>
      <c r="AI369" s="54"/>
      <c r="AJ369" s="54"/>
      <c r="AK369" s="54"/>
    </row>
    <row r="370" spans="1:37" hidden="1" x14ac:dyDescent="0.35">
      <c r="A370" s="54"/>
      <c r="B370" s="54"/>
      <c r="C370" s="54">
        <v>23626</v>
      </c>
      <c r="D370" s="54" t="s">
        <v>542</v>
      </c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  <c r="AC370" s="54"/>
      <c r="AD370" s="54"/>
      <c r="AE370" s="54"/>
      <c r="AF370" s="54"/>
      <c r="AG370" s="54"/>
      <c r="AH370" s="54"/>
      <c r="AI370" s="54"/>
      <c r="AJ370" s="54"/>
      <c r="AK370" s="54"/>
    </row>
    <row r="371" spans="1:37" hidden="1" x14ac:dyDescent="0.35">
      <c r="A371" s="54"/>
      <c r="B371" s="54"/>
      <c r="C371" s="54">
        <v>23627</v>
      </c>
      <c r="D371" s="54" t="s">
        <v>543</v>
      </c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  <c r="AC371" s="54"/>
      <c r="AD371" s="54"/>
      <c r="AE371" s="54"/>
      <c r="AF371" s="54"/>
      <c r="AG371" s="54"/>
      <c r="AH371" s="54"/>
      <c r="AI371" s="54"/>
      <c r="AJ371" s="54"/>
      <c r="AK371" s="54"/>
    </row>
    <row r="372" spans="1:37" hidden="1" x14ac:dyDescent="0.35">
      <c r="A372" s="54"/>
      <c r="B372" s="54"/>
      <c r="C372" s="54">
        <v>23628</v>
      </c>
      <c r="D372" s="54" t="s">
        <v>544</v>
      </c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  <c r="AC372" s="54"/>
      <c r="AD372" s="54"/>
      <c r="AE372" s="54"/>
      <c r="AF372" s="54"/>
      <c r="AG372" s="54"/>
      <c r="AH372" s="54"/>
      <c r="AI372" s="54"/>
      <c r="AJ372" s="54"/>
      <c r="AK372" s="54"/>
    </row>
    <row r="373" spans="1:37" hidden="1" x14ac:dyDescent="0.35">
      <c r="A373" s="54"/>
      <c r="B373" s="54"/>
      <c r="C373" s="54">
        <v>23629</v>
      </c>
      <c r="D373" s="54" t="s">
        <v>545</v>
      </c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  <c r="AC373" s="54"/>
      <c r="AD373" s="54"/>
      <c r="AE373" s="54"/>
      <c r="AF373" s="54"/>
      <c r="AG373" s="54"/>
      <c r="AH373" s="54"/>
      <c r="AI373" s="54"/>
      <c r="AJ373" s="54"/>
      <c r="AK373" s="54"/>
    </row>
    <row r="374" spans="1:37" hidden="1" x14ac:dyDescent="0.35">
      <c r="A374" s="54"/>
      <c r="B374" s="54"/>
      <c r="C374" s="54">
        <v>23632</v>
      </c>
      <c r="D374" s="54" t="s">
        <v>546</v>
      </c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  <c r="AC374" s="54"/>
      <c r="AD374" s="54"/>
      <c r="AE374" s="54"/>
      <c r="AF374" s="54"/>
      <c r="AG374" s="54"/>
      <c r="AH374" s="54"/>
      <c r="AI374" s="54"/>
      <c r="AJ374" s="54"/>
      <c r="AK374" s="54"/>
    </row>
    <row r="375" spans="1:37" hidden="1" x14ac:dyDescent="0.35">
      <c r="A375" s="54"/>
      <c r="B375" s="54"/>
      <c r="C375" s="54">
        <v>23639</v>
      </c>
      <c r="D375" s="54" t="s">
        <v>547</v>
      </c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  <c r="AC375" s="54"/>
      <c r="AD375" s="54"/>
      <c r="AE375" s="54"/>
      <c r="AF375" s="54"/>
      <c r="AG375" s="54"/>
      <c r="AH375" s="54"/>
      <c r="AI375" s="54"/>
      <c r="AJ375" s="54"/>
      <c r="AK375" s="54"/>
    </row>
    <row r="376" spans="1:37" hidden="1" x14ac:dyDescent="0.35">
      <c r="A376" s="54"/>
      <c r="B376" s="54"/>
      <c r="C376" s="54">
        <v>23640</v>
      </c>
      <c r="D376" s="54" t="s">
        <v>548</v>
      </c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  <c r="AC376" s="54"/>
      <c r="AD376" s="54"/>
      <c r="AE376" s="54"/>
      <c r="AF376" s="54"/>
      <c r="AG376" s="54"/>
      <c r="AH376" s="54"/>
      <c r="AI376" s="54"/>
      <c r="AJ376" s="54"/>
      <c r="AK376" s="54"/>
    </row>
    <row r="377" spans="1:37" hidden="1" x14ac:dyDescent="0.35">
      <c r="A377" s="54"/>
      <c r="B377" s="54"/>
      <c r="C377" s="54">
        <v>23641</v>
      </c>
      <c r="D377" s="54" t="s">
        <v>549</v>
      </c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  <c r="AC377" s="54"/>
      <c r="AD377" s="54"/>
      <c r="AE377" s="54"/>
      <c r="AF377" s="54"/>
      <c r="AG377" s="54"/>
      <c r="AH377" s="54"/>
      <c r="AI377" s="54"/>
      <c r="AJ377" s="54"/>
      <c r="AK377" s="54"/>
    </row>
    <row r="378" spans="1:37" hidden="1" x14ac:dyDescent="0.35">
      <c r="A378" s="54"/>
      <c r="B378" s="54"/>
      <c r="C378" s="54">
        <v>23642</v>
      </c>
      <c r="D378" s="54" t="s">
        <v>550</v>
      </c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  <c r="AC378" s="54"/>
      <c r="AD378" s="54"/>
      <c r="AE378" s="54"/>
      <c r="AF378" s="54"/>
      <c r="AG378" s="54"/>
      <c r="AH378" s="54"/>
      <c r="AI378" s="54"/>
      <c r="AJ378" s="54"/>
      <c r="AK378" s="54"/>
    </row>
    <row r="379" spans="1:37" hidden="1" x14ac:dyDescent="0.35">
      <c r="A379" s="54"/>
      <c r="B379" s="54"/>
      <c r="C379" s="54">
        <v>23644</v>
      </c>
      <c r="D379" s="54" t="s">
        <v>551</v>
      </c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  <c r="AC379" s="54"/>
      <c r="AD379" s="54"/>
      <c r="AE379" s="54"/>
      <c r="AF379" s="54"/>
      <c r="AG379" s="54"/>
      <c r="AH379" s="54"/>
      <c r="AI379" s="54"/>
      <c r="AJ379" s="54"/>
      <c r="AK379" s="54"/>
    </row>
    <row r="380" spans="1:37" hidden="1" x14ac:dyDescent="0.35">
      <c r="A380" s="54"/>
      <c r="B380" s="54"/>
      <c r="C380" s="54">
        <v>23645</v>
      </c>
      <c r="D380" s="54" t="s">
        <v>552</v>
      </c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  <c r="AB380" s="54"/>
      <c r="AC380" s="54"/>
      <c r="AD380" s="54"/>
      <c r="AE380" s="54"/>
      <c r="AF380" s="54"/>
      <c r="AG380" s="54"/>
      <c r="AH380" s="54"/>
      <c r="AI380" s="54"/>
      <c r="AJ380" s="54"/>
      <c r="AK380" s="54"/>
    </row>
    <row r="381" spans="1:37" hidden="1" x14ac:dyDescent="0.35">
      <c r="A381" s="54"/>
      <c r="B381" s="54"/>
      <c r="C381" s="54">
        <v>23646</v>
      </c>
      <c r="D381" s="54" t="s">
        <v>553</v>
      </c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  <c r="AB381" s="54"/>
      <c r="AC381" s="54"/>
      <c r="AD381" s="54"/>
      <c r="AE381" s="54"/>
      <c r="AF381" s="54"/>
      <c r="AG381" s="54"/>
      <c r="AH381" s="54"/>
      <c r="AI381" s="54"/>
      <c r="AJ381" s="54"/>
      <c r="AK381" s="54"/>
    </row>
    <row r="382" spans="1:37" hidden="1" x14ac:dyDescent="0.35">
      <c r="A382" s="54"/>
      <c r="B382" s="54"/>
      <c r="C382" s="54">
        <v>23647</v>
      </c>
      <c r="D382" s="54" t="s">
        <v>554</v>
      </c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  <c r="AB382" s="54"/>
      <c r="AC382" s="54"/>
      <c r="AD382" s="54"/>
      <c r="AE382" s="54"/>
      <c r="AF382" s="54"/>
      <c r="AG382" s="54"/>
      <c r="AH382" s="54"/>
      <c r="AI382" s="54"/>
      <c r="AJ382" s="54"/>
      <c r="AK382" s="54"/>
    </row>
    <row r="383" spans="1:37" hidden="1" x14ac:dyDescent="0.35">
      <c r="A383" s="54"/>
      <c r="B383" s="54"/>
      <c r="C383" s="54">
        <v>23650</v>
      </c>
      <c r="D383" s="54" t="s">
        <v>555</v>
      </c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  <c r="AB383" s="54"/>
      <c r="AC383" s="54"/>
      <c r="AD383" s="54"/>
      <c r="AE383" s="54"/>
      <c r="AF383" s="54"/>
      <c r="AG383" s="54"/>
      <c r="AH383" s="54"/>
      <c r="AI383" s="54"/>
      <c r="AJ383" s="54"/>
      <c r="AK383" s="54"/>
    </row>
    <row r="384" spans="1:37" hidden="1" x14ac:dyDescent="0.35">
      <c r="A384" s="54"/>
      <c r="B384" s="54"/>
      <c r="C384" s="54">
        <v>23651</v>
      </c>
      <c r="D384" s="54" t="s">
        <v>556</v>
      </c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  <c r="AB384" s="54"/>
      <c r="AC384" s="54"/>
      <c r="AD384" s="54"/>
      <c r="AE384" s="54"/>
      <c r="AF384" s="54"/>
      <c r="AG384" s="54"/>
      <c r="AH384" s="54"/>
      <c r="AI384" s="54"/>
      <c r="AJ384" s="54"/>
      <c r="AK384" s="54"/>
    </row>
    <row r="385" spans="1:37" hidden="1" x14ac:dyDescent="0.35">
      <c r="A385" s="54"/>
      <c r="B385" s="54"/>
      <c r="C385" s="54">
        <v>23652</v>
      </c>
      <c r="D385" s="54" t="s">
        <v>557</v>
      </c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  <c r="AB385" s="54"/>
      <c r="AC385" s="54"/>
      <c r="AD385" s="54"/>
      <c r="AE385" s="54"/>
      <c r="AF385" s="54"/>
      <c r="AG385" s="54"/>
      <c r="AH385" s="54"/>
      <c r="AI385" s="54"/>
      <c r="AJ385" s="54"/>
      <c r="AK385" s="54"/>
    </row>
    <row r="386" spans="1:37" hidden="1" x14ac:dyDescent="0.35">
      <c r="A386" s="54"/>
      <c r="B386" s="54"/>
      <c r="C386" s="54">
        <v>23653</v>
      </c>
      <c r="D386" s="54" t="s">
        <v>558</v>
      </c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</row>
    <row r="387" spans="1:37" hidden="1" x14ac:dyDescent="0.35">
      <c r="A387" s="54"/>
      <c r="B387" s="54"/>
      <c r="C387" s="54">
        <v>23654</v>
      </c>
      <c r="D387" s="54" t="s">
        <v>559</v>
      </c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  <c r="AE387" s="54"/>
      <c r="AF387" s="54"/>
      <c r="AG387" s="54"/>
      <c r="AH387" s="54"/>
      <c r="AI387" s="54"/>
      <c r="AJ387" s="54"/>
      <c r="AK387" s="54"/>
    </row>
    <row r="388" spans="1:37" hidden="1" x14ac:dyDescent="0.35">
      <c r="A388" s="54"/>
      <c r="B388" s="54"/>
      <c r="C388" s="54">
        <v>23655</v>
      </c>
      <c r="D388" s="54" t="s">
        <v>560</v>
      </c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  <c r="AB388" s="54"/>
      <c r="AC388" s="54"/>
      <c r="AD388" s="54"/>
      <c r="AE388" s="54"/>
      <c r="AF388" s="54"/>
      <c r="AG388" s="54"/>
      <c r="AH388" s="54"/>
      <c r="AI388" s="54"/>
      <c r="AJ388" s="54"/>
      <c r="AK388" s="54"/>
    </row>
    <row r="389" spans="1:37" hidden="1" x14ac:dyDescent="0.35">
      <c r="A389" s="54"/>
      <c r="B389" s="54"/>
      <c r="C389" s="54">
        <v>23656</v>
      </c>
      <c r="D389" s="54" t="s">
        <v>561</v>
      </c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  <c r="AE389" s="54"/>
      <c r="AF389" s="54"/>
      <c r="AG389" s="54"/>
      <c r="AH389" s="54"/>
      <c r="AI389" s="54"/>
      <c r="AJ389" s="54"/>
      <c r="AK389" s="54"/>
    </row>
    <row r="390" spans="1:37" hidden="1" x14ac:dyDescent="0.35">
      <c r="A390" s="54"/>
      <c r="B390" s="54"/>
      <c r="C390" s="54">
        <v>23657</v>
      </c>
      <c r="D390" s="54" t="s">
        <v>562</v>
      </c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  <c r="AE390" s="54"/>
      <c r="AF390" s="54"/>
      <c r="AG390" s="54"/>
      <c r="AH390" s="54"/>
      <c r="AI390" s="54"/>
      <c r="AJ390" s="54"/>
      <c r="AK390" s="54"/>
    </row>
    <row r="391" spans="1:37" hidden="1" x14ac:dyDescent="0.35">
      <c r="A391" s="54"/>
      <c r="B391" s="54"/>
      <c r="C391" s="54">
        <v>23659</v>
      </c>
      <c r="D391" s="54" t="s">
        <v>563</v>
      </c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  <c r="AE391" s="54"/>
      <c r="AF391" s="54"/>
      <c r="AG391" s="54"/>
      <c r="AH391" s="54"/>
      <c r="AI391" s="54"/>
      <c r="AJ391" s="54"/>
      <c r="AK391" s="54"/>
    </row>
    <row r="392" spans="1:37" hidden="1" x14ac:dyDescent="0.35">
      <c r="A392" s="54"/>
      <c r="B392" s="54"/>
      <c r="C392" s="54">
        <v>23660</v>
      </c>
      <c r="D392" s="54" t="s">
        <v>564</v>
      </c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  <c r="AE392" s="54"/>
      <c r="AF392" s="54"/>
      <c r="AG392" s="54"/>
      <c r="AH392" s="54"/>
      <c r="AI392" s="54"/>
      <c r="AJ392" s="54"/>
      <c r="AK392" s="54"/>
    </row>
    <row r="393" spans="1:37" hidden="1" x14ac:dyDescent="0.35">
      <c r="A393" s="54"/>
      <c r="B393" s="54"/>
      <c r="C393" s="54">
        <v>23663</v>
      </c>
      <c r="D393" s="54" t="s">
        <v>565</v>
      </c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  <c r="AE393" s="54"/>
      <c r="AF393" s="54"/>
      <c r="AG393" s="54"/>
      <c r="AH393" s="54"/>
      <c r="AI393" s="54"/>
      <c r="AJ393" s="54"/>
      <c r="AK393" s="54"/>
    </row>
    <row r="394" spans="1:37" hidden="1" x14ac:dyDescent="0.35">
      <c r="A394" s="54"/>
      <c r="B394" s="54"/>
      <c r="C394" s="54">
        <v>23687</v>
      </c>
      <c r="D394" s="54" t="s">
        <v>566</v>
      </c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  <c r="AE394" s="54"/>
      <c r="AF394" s="54"/>
      <c r="AG394" s="54"/>
      <c r="AH394" s="54"/>
      <c r="AI394" s="54"/>
      <c r="AJ394" s="54"/>
      <c r="AK394" s="54"/>
    </row>
    <row r="395" spans="1:37" hidden="1" x14ac:dyDescent="0.35">
      <c r="A395" s="54"/>
      <c r="B395" s="54"/>
      <c r="C395" s="54">
        <v>23688</v>
      </c>
      <c r="D395" s="54" t="s">
        <v>567</v>
      </c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  <c r="AE395" s="54"/>
      <c r="AF395" s="54"/>
      <c r="AG395" s="54"/>
      <c r="AH395" s="54"/>
      <c r="AI395" s="54"/>
      <c r="AJ395" s="54"/>
      <c r="AK395" s="54"/>
    </row>
    <row r="396" spans="1:37" hidden="1" x14ac:dyDescent="0.35">
      <c r="A396" s="54"/>
      <c r="B396" s="54"/>
      <c r="C396" s="54">
        <v>23689</v>
      </c>
      <c r="D396" s="54" t="s">
        <v>568</v>
      </c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  <c r="AE396" s="54"/>
      <c r="AF396" s="54"/>
      <c r="AG396" s="54"/>
      <c r="AH396" s="54"/>
      <c r="AI396" s="54"/>
      <c r="AJ396" s="54"/>
      <c r="AK396" s="54"/>
    </row>
    <row r="397" spans="1:37" hidden="1" x14ac:dyDescent="0.35">
      <c r="A397" s="54"/>
      <c r="B397" s="54"/>
      <c r="C397" s="54">
        <v>23690</v>
      </c>
      <c r="D397" s="54" t="s">
        <v>569</v>
      </c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  <c r="AE397" s="54"/>
      <c r="AF397" s="54"/>
      <c r="AG397" s="54"/>
      <c r="AH397" s="54"/>
      <c r="AI397" s="54"/>
      <c r="AJ397" s="54"/>
      <c r="AK397" s="54"/>
    </row>
    <row r="398" spans="1:37" hidden="1" x14ac:dyDescent="0.35">
      <c r="A398" s="54"/>
      <c r="B398" s="54"/>
      <c r="C398" s="54">
        <v>23691</v>
      </c>
      <c r="D398" s="54" t="s">
        <v>570</v>
      </c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  <c r="AE398" s="54"/>
      <c r="AF398" s="54"/>
      <c r="AG398" s="54"/>
      <c r="AH398" s="54"/>
      <c r="AI398" s="54"/>
      <c r="AJ398" s="54"/>
      <c r="AK398" s="54"/>
    </row>
    <row r="399" spans="1:37" hidden="1" x14ac:dyDescent="0.35">
      <c r="A399" s="54"/>
      <c r="B399" s="54"/>
      <c r="C399" s="54">
        <v>23692</v>
      </c>
      <c r="D399" s="54" t="s">
        <v>571</v>
      </c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  <c r="AE399" s="54"/>
      <c r="AF399" s="54"/>
      <c r="AG399" s="54"/>
      <c r="AH399" s="54"/>
      <c r="AI399" s="54"/>
      <c r="AJ399" s="54"/>
      <c r="AK399" s="54"/>
    </row>
    <row r="400" spans="1:37" hidden="1" x14ac:dyDescent="0.35">
      <c r="A400" s="54"/>
      <c r="B400" s="54"/>
      <c r="C400" s="54">
        <v>23693</v>
      </c>
      <c r="D400" s="54" t="s">
        <v>572</v>
      </c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  <c r="AC400" s="54"/>
      <c r="AD400" s="54"/>
      <c r="AE400" s="54"/>
      <c r="AF400" s="54"/>
      <c r="AG400" s="54"/>
      <c r="AH400" s="54"/>
      <c r="AI400" s="54"/>
      <c r="AJ400" s="54"/>
      <c r="AK400" s="54"/>
    </row>
    <row r="401" spans="1:37" hidden="1" x14ac:dyDescent="0.35">
      <c r="A401" s="54"/>
      <c r="B401" s="54"/>
      <c r="C401" s="54">
        <v>23694</v>
      </c>
      <c r="D401" s="54" t="s">
        <v>573</v>
      </c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  <c r="AC401" s="54"/>
      <c r="AD401" s="54"/>
      <c r="AE401" s="54"/>
      <c r="AF401" s="54"/>
      <c r="AG401" s="54"/>
      <c r="AH401" s="54"/>
      <c r="AI401" s="54"/>
      <c r="AJ401" s="54"/>
      <c r="AK401" s="54"/>
    </row>
    <row r="402" spans="1:37" hidden="1" x14ac:dyDescent="0.35">
      <c r="A402" s="54"/>
      <c r="B402" s="54"/>
      <c r="C402" s="54">
        <v>23695</v>
      </c>
      <c r="D402" s="54" t="s">
        <v>574</v>
      </c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  <c r="AB402" s="54"/>
      <c r="AC402" s="54"/>
      <c r="AD402" s="54"/>
      <c r="AE402" s="54"/>
      <c r="AF402" s="54"/>
      <c r="AG402" s="54"/>
      <c r="AH402" s="54"/>
      <c r="AI402" s="54"/>
      <c r="AJ402" s="54"/>
      <c r="AK402" s="54"/>
    </row>
    <row r="403" spans="1:37" hidden="1" x14ac:dyDescent="0.35">
      <c r="A403" s="54"/>
      <c r="B403" s="54"/>
      <c r="C403" s="54">
        <v>23696</v>
      </c>
      <c r="D403" s="54" t="s">
        <v>575</v>
      </c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  <c r="AB403" s="54"/>
      <c r="AC403" s="54"/>
      <c r="AD403" s="54"/>
      <c r="AE403" s="54"/>
      <c r="AF403" s="54"/>
      <c r="AG403" s="54"/>
      <c r="AH403" s="54"/>
      <c r="AI403" s="54"/>
      <c r="AJ403" s="54"/>
      <c r="AK403" s="54"/>
    </row>
    <row r="404" spans="1:37" hidden="1" x14ac:dyDescent="0.35">
      <c r="A404" s="54"/>
      <c r="B404" s="54"/>
      <c r="C404" s="54">
        <v>23697</v>
      </c>
      <c r="D404" s="54" t="s">
        <v>576</v>
      </c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  <c r="AC404" s="54"/>
      <c r="AD404" s="54"/>
      <c r="AE404" s="54"/>
      <c r="AF404" s="54"/>
      <c r="AG404" s="54"/>
      <c r="AH404" s="54"/>
      <c r="AI404" s="54"/>
      <c r="AJ404" s="54"/>
      <c r="AK404" s="54"/>
    </row>
    <row r="405" spans="1:37" hidden="1" x14ac:dyDescent="0.35">
      <c r="A405" s="54"/>
      <c r="B405" s="54"/>
      <c r="C405" s="54">
        <v>23698</v>
      </c>
      <c r="D405" s="54" t="s">
        <v>577</v>
      </c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  <c r="AB405" s="54"/>
      <c r="AC405" s="54"/>
      <c r="AD405" s="54"/>
      <c r="AE405" s="54"/>
      <c r="AF405" s="54"/>
      <c r="AG405" s="54"/>
      <c r="AH405" s="54"/>
      <c r="AI405" s="54"/>
      <c r="AJ405" s="54"/>
      <c r="AK405" s="54"/>
    </row>
    <row r="406" spans="1:37" hidden="1" x14ac:dyDescent="0.35">
      <c r="A406" s="54"/>
      <c r="B406" s="54"/>
      <c r="C406" s="54">
        <v>23699</v>
      </c>
      <c r="D406" s="54" t="s">
        <v>578</v>
      </c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  <c r="AC406" s="54"/>
      <c r="AD406" s="54"/>
      <c r="AE406" s="54"/>
      <c r="AF406" s="54"/>
      <c r="AG406" s="54"/>
      <c r="AH406" s="54"/>
      <c r="AI406" s="54"/>
      <c r="AJ406" s="54"/>
      <c r="AK406" s="54"/>
    </row>
    <row r="407" spans="1:37" hidden="1" x14ac:dyDescent="0.35">
      <c r="A407" s="54"/>
      <c r="B407" s="54"/>
      <c r="C407" s="54">
        <v>23700</v>
      </c>
      <c r="D407" s="54" t="s">
        <v>579</v>
      </c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  <c r="AC407" s="54"/>
      <c r="AD407" s="54"/>
      <c r="AE407" s="54"/>
      <c r="AF407" s="54"/>
      <c r="AG407" s="54"/>
      <c r="AH407" s="54"/>
      <c r="AI407" s="54"/>
      <c r="AJ407" s="54"/>
      <c r="AK407" s="54"/>
    </row>
    <row r="408" spans="1:37" hidden="1" x14ac:dyDescent="0.35">
      <c r="A408" s="54"/>
      <c r="B408" s="54"/>
      <c r="C408" s="54">
        <v>23701</v>
      </c>
      <c r="D408" s="54" t="s">
        <v>580</v>
      </c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  <c r="AB408" s="54"/>
      <c r="AC408" s="54"/>
      <c r="AD408" s="54"/>
      <c r="AE408" s="54"/>
      <c r="AF408" s="54"/>
      <c r="AG408" s="54"/>
      <c r="AH408" s="54"/>
      <c r="AI408" s="54"/>
      <c r="AJ408" s="54"/>
      <c r="AK408" s="54"/>
    </row>
    <row r="409" spans="1:37" hidden="1" x14ac:dyDescent="0.35">
      <c r="A409" s="54"/>
      <c r="B409" s="54"/>
      <c r="C409" s="54">
        <v>23702</v>
      </c>
      <c r="D409" s="54" t="s">
        <v>581</v>
      </c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  <c r="AC409" s="54"/>
      <c r="AD409" s="54"/>
      <c r="AE409" s="54"/>
      <c r="AF409" s="54"/>
      <c r="AG409" s="54"/>
      <c r="AH409" s="54"/>
      <c r="AI409" s="54"/>
      <c r="AJ409" s="54"/>
      <c r="AK409" s="54"/>
    </row>
    <row r="410" spans="1:37" hidden="1" x14ac:dyDescent="0.35">
      <c r="A410" s="54"/>
      <c r="B410" s="54"/>
      <c r="C410" s="54">
        <v>23703</v>
      </c>
      <c r="D410" s="54" t="s">
        <v>582</v>
      </c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  <c r="AC410" s="54"/>
      <c r="AD410" s="54"/>
      <c r="AE410" s="54"/>
      <c r="AF410" s="54"/>
      <c r="AG410" s="54"/>
      <c r="AH410" s="54"/>
      <c r="AI410" s="54"/>
      <c r="AJ410" s="54"/>
      <c r="AK410" s="54"/>
    </row>
    <row r="411" spans="1:37" hidden="1" x14ac:dyDescent="0.35">
      <c r="A411" s="54"/>
      <c r="B411" s="54"/>
      <c r="C411" s="54">
        <v>23704</v>
      </c>
      <c r="D411" s="54" t="s">
        <v>583</v>
      </c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  <c r="AC411" s="54"/>
      <c r="AD411" s="54"/>
      <c r="AE411" s="54"/>
      <c r="AF411" s="54"/>
      <c r="AG411" s="54"/>
      <c r="AH411" s="54"/>
      <c r="AI411" s="54"/>
      <c r="AJ411" s="54"/>
      <c r="AK411" s="54"/>
    </row>
    <row r="412" spans="1:37" hidden="1" x14ac:dyDescent="0.35">
      <c r="A412" s="54"/>
      <c r="B412" s="54"/>
      <c r="C412" s="54">
        <v>23705</v>
      </c>
      <c r="D412" s="54" t="s">
        <v>584</v>
      </c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  <c r="AC412" s="54"/>
      <c r="AD412" s="54"/>
      <c r="AE412" s="54"/>
      <c r="AF412" s="54"/>
      <c r="AG412" s="54"/>
      <c r="AH412" s="54"/>
      <c r="AI412" s="54"/>
      <c r="AJ412" s="54"/>
      <c r="AK412" s="54"/>
    </row>
    <row r="413" spans="1:37" hidden="1" x14ac:dyDescent="0.35">
      <c r="A413" s="54"/>
      <c r="B413" s="54"/>
      <c r="C413" s="54">
        <v>23706</v>
      </c>
      <c r="D413" s="54" t="s">
        <v>585</v>
      </c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  <c r="AC413" s="54"/>
      <c r="AD413" s="54"/>
      <c r="AE413" s="54"/>
      <c r="AF413" s="54"/>
      <c r="AG413" s="54"/>
      <c r="AH413" s="54"/>
      <c r="AI413" s="54"/>
      <c r="AJ413" s="54"/>
      <c r="AK413" s="54"/>
    </row>
    <row r="414" spans="1:37" hidden="1" x14ac:dyDescent="0.35">
      <c r="A414" s="54"/>
      <c r="B414" s="54"/>
      <c r="C414" s="54">
        <v>23707</v>
      </c>
      <c r="D414" s="54" t="s">
        <v>586</v>
      </c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  <c r="AC414" s="54"/>
      <c r="AD414" s="54"/>
      <c r="AE414" s="54"/>
      <c r="AF414" s="54"/>
      <c r="AG414" s="54"/>
      <c r="AH414" s="54"/>
      <c r="AI414" s="54"/>
      <c r="AJ414" s="54"/>
      <c r="AK414" s="54"/>
    </row>
    <row r="415" spans="1:37" hidden="1" x14ac:dyDescent="0.35">
      <c r="A415" s="54"/>
      <c r="B415" s="54"/>
      <c r="C415" s="54">
        <v>23708</v>
      </c>
      <c r="D415" s="54" t="s">
        <v>587</v>
      </c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  <c r="AC415" s="54"/>
      <c r="AD415" s="54"/>
      <c r="AE415" s="54"/>
      <c r="AF415" s="54"/>
      <c r="AG415" s="54"/>
      <c r="AH415" s="54"/>
      <c r="AI415" s="54"/>
      <c r="AJ415" s="54"/>
      <c r="AK415" s="54"/>
    </row>
    <row r="416" spans="1:37" hidden="1" x14ac:dyDescent="0.35">
      <c r="A416" s="54"/>
      <c r="B416" s="54"/>
      <c r="C416" s="54">
        <v>23709</v>
      </c>
      <c r="D416" s="54" t="s">
        <v>588</v>
      </c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  <c r="AC416" s="54"/>
      <c r="AD416" s="54"/>
      <c r="AE416" s="54"/>
      <c r="AF416" s="54"/>
      <c r="AG416" s="54"/>
      <c r="AH416" s="54"/>
      <c r="AI416" s="54"/>
      <c r="AJ416" s="54"/>
      <c r="AK416" s="54"/>
    </row>
    <row r="417" spans="1:37" hidden="1" x14ac:dyDescent="0.35">
      <c r="A417" s="54"/>
      <c r="B417" s="54"/>
      <c r="C417" s="54">
        <v>23710</v>
      </c>
      <c r="D417" s="54" t="s">
        <v>589</v>
      </c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  <c r="AC417" s="54"/>
      <c r="AD417" s="54"/>
      <c r="AE417" s="54"/>
      <c r="AF417" s="54"/>
      <c r="AG417" s="54"/>
      <c r="AH417" s="54"/>
      <c r="AI417" s="54"/>
      <c r="AJ417" s="54"/>
      <c r="AK417" s="54"/>
    </row>
    <row r="418" spans="1:37" hidden="1" x14ac:dyDescent="0.35">
      <c r="A418" s="54"/>
      <c r="B418" s="54"/>
      <c r="C418" s="54">
        <v>23711</v>
      </c>
      <c r="D418" s="54" t="s">
        <v>590</v>
      </c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  <c r="AC418" s="54"/>
      <c r="AD418" s="54"/>
      <c r="AE418" s="54"/>
      <c r="AF418" s="54"/>
      <c r="AG418" s="54"/>
      <c r="AH418" s="54"/>
      <c r="AI418" s="54"/>
      <c r="AJ418" s="54"/>
      <c r="AK418" s="54"/>
    </row>
    <row r="419" spans="1:37" hidden="1" x14ac:dyDescent="0.35">
      <c r="A419" s="54"/>
      <c r="B419" s="54"/>
      <c r="C419" s="54">
        <v>23712</v>
      </c>
      <c r="D419" s="54" t="s">
        <v>591</v>
      </c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  <c r="AC419" s="54"/>
      <c r="AD419" s="54"/>
      <c r="AE419" s="54"/>
      <c r="AF419" s="54"/>
      <c r="AG419" s="54"/>
      <c r="AH419" s="54"/>
      <c r="AI419" s="54"/>
      <c r="AJ419" s="54"/>
      <c r="AK419" s="54"/>
    </row>
    <row r="420" spans="1:37" hidden="1" x14ac:dyDescent="0.35">
      <c r="A420" s="54"/>
      <c r="B420" s="54"/>
      <c r="C420" s="54">
        <v>23713</v>
      </c>
      <c r="D420" s="54" t="s">
        <v>592</v>
      </c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  <c r="AB420" s="54"/>
      <c r="AC420" s="54"/>
      <c r="AD420" s="54"/>
      <c r="AE420" s="54"/>
      <c r="AF420" s="54"/>
      <c r="AG420" s="54"/>
      <c r="AH420" s="54"/>
      <c r="AI420" s="54"/>
      <c r="AJ420" s="54"/>
      <c r="AK420" s="54"/>
    </row>
    <row r="421" spans="1:37" hidden="1" x14ac:dyDescent="0.35">
      <c r="A421" s="54"/>
      <c r="B421" s="54"/>
      <c r="C421" s="54">
        <v>23714</v>
      </c>
      <c r="D421" s="54" t="s">
        <v>593</v>
      </c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  <c r="AB421" s="54"/>
      <c r="AC421" s="54"/>
      <c r="AD421" s="54"/>
      <c r="AE421" s="54"/>
      <c r="AF421" s="54"/>
      <c r="AG421" s="54"/>
      <c r="AH421" s="54"/>
      <c r="AI421" s="54"/>
      <c r="AJ421" s="54"/>
      <c r="AK421" s="54"/>
    </row>
    <row r="422" spans="1:37" hidden="1" x14ac:dyDescent="0.35">
      <c r="A422" s="54"/>
      <c r="B422" s="54"/>
      <c r="C422" s="54">
        <v>23715</v>
      </c>
      <c r="D422" s="54" t="s">
        <v>594</v>
      </c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  <c r="AB422" s="54"/>
      <c r="AC422" s="54"/>
      <c r="AD422" s="54"/>
      <c r="AE422" s="54"/>
      <c r="AF422" s="54"/>
      <c r="AG422" s="54"/>
      <c r="AH422" s="54"/>
      <c r="AI422" s="54"/>
      <c r="AJ422" s="54"/>
      <c r="AK422" s="54"/>
    </row>
    <row r="423" spans="1:37" hidden="1" x14ac:dyDescent="0.35">
      <c r="A423" s="54"/>
      <c r="B423" s="54"/>
      <c r="C423" s="54">
        <v>23716</v>
      </c>
      <c r="D423" s="54" t="s">
        <v>595</v>
      </c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  <c r="AB423" s="54"/>
      <c r="AC423" s="54"/>
      <c r="AD423" s="54"/>
      <c r="AE423" s="54"/>
      <c r="AF423" s="54"/>
      <c r="AG423" s="54"/>
      <c r="AH423" s="54"/>
      <c r="AI423" s="54"/>
      <c r="AJ423" s="54"/>
      <c r="AK423" s="54"/>
    </row>
    <row r="424" spans="1:37" hidden="1" x14ac:dyDescent="0.35">
      <c r="A424" s="54"/>
      <c r="B424" s="54"/>
      <c r="C424" s="54">
        <v>23717</v>
      </c>
      <c r="D424" s="54" t="s">
        <v>596</v>
      </c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  <c r="AE424" s="54"/>
      <c r="AF424" s="54"/>
      <c r="AG424" s="54"/>
      <c r="AH424" s="54"/>
      <c r="AI424" s="54"/>
      <c r="AJ424" s="54"/>
      <c r="AK424" s="54"/>
    </row>
    <row r="425" spans="1:37" hidden="1" x14ac:dyDescent="0.35">
      <c r="A425" s="54"/>
      <c r="B425" s="54"/>
      <c r="C425" s="54">
        <v>23718</v>
      </c>
      <c r="D425" s="54" t="s">
        <v>597</v>
      </c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  <c r="AE425" s="54"/>
      <c r="AF425" s="54"/>
      <c r="AG425" s="54"/>
      <c r="AH425" s="54"/>
      <c r="AI425" s="54"/>
      <c r="AJ425" s="54"/>
      <c r="AK425" s="54"/>
    </row>
    <row r="426" spans="1:37" hidden="1" x14ac:dyDescent="0.35">
      <c r="A426" s="54"/>
      <c r="B426" s="54"/>
      <c r="C426" s="54">
        <v>23719</v>
      </c>
      <c r="D426" s="54" t="s">
        <v>598</v>
      </c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  <c r="AB426" s="54"/>
      <c r="AC426" s="54"/>
      <c r="AD426" s="54"/>
      <c r="AE426" s="54"/>
      <c r="AF426" s="54"/>
      <c r="AG426" s="54"/>
      <c r="AH426" s="54"/>
      <c r="AI426" s="54"/>
      <c r="AJ426" s="54"/>
      <c r="AK426" s="54"/>
    </row>
    <row r="427" spans="1:37" hidden="1" x14ac:dyDescent="0.35">
      <c r="A427" s="54"/>
      <c r="B427" s="54"/>
      <c r="C427" s="54">
        <v>23720</v>
      </c>
      <c r="D427" s="54" t="s">
        <v>599</v>
      </c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  <c r="AE427" s="54"/>
      <c r="AF427" s="54"/>
      <c r="AG427" s="54"/>
      <c r="AH427" s="54"/>
      <c r="AI427" s="54"/>
      <c r="AJ427" s="54"/>
      <c r="AK427" s="54"/>
    </row>
    <row r="428" spans="1:37" hidden="1" x14ac:dyDescent="0.35">
      <c r="A428" s="54"/>
      <c r="B428" s="54"/>
      <c r="C428" s="54">
        <v>23721</v>
      </c>
      <c r="D428" s="54" t="s">
        <v>600</v>
      </c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  <c r="AE428" s="54"/>
      <c r="AF428" s="54"/>
      <c r="AG428" s="54"/>
      <c r="AH428" s="54"/>
      <c r="AI428" s="54"/>
      <c r="AJ428" s="54"/>
      <c r="AK428" s="54"/>
    </row>
    <row r="429" spans="1:37" hidden="1" x14ac:dyDescent="0.35">
      <c r="A429" s="54"/>
      <c r="B429" s="54"/>
      <c r="C429" s="54">
        <v>23722</v>
      </c>
      <c r="D429" s="54" t="s">
        <v>601</v>
      </c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  <c r="AE429" s="54"/>
      <c r="AF429" s="54"/>
      <c r="AG429" s="54"/>
      <c r="AH429" s="54"/>
      <c r="AI429" s="54"/>
      <c r="AJ429" s="54"/>
      <c r="AK429" s="54"/>
    </row>
    <row r="430" spans="1:37" hidden="1" x14ac:dyDescent="0.35">
      <c r="A430" s="54"/>
      <c r="B430" s="54"/>
      <c r="C430" s="54">
        <v>23729</v>
      </c>
      <c r="D430" s="54" t="s">
        <v>602</v>
      </c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  <c r="AE430" s="54"/>
      <c r="AF430" s="54"/>
      <c r="AG430" s="54"/>
      <c r="AH430" s="54"/>
      <c r="AI430" s="54"/>
      <c r="AJ430" s="54"/>
      <c r="AK430" s="54"/>
    </row>
    <row r="431" spans="1:37" hidden="1" x14ac:dyDescent="0.35">
      <c r="A431" s="54"/>
      <c r="B431" s="54"/>
      <c r="C431" s="54">
        <v>23743</v>
      </c>
      <c r="D431" s="54" t="s">
        <v>603</v>
      </c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  <c r="AE431" s="54"/>
      <c r="AF431" s="54"/>
      <c r="AG431" s="54"/>
      <c r="AH431" s="54"/>
      <c r="AI431" s="54"/>
      <c r="AJ431" s="54"/>
      <c r="AK431" s="54"/>
    </row>
    <row r="432" spans="1:37" hidden="1" x14ac:dyDescent="0.35">
      <c r="A432" s="54"/>
      <c r="B432" s="54"/>
      <c r="C432" s="54">
        <v>23744</v>
      </c>
      <c r="D432" s="54" t="s">
        <v>604</v>
      </c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  <c r="AE432" s="54"/>
      <c r="AF432" s="54"/>
      <c r="AG432" s="54"/>
      <c r="AH432" s="54"/>
      <c r="AI432" s="54"/>
      <c r="AJ432" s="54"/>
      <c r="AK432" s="54"/>
    </row>
    <row r="433" spans="1:37" hidden="1" x14ac:dyDescent="0.35">
      <c r="A433" s="54"/>
      <c r="B433" s="54"/>
      <c r="C433" s="54">
        <v>23754</v>
      </c>
      <c r="D433" s="54" t="s">
        <v>605</v>
      </c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  <c r="AE433" s="54"/>
      <c r="AF433" s="54"/>
      <c r="AG433" s="54"/>
      <c r="AH433" s="54"/>
      <c r="AI433" s="54"/>
      <c r="AJ433" s="54"/>
      <c r="AK433" s="54"/>
    </row>
    <row r="434" spans="1:37" hidden="1" x14ac:dyDescent="0.35">
      <c r="A434" s="54"/>
      <c r="B434" s="54"/>
      <c r="C434" s="54">
        <v>23756</v>
      </c>
      <c r="D434" s="54" t="s">
        <v>606</v>
      </c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  <c r="AE434" s="54"/>
      <c r="AF434" s="54"/>
      <c r="AG434" s="54"/>
      <c r="AH434" s="54"/>
      <c r="AI434" s="54"/>
      <c r="AJ434" s="54"/>
      <c r="AK434" s="54"/>
    </row>
    <row r="435" spans="1:37" hidden="1" x14ac:dyDescent="0.35">
      <c r="A435" s="54"/>
      <c r="B435" s="54"/>
      <c r="C435" s="54">
        <v>23757</v>
      </c>
      <c r="D435" s="54" t="s">
        <v>607</v>
      </c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  <c r="AE435" s="54"/>
      <c r="AF435" s="54"/>
      <c r="AG435" s="54"/>
      <c r="AH435" s="54"/>
      <c r="AI435" s="54"/>
      <c r="AJ435" s="54"/>
      <c r="AK435" s="54"/>
    </row>
    <row r="436" spans="1:37" hidden="1" x14ac:dyDescent="0.35">
      <c r="A436" s="54"/>
      <c r="B436" s="54"/>
      <c r="C436" s="54">
        <v>23758</v>
      </c>
      <c r="D436" s="54" t="s">
        <v>608</v>
      </c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  <c r="AE436" s="54"/>
      <c r="AF436" s="54"/>
      <c r="AG436" s="54"/>
      <c r="AH436" s="54"/>
      <c r="AI436" s="54"/>
      <c r="AJ436" s="54"/>
      <c r="AK436" s="54"/>
    </row>
    <row r="437" spans="1:37" hidden="1" x14ac:dyDescent="0.35">
      <c r="A437" s="54"/>
      <c r="B437" s="54"/>
      <c r="C437" s="54">
        <v>23759</v>
      </c>
      <c r="D437" s="54" t="s">
        <v>609</v>
      </c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  <c r="AE437" s="54"/>
      <c r="AF437" s="54"/>
      <c r="AG437" s="54"/>
      <c r="AH437" s="54"/>
      <c r="AI437" s="54"/>
      <c r="AJ437" s="54"/>
      <c r="AK437" s="54"/>
    </row>
    <row r="438" spans="1:37" hidden="1" x14ac:dyDescent="0.35">
      <c r="A438" s="54"/>
      <c r="B438" s="54"/>
      <c r="C438" s="54">
        <v>23760</v>
      </c>
      <c r="D438" s="54" t="s">
        <v>610</v>
      </c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  <c r="AB438" s="54"/>
      <c r="AC438" s="54"/>
      <c r="AD438" s="54"/>
      <c r="AE438" s="54"/>
      <c r="AF438" s="54"/>
      <c r="AG438" s="54"/>
      <c r="AH438" s="54"/>
      <c r="AI438" s="54"/>
      <c r="AJ438" s="54"/>
      <c r="AK438" s="54"/>
    </row>
    <row r="439" spans="1:37" hidden="1" x14ac:dyDescent="0.35">
      <c r="A439" s="54"/>
      <c r="B439" s="54"/>
      <c r="C439" s="54">
        <v>23765</v>
      </c>
      <c r="D439" s="54" t="s">
        <v>611</v>
      </c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  <c r="AB439" s="54"/>
      <c r="AC439" s="54"/>
      <c r="AD439" s="54"/>
      <c r="AE439" s="54"/>
      <c r="AF439" s="54"/>
      <c r="AG439" s="54"/>
      <c r="AH439" s="54"/>
      <c r="AI439" s="54"/>
      <c r="AJ439" s="54"/>
      <c r="AK439" s="54"/>
    </row>
    <row r="440" spans="1:37" hidden="1" x14ac:dyDescent="0.35">
      <c r="A440" s="54"/>
      <c r="B440" s="54"/>
      <c r="C440" s="54">
        <v>23766</v>
      </c>
      <c r="D440" s="54" t="s">
        <v>612</v>
      </c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  <c r="AB440" s="54"/>
      <c r="AC440" s="54"/>
      <c r="AD440" s="54"/>
      <c r="AE440" s="54"/>
      <c r="AF440" s="54"/>
      <c r="AG440" s="54"/>
      <c r="AH440" s="54"/>
      <c r="AI440" s="54"/>
      <c r="AJ440" s="54"/>
      <c r="AK440" s="54"/>
    </row>
    <row r="441" spans="1:37" hidden="1" x14ac:dyDescent="0.35">
      <c r="A441" s="54"/>
      <c r="B441" s="54"/>
      <c r="C441" s="54">
        <v>23767</v>
      </c>
      <c r="D441" s="54" t="s">
        <v>613</v>
      </c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  <c r="AB441" s="54"/>
      <c r="AC441" s="54"/>
      <c r="AD441" s="54"/>
      <c r="AE441" s="54"/>
      <c r="AF441" s="54"/>
      <c r="AG441" s="54"/>
      <c r="AH441" s="54"/>
      <c r="AI441" s="54"/>
      <c r="AJ441" s="54"/>
      <c r="AK441" s="54"/>
    </row>
    <row r="442" spans="1:37" hidden="1" x14ac:dyDescent="0.35">
      <c r="A442" s="54"/>
      <c r="B442" s="54"/>
      <c r="C442" s="54">
        <v>23768</v>
      </c>
      <c r="D442" s="54" t="s">
        <v>614</v>
      </c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  <c r="AB442" s="54"/>
      <c r="AC442" s="54"/>
      <c r="AD442" s="54"/>
      <c r="AE442" s="54"/>
      <c r="AF442" s="54"/>
      <c r="AG442" s="54"/>
      <c r="AH442" s="54"/>
      <c r="AI442" s="54"/>
      <c r="AJ442" s="54"/>
      <c r="AK442" s="54"/>
    </row>
    <row r="443" spans="1:37" hidden="1" x14ac:dyDescent="0.35">
      <c r="A443" s="54"/>
      <c r="B443" s="54"/>
      <c r="C443" s="54">
        <v>23769</v>
      </c>
      <c r="D443" s="54" t="s">
        <v>615</v>
      </c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  <c r="AB443" s="54"/>
      <c r="AC443" s="54"/>
      <c r="AD443" s="54"/>
      <c r="AE443" s="54"/>
      <c r="AF443" s="54"/>
      <c r="AG443" s="54"/>
      <c r="AH443" s="54"/>
      <c r="AI443" s="54"/>
      <c r="AJ443" s="54"/>
      <c r="AK443" s="54"/>
    </row>
    <row r="444" spans="1:37" hidden="1" x14ac:dyDescent="0.35">
      <c r="A444" s="54"/>
      <c r="B444" s="54"/>
      <c r="C444" s="54">
        <v>23770</v>
      </c>
      <c r="D444" s="54" t="s">
        <v>616</v>
      </c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  <c r="AB444" s="54"/>
      <c r="AC444" s="54"/>
      <c r="AD444" s="54"/>
      <c r="AE444" s="54"/>
      <c r="AF444" s="54"/>
      <c r="AG444" s="54"/>
      <c r="AH444" s="54"/>
      <c r="AI444" s="54"/>
      <c r="AJ444" s="54"/>
      <c r="AK444" s="54"/>
    </row>
    <row r="445" spans="1:37" hidden="1" x14ac:dyDescent="0.35">
      <c r="A445" s="54"/>
      <c r="B445" s="54"/>
      <c r="C445" s="54">
        <v>23776</v>
      </c>
      <c r="D445" s="54" t="s">
        <v>617</v>
      </c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  <c r="AB445" s="54"/>
      <c r="AC445" s="54"/>
      <c r="AD445" s="54"/>
      <c r="AE445" s="54"/>
      <c r="AF445" s="54"/>
      <c r="AG445" s="54"/>
      <c r="AH445" s="54"/>
      <c r="AI445" s="54"/>
      <c r="AJ445" s="54"/>
      <c r="AK445" s="54"/>
    </row>
    <row r="446" spans="1:37" hidden="1" x14ac:dyDescent="0.35">
      <c r="A446" s="54"/>
      <c r="B446" s="54"/>
      <c r="C446" s="54">
        <v>23777</v>
      </c>
      <c r="D446" s="54" t="s">
        <v>618</v>
      </c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  <c r="AB446" s="54"/>
      <c r="AC446" s="54"/>
      <c r="AD446" s="54"/>
      <c r="AE446" s="54"/>
      <c r="AF446" s="54"/>
      <c r="AG446" s="54"/>
      <c r="AH446" s="54"/>
      <c r="AI446" s="54"/>
      <c r="AJ446" s="54"/>
      <c r="AK446" s="54"/>
    </row>
    <row r="447" spans="1:37" hidden="1" x14ac:dyDescent="0.35">
      <c r="A447" s="54"/>
      <c r="B447" s="54"/>
      <c r="C447" s="54">
        <v>23778</v>
      </c>
      <c r="D447" s="54" t="s">
        <v>619</v>
      </c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  <c r="AB447" s="54"/>
      <c r="AC447" s="54"/>
      <c r="AD447" s="54"/>
      <c r="AE447" s="54"/>
      <c r="AF447" s="54"/>
      <c r="AG447" s="54"/>
      <c r="AH447" s="54"/>
      <c r="AI447" s="54"/>
      <c r="AJ447" s="54"/>
      <c r="AK447" s="54"/>
    </row>
    <row r="448" spans="1:37" hidden="1" x14ac:dyDescent="0.35">
      <c r="A448" s="54"/>
      <c r="B448" s="54"/>
      <c r="C448" s="54">
        <v>23779</v>
      </c>
      <c r="D448" s="54" t="s">
        <v>620</v>
      </c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  <c r="AB448" s="54"/>
      <c r="AC448" s="54"/>
      <c r="AD448" s="54"/>
      <c r="AE448" s="54"/>
      <c r="AF448" s="54"/>
      <c r="AG448" s="54"/>
      <c r="AH448" s="54"/>
      <c r="AI448" s="54"/>
      <c r="AJ448" s="54"/>
      <c r="AK448" s="54"/>
    </row>
    <row r="449" spans="1:37" hidden="1" x14ac:dyDescent="0.35">
      <c r="A449" s="54"/>
      <c r="B449" s="54"/>
      <c r="C449" s="54">
        <v>23780</v>
      </c>
      <c r="D449" s="54" t="s">
        <v>621</v>
      </c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  <c r="AB449" s="54"/>
      <c r="AC449" s="54"/>
      <c r="AD449" s="54"/>
      <c r="AE449" s="54"/>
      <c r="AF449" s="54"/>
      <c r="AG449" s="54"/>
      <c r="AH449" s="54"/>
      <c r="AI449" s="54"/>
      <c r="AJ449" s="54"/>
      <c r="AK449" s="54"/>
    </row>
    <row r="450" spans="1:37" hidden="1" x14ac:dyDescent="0.35">
      <c r="A450" s="54"/>
      <c r="B450" s="54"/>
      <c r="C450" s="54">
        <v>23780</v>
      </c>
      <c r="D450" s="54" t="s">
        <v>622</v>
      </c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  <c r="AB450" s="54"/>
      <c r="AC450" s="54"/>
      <c r="AD450" s="54"/>
      <c r="AE450" s="54"/>
      <c r="AF450" s="54"/>
      <c r="AG450" s="54"/>
      <c r="AH450" s="54"/>
      <c r="AI450" s="54"/>
      <c r="AJ450" s="54"/>
      <c r="AK450" s="54"/>
    </row>
    <row r="451" spans="1:37" hidden="1" x14ac:dyDescent="0.35">
      <c r="A451" s="54"/>
      <c r="B451" s="54"/>
      <c r="C451" s="54">
        <v>23781</v>
      </c>
      <c r="D451" s="54" t="s">
        <v>623</v>
      </c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  <c r="AB451" s="54"/>
      <c r="AC451" s="54"/>
      <c r="AD451" s="54"/>
      <c r="AE451" s="54"/>
      <c r="AF451" s="54"/>
      <c r="AG451" s="54"/>
      <c r="AH451" s="54"/>
      <c r="AI451" s="54"/>
      <c r="AJ451" s="54"/>
      <c r="AK451" s="54"/>
    </row>
    <row r="452" spans="1:37" hidden="1" x14ac:dyDescent="0.35">
      <c r="A452" s="54"/>
      <c r="B452" s="54"/>
      <c r="C452" s="54">
        <v>23783</v>
      </c>
      <c r="D452" s="54" t="s">
        <v>624</v>
      </c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  <c r="AC452" s="54"/>
      <c r="AD452" s="54"/>
      <c r="AE452" s="54"/>
      <c r="AF452" s="54"/>
      <c r="AG452" s="54"/>
      <c r="AH452" s="54"/>
      <c r="AI452" s="54"/>
      <c r="AJ452" s="54"/>
      <c r="AK452" s="54"/>
    </row>
    <row r="453" spans="1:37" hidden="1" x14ac:dyDescent="0.35">
      <c r="A453" s="54"/>
      <c r="B453" s="54"/>
      <c r="C453" s="54">
        <v>23786</v>
      </c>
      <c r="D453" s="54" t="s">
        <v>625</v>
      </c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  <c r="AB453" s="54"/>
      <c r="AC453" s="54"/>
      <c r="AD453" s="54"/>
      <c r="AE453" s="54"/>
      <c r="AF453" s="54"/>
      <c r="AG453" s="54"/>
      <c r="AH453" s="54"/>
      <c r="AI453" s="54"/>
      <c r="AJ453" s="54"/>
      <c r="AK453" s="54"/>
    </row>
    <row r="454" spans="1:37" hidden="1" x14ac:dyDescent="0.35">
      <c r="A454" s="54"/>
      <c r="B454" s="54"/>
      <c r="C454" s="54">
        <v>23790</v>
      </c>
      <c r="D454" s="54" t="s">
        <v>626</v>
      </c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  <c r="AB454" s="54"/>
      <c r="AC454" s="54"/>
      <c r="AD454" s="54"/>
      <c r="AE454" s="54"/>
      <c r="AF454" s="54"/>
      <c r="AG454" s="54"/>
      <c r="AH454" s="54"/>
      <c r="AI454" s="54"/>
      <c r="AJ454" s="54"/>
      <c r="AK454" s="54"/>
    </row>
    <row r="455" spans="1:37" hidden="1" x14ac:dyDescent="0.35">
      <c r="A455" s="54"/>
      <c r="B455" s="54"/>
      <c r="C455" s="54">
        <v>23791</v>
      </c>
      <c r="D455" s="54" t="s">
        <v>627</v>
      </c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  <c r="AB455" s="54"/>
      <c r="AC455" s="54"/>
      <c r="AD455" s="54"/>
      <c r="AE455" s="54"/>
      <c r="AF455" s="54"/>
      <c r="AG455" s="54"/>
      <c r="AH455" s="54"/>
      <c r="AI455" s="54"/>
      <c r="AJ455" s="54"/>
      <c r="AK455" s="54"/>
    </row>
    <row r="456" spans="1:37" hidden="1" x14ac:dyDescent="0.35">
      <c r="A456" s="54"/>
      <c r="B456" s="54"/>
      <c r="C456" s="54">
        <v>23792</v>
      </c>
      <c r="D456" s="54" t="s">
        <v>628</v>
      </c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  <c r="AC456" s="54"/>
      <c r="AD456" s="54"/>
      <c r="AE456" s="54"/>
      <c r="AF456" s="54"/>
      <c r="AG456" s="54"/>
      <c r="AH456" s="54"/>
      <c r="AI456" s="54"/>
      <c r="AJ456" s="54"/>
      <c r="AK456" s="54"/>
    </row>
    <row r="457" spans="1:37" hidden="1" x14ac:dyDescent="0.35">
      <c r="A457" s="54"/>
      <c r="B457" s="54"/>
      <c r="C457" s="54">
        <v>23793</v>
      </c>
      <c r="D457" s="54" t="s">
        <v>629</v>
      </c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  <c r="AB457" s="54"/>
      <c r="AC457" s="54"/>
      <c r="AD457" s="54"/>
      <c r="AE457" s="54"/>
      <c r="AF457" s="54"/>
      <c r="AG457" s="54"/>
      <c r="AH457" s="54"/>
      <c r="AI457" s="54"/>
      <c r="AJ457" s="54"/>
      <c r="AK457" s="54"/>
    </row>
    <row r="458" spans="1:37" hidden="1" x14ac:dyDescent="0.35">
      <c r="A458" s="54"/>
      <c r="B458" s="54"/>
      <c r="C458" s="54">
        <v>23794</v>
      </c>
      <c r="D458" s="54" t="s">
        <v>630</v>
      </c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  <c r="AB458" s="54"/>
      <c r="AC458" s="54"/>
      <c r="AD458" s="54"/>
      <c r="AE458" s="54"/>
      <c r="AF458" s="54"/>
      <c r="AG458" s="54"/>
      <c r="AH458" s="54"/>
      <c r="AI458" s="54"/>
      <c r="AJ458" s="54"/>
      <c r="AK458" s="54"/>
    </row>
    <row r="459" spans="1:37" hidden="1" x14ac:dyDescent="0.35">
      <c r="A459" s="54"/>
      <c r="B459" s="54"/>
      <c r="C459" s="54">
        <v>23796</v>
      </c>
      <c r="D459" s="54" t="s">
        <v>631</v>
      </c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  <c r="AB459" s="54"/>
      <c r="AC459" s="54"/>
      <c r="AD459" s="54"/>
      <c r="AE459" s="54"/>
      <c r="AF459" s="54"/>
      <c r="AG459" s="54"/>
      <c r="AH459" s="54"/>
      <c r="AI459" s="54"/>
      <c r="AJ459" s="54"/>
      <c r="AK459" s="54"/>
    </row>
    <row r="460" spans="1:37" hidden="1" x14ac:dyDescent="0.35">
      <c r="A460" s="54"/>
      <c r="B460" s="54"/>
      <c r="C460" s="54">
        <v>23797</v>
      </c>
      <c r="D460" s="54" t="s">
        <v>632</v>
      </c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  <c r="AB460" s="54"/>
      <c r="AC460" s="54"/>
      <c r="AD460" s="54"/>
      <c r="AE460" s="54"/>
      <c r="AF460" s="54"/>
      <c r="AG460" s="54"/>
      <c r="AH460" s="54"/>
      <c r="AI460" s="54"/>
      <c r="AJ460" s="54"/>
      <c r="AK460" s="54"/>
    </row>
    <row r="461" spans="1:37" hidden="1" x14ac:dyDescent="0.35">
      <c r="A461" s="54"/>
      <c r="B461" s="54"/>
      <c r="C461" s="54">
        <v>23798</v>
      </c>
      <c r="D461" s="54" t="s">
        <v>633</v>
      </c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  <c r="AB461" s="54"/>
      <c r="AC461" s="54"/>
      <c r="AD461" s="54"/>
      <c r="AE461" s="54"/>
      <c r="AF461" s="54"/>
      <c r="AG461" s="54"/>
      <c r="AH461" s="54"/>
      <c r="AI461" s="54"/>
      <c r="AJ461" s="54"/>
      <c r="AK461" s="54"/>
    </row>
    <row r="462" spans="1:37" hidden="1" x14ac:dyDescent="0.35">
      <c r="A462" s="54"/>
      <c r="B462" s="54"/>
      <c r="C462" s="54">
        <v>23799</v>
      </c>
      <c r="D462" s="54" t="s">
        <v>634</v>
      </c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  <c r="AE462" s="54"/>
      <c r="AF462" s="54"/>
      <c r="AG462" s="54"/>
      <c r="AH462" s="54"/>
      <c r="AI462" s="54"/>
      <c r="AJ462" s="54"/>
      <c r="AK462" s="54"/>
    </row>
    <row r="463" spans="1:37" hidden="1" x14ac:dyDescent="0.35">
      <c r="A463" s="54"/>
      <c r="B463" s="54"/>
      <c r="C463" s="54">
        <v>23800</v>
      </c>
      <c r="D463" s="54" t="s">
        <v>635</v>
      </c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  <c r="AE463" s="54"/>
      <c r="AF463" s="54"/>
      <c r="AG463" s="54"/>
      <c r="AH463" s="54"/>
      <c r="AI463" s="54"/>
      <c r="AJ463" s="54"/>
      <c r="AK463" s="54"/>
    </row>
    <row r="464" spans="1:37" hidden="1" x14ac:dyDescent="0.35">
      <c r="A464" s="54"/>
      <c r="B464" s="54"/>
      <c r="C464" s="54">
        <v>23801</v>
      </c>
      <c r="D464" s="54" t="s">
        <v>636</v>
      </c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  <c r="AB464" s="54"/>
      <c r="AC464" s="54"/>
      <c r="AD464" s="54"/>
      <c r="AE464" s="54"/>
      <c r="AF464" s="54"/>
      <c r="AG464" s="54"/>
      <c r="AH464" s="54"/>
      <c r="AI464" s="54"/>
      <c r="AJ464" s="54"/>
      <c r="AK464" s="54"/>
    </row>
    <row r="465" spans="1:37" hidden="1" x14ac:dyDescent="0.35">
      <c r="A465" s="54"/>
      <c r="B465" s="54"/>
      <c r="C465" s="54">
        <v>23802</v>
      </c>
      <c r="D465" s="54" t="s">
        <v>637</v>
      </c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  <c r="AE465" s="54"/>
      <c r="AF465" s="54"/>
      <c r="AG465" s="54"/>
      <c r="AH465" s="54"/>
      <c r="AI465" s="54"/>
      <c r="AJ465" s="54"/>
      <c r="AK465" s="54"/>
    </row>
    <row r="466" spans="1:37" hidden="1" x14ac:dyDescent="0.35">
      <c r="A466" s="54"/>
      <c r="B466" s="54"/>
      <c r="C466" s="54">
        <v>23803</v>
      </c>
      <c r="D466" s="54" t="s">
        <v>638</v>
      </c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  <c r="AE466" s="54"/>
      <c r="AF466" s="54"/>
      <c r="AG466" s="54"/>
      <c r="AH466" s="54"/>
      <c r="AI466" s="54"/>
      <c r="AJ466" s="54"/>
      <c r="AK466" s="54"/>
    </row>
    <row r="467" spans="1:37" hidden="1" x14ac:dyDescent="0.35">
      <c r="A467" s="54"/>
      <c r="B467" s="54"/>
      <c r="C467" s="54">
        <v>23805</v>
      </c>
      <c r="D467" s="54" t="s">
        <v>639</v>
      </c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  <c r="AE467" s="54"/>
      <c r="AF467" s="54"/>
      <c r="AG467" s="54"/>
      <c r="AH467" s="54"/>
      <c r="AI467" s="54"/>
      <c r="AJ467" s="54"/>
      <c r="AK467" s="54"/>
    </row>
    <row r="468" spans="1:37" hidden="1" x14ac:dyDescent="0.35">
      <c r="A468" s="54"/>
      <c r="B468" s="54"/>
      <c r="C468" s="54">
        <v>23807</v>
      </c>
      <c r="D468" s="54" t="s">
        <v>640</v>
      </c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  <c r="AE468" s="54"/>
      <c r="AF468" s="54"/>
      <c r="AG468" s="54"/>
      <c r="AH468" s="54"/>
      <c r="AI468" s="54"/>
      <c r="AJ468" s="54"/>
      <c r="AK468" s="54"/>
    </row>
    <row r="469" spans="1:37" hidden="1" x14ac:dyDescent="0.35">
      <c r="A469" s="54"/>
      <c r="B469" s="54"/>
      <c r="C469" s="54">
        <v>23808</v>
      </c>
      <c r="D469" s="54" t="s">
        <v>641</v>
      </c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  <c r="AE469" s="54"/>
      <c r="AF469" s="54"/>
      <c r="AG469" s="54"/>
      <c r="AH469" s="54"/>
      <c r="AI469" s="54"/>
      <c r="AJ469" s="54"/>
      <c r="AK469" s="54"/>
    </row>
    <row r="470" spans="1:37" hidden="1" x14ac:dyDescent="0.35">
      <c r="A470" s="54"/>
      <c r="B470" s="54"/>
      <c r="C470" s="54">
        <v>23810</v>
      </c>
      <c r="D470" s="54" t="s">
        <v>642</v>
      </c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  <c r="AE470" s="54"/>
      <c r="AF470" s="54"/>
      <c r="AG470" s="54"/>
      <c r="AH470" s="54"/>
      <c r="AI470" s="54"/>
      <c r="AJ470" s="54"/>
      <c r="AK470" s="54"/>
    </row>
    <row r="471" spans="1:37" hidden="1" x14ac:dyDescent="0.35">
      <c r="A471" s="54"/>
      <c r="B471" s="54"/>
      <c r="C471" s="54">
        <v>23811</v>
      </c>
      <c r="D471" s="54" t="s">
        <v>643</v>
      </c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  <c r="AE471" s="54"/>
      <c r="AF471" s="54"/>
      <c r="AG471" s="54"/>
      <c r="AH471" s="54"/>
      <c r="AI471" s="54"/>
      <c r="AJ471" s="54"/>
      <c r="AK471" s="54"/>
    </row>
    <row r="472" spans="1:37" hidden="1" x14ac:dyDescent="0.35">
      <c r="A472" s="54"/>
      <c r="B472" s="54"/>
      <c r="C472" s="54">
        <v>23856</v>
      </c>
      <c r="D472" s="54" t="s">
        <v>644</v>
      </c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  <c r="AE472" s="54"/>
      <c r="AF472" s="54"/>
      <c r="AG472" s="54"/>
      <c r="AH472" s="54"/>
      <c r="AI472" s="54"/>
      <c r="AJ472" s="54"/>
      <c r="AK472" s="54"/>
    </row>
    <row r="473" spans="1:37" hidden="1" x14ac:dyDescent="0.35">
      <c r="A473" s="54"/>
      <c r="B473" s="54"/>
      <c r="C473" s="54">
        <v>23857</v>
      </c>
      <c r="D473" s="54" t="s">
        <v>645</v>
      </c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  <c r="AE473" s="54"/>
      <c r="AF473" s="54"/>
      <c r="AG473" s="54"/>
      <c r="AH473" s="54"/>
      <c r="AI473" s="54"/>
      <c r="AJ473" s="54"/>
      <c r="AK473" s="54"/>
    </row>
    <row r="474" spans="1:37" hidden="1" x14ac:dyDescent="0.35">
      <c r="A474" s="54"/>
      <c r="B474" s="54"/>
      <c r="C474" s="54">
        <v>23858</v>
      </c>
      <c r="D474" s="54" t="s">
        <v>646</v>
      </c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  <c r="AE474" s="54"/>
      <c r="AF474" s="54"/>
      <c r="AG474" s="54"/>
      <c r="AH474" s="54"/>
      <c r="AI474" s="54"/>
      <c r="AJ474" s="54"/>
      <c r="AK474" s="54"/>
    </row>
    <row r="475" spans="1:37" hidden="1" x14ac:dyDescent="0.35">
      <c r="A475" s="54"/>
      <c r="B475" s="54"/>
      <c r="C475" s="54">
        <v>23895</v>
      </c>
      <c r="D475" s="54" t="s">
        <v>647</v>
      </c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  <c r="AE475" s="54"/>
      <c r="AF475" s="54"/>
      <c r="AG475" s="54"/>
      <c r="AH475" s="54"/>
      <c r="AI475" s="54"/>
      <c r="AJ475" s="54"/>
      <c r="AK475" s="54"/>
    </row>
    <row r="476" spans="1:37" hidden="1" x14ac:dyDescent="0.35">
      <c r="A476" s="54"/>
      <c r="B476" s="54"/>
      <c r="C476" s="54">
        <v>23900</v>
      </c>
      <c r="D476" s="54" t="s">
        <v>648</v>
      </c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  <c r="AB476" s="54"/>
      <c r="AC476" s="54"/>
      <c r="AD476" s="54"/>
      <c r="AE476" s="54"/>
      <c r="AF476" s="54"/>
      <c r="AG476" s="54"/>
      <c r="AH476" s="54"/>
      <c r="AI476" s="54"/>
      <c r="AJ476" s="54"/>
      <c r="AK476" s="54"/>
    </row>
    <row r="477" spans="1:37" hidden="1" x14ac:dyDescent="0.35">
      <c r="A477" s="54"/>
      <c r="B477" s="54"/>
      <c r="C477" s="54">
        <v>23901</v>
      </c>
      <c r="D477" s="54" t="s">
        <v>649</v>
      </c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  <c r="AB477" s="54"/>
      <c r="AC477" s="54"/>
      <c r="AD477" s="54"/>
      <c r="AE477" s="54"/>
      <c r="AF477" s="54"/>
      <c r="AG477" s="54"/>
      <c r="AH477" s="54"/>
      <c r="AI477" s="54"/>
      <c r="AJ477" s="54"/>
      <c r="AK477" s="54"/>
    </row>
    <row r="478" spans="1:37" hidden="1" x14ac:dyDescent="0.35">
      <c r="A478" s="54"/>
      <c r="B478" s="54"/>
      <c r="C478" s="54">
        <v>23902</v>
      </c>
      <c r="D478" s="54" t="s">
        <v>650</v>
      </c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  <c r="AB478" s="54"/>
      <c r="AC478" s="54"/>
      <c r="AD478" s="54"/>
      <c r="AE478" s="54"/>
      <c r="AF478" s="54"/>
      <c r="AG478" s="54"/>
      <c r="AH478" s="54"/>
      <c r="AI478" s="54"/>
      <c r="AJ478" s="54"/>
      <c r="AK478" s="54"/>
    </row>
    <row r="479" spans="1:37" hidden="1" x14ac:dyDescent="0.35">
      <c r="A479" s="54"/>
      <c r="B479" s="54"/>
      <c r="C479" s="54">
        <v>23903</v>
      </c>
      <c r="D479" s="54" t="s">
        <v>651</v>
      </c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  <c r="AB479" s="54"/>
      <c r="AC479" s="54"/>
      <c r="AD479" s="54"/>
      <c r="AE479" s="54"/>
      <c r="AF479" s="54"/>
      <c r="AG479" s="54"/>
      <c r="AH479" s="54"/>
      <c r="AI479" s="54"/>
      <c r="AJ479" s="54"/>
      <c r="AK479" s="54"/>
    </row>
    <row r="480" spans="1:37" hidden="1" x14ac:dyDescent="0.35">
      <c r="A480" s="54"/>
      <c r="B480" s="54"/>
      <c r="C480" s="54">
        <v>23913</v>
      </c>
      <c r="D480" s="54" t="s">
        <v>652</v>
      </c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  <c r="AB480" s="54"/>
      <c r="AC480" s="54"/>
      <c r="AD480" s="54"/>
      <c r="AE480" s="54"/>
      <c r="AF480" s="54"/>
      <c r="AG480" s="54"/>
      <c r="AH480" s="54"/>
      <c r="AI480" s="54"/>
      <c r="AJ480" s="54"/>
      <c r="AK480" s="54"/>
    </row>
    <row r="481" spans="1:37" hidden="1" x14ac:dyDescent="0.35">
      <c r="A481" s="54"/>
      <c r="B481" s="54"/>
      <c r="C481" s="54">
        <v>23914</v>
      </c>
      <c r="D481" s="54" t="s">
        <v>653</v>
      </c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  <c r="AB481" s="54"/>
      <c r="AC481" s="54"/>
      <c r="AD481" s="54"/>
      <c r="AE481" s="54"/>
      <c r="AF481" s="54"/>
      <c r="AG481" s="54"/>
      <c r="AH481" s="54"/>
      <c r="AI481" s="54"/>
      <c r="AJ481" s="54"/>
      <c r="AK481" s="54"/>
    </row>
    <row r="482" spans="1:37" hidden="1" x14ac:dyDescent="0.35">
      <c r="A482" s="54"/>
      <c r="B482" s="54"/>
      <c r="C482" s="54">
        <v>23915</v>
      </c>
      <c r="D482" s="54" t="s">
        <v>654</v>
      </c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  <c r="AB482" s="54"/>
      <c r="AC482" s="54"/>
      <c r="AD482" s="54"/>
      <c r="AE482" s="54"/>
      <c r="AF482" s="54"/>
      <c r="AG482" s="54"/>
      <c r="AH482" s="54"/>
      <c r="AI482" s="54"/>
      <c r="AJ482" s="54"/>
      <c r="AK482" s="54"/>
    </row>
    <row r="483" spans="1:37" hidden="1" x14ac:dyDescent="0.35">
      <c r="A483" s="54"/>
      <c r="B483" s="54"/>
      <c r="C483" s="54">
        <v>23982</v>
      </c>
      <c r="D483" s="54" t="s">
        <v>655</v>
      </c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  <c r="AB483" s="54"/>
      <c r="AC483" s="54"/>
      <c r="AD483" s="54"/>
      <c r="AE483" s="54"/>
      <c r="AF483" s="54"/>
      <c r="AG483" s="54"/>
      <c r="AH483" s="54"/>
      <c r="AI483" s="54"/>
      <c r="AJ483" s="54"/>
      <c r="AK483" s="54"/>
    </row>
    <row r="484" spans="1:37" hidden="1" x14ac:dyDescent="0.35">
      <c r="A484" s="54"/>
      <c r="B484" s="54"/>
      <c r="C484" s="54">
        <v>23983</v>
      </c>
      <c r="D484" s="54" t="s">
        <v>656</v>
      </c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  <c r="AB484" s="54"/>
      <c r="AC484" s="54"/>
      <c r="AD484" s="54"/>
      <c r="AE484" s="54"/>
      <c r="AF484" s="54"/>
      <c r="AG484" s="54"/>
      <c r="AH484" s="54"/>
      <c r="AI484" s="54"/>
      <c r="AJ484" s="54"/>
      <c r="AK484" s="54"/>
    </row>
    <row r="485" spans="1:37" hidden="1" x14ac:dyDescent="0.35">
      <c r="A485" s="54"/>
      <c r="B485" s="54"/>
      <c r="C485" s="54">
        <v>23985</v>
      </c>
      <c r="D485" s="54" t="s">
        <v>657</v>
      </c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  <c r="AB485" s="54"/>
      <c r="AC485" s="54"/>
      <c r="AD485" s="54"/>
      <c r="AE485" s="54"/>
      <c r="AF485" s="54"/>
      <c r="AG485" s="54"/>
      <c r="AH485" s="54"/>
      <c r="AI485" s="54"/>
      <c r="AJ485" s="54"/>
      <c r="AK485" s="54"/>
    </row>
    <row r="486" spans="1:37" hidden="1" x14ac:dyDescent="0.35">
      <c r="A486" s="54"/>
      <c r="B486" s="54"/>
      <c r="C486" s="54">
        <v>23986</v>
      </c>
      <c r="D486" s="54" t="s">
        <v>658</v>
      </c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  <c r="AB486" s="54"/>
      <c r="AC486" s="54"/>
      <c r="AD486" s="54"/>
      <c r="AE486" s="54"/>
      <c r="AF486" s="54"/>
      <c r="AG486" s="54"/>
      <c r="AH486" s="54"/>
      <c r="AI486" s="54"/>
      <c r="AJ486" s="54"/>
      <c r="AK486" s="54"/>
    </row>
    <row r="487" spans="1:37" hidden="1" x14ac:dyDescent="0.35">
      <c r="A487" s="54"/>
      <c r="B487" s="54"/>
      <c r="C487" s="54">
        <v>23987</v>
      </c>
      <c r="D487" s="54" t="s">
        <v>659</v>
      </c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  <c r="AB487" s="54"/>
      <c r="AC487" s="54"/>
      <c r="AD487" s="54"/>
      <c r="AE487" s="54"/>
      <c r="AF487" s="54"/>
      <c r="AG487" s="54"/>
      <c r="AH487" s="54"/>
      <c r="AI487" s="54"/>
      <c r="AJ487" s="54"/>
      <c r="AK487" s="54"/>
    </row>
    <row r="488" spans="1:37" hidden="1" x14ac:dyDescent="0.35">
      <c r="A488" s="54"/>
      <c r="B488" s="54"/>
      <c r="C488" s="54">
        <v>23988</v>
      </c>
      <c r="D488" s="54" t="s">
        <v>660</v>
      </c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  <c r="AB488" s="54"/>
      <c r="AC488" s="54"/>
      <c r="AD488" s="54"/>
      <c r="AE488" s="54"/>
      <c r="AF488" s="54"/>
      <c r="AG488" s="54"/>
      <c r="AH488" s="54"/>
      <c r="AI488" s="54"/>
      <c r="AJ488" s="54"/>
      <c r="AK488" s="54"/>
    </row>
    <row r="489" spans="1:37" hidden="1" x14ac:dyDescent="0.35">
      <c r="A489" s="54"/>
      <c r="B489" s="54"/>
      <c r="C489" s="54">
        <v>23990</v>
      </c>
      <c r="D489" s="54" t="s">
        <v>661</v>
      </c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  <c r="AB489" s="54"/>
      <c r="AC489" s="54"/>
      <c r="AD489" s="54"/>
      <c r="AE489" s="54"/>
      <c r="AF489" s="54"/>
      <c r="AG489" s="54"/>
      <c r="AH489" s="54"/>
      <c r="AI489" s="54"/>
      <c r="AJ489" s="54"/>
      <c r="AK489" s="54"/>
    </row>
    <row r="490" spans="1:37" hidden="1" x14ac:dyDescent="0.35">
      <c r="A490" s="54"/>
      <c r="B490" s="54"/>
      <c r="C490" s="54">
        <v>24000</v>
      </c>
      <c r="D490" s="54" t="s">
        <v>662</v>
      </c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  <c r="AB490" s="54"/>
      <c r="AC490" s="54"/>
      <c r="AD490" s="54"/>
      <c r="AE490" s="54"/>
      <c r="AF490" s="54"/>
      <c r="AG490" s="54"/>
      <c r="AH490" s="54"/>
      <c r="AI490" s="54"/>
      <c r="AJ490" s="54"/>
      <c r="AK490" s="54"/>
    </row>
    <row r="491" spans="1:37" hidden="1" x14ac:dyDescent="0.35">
      <c r="A491" s="54"/>
      <c r="B491" s="54"/>
      <c r="C491" s="54">
        <v>24008</v>
      </c>
      <c r="D491" s="54" t="s">
        <v>663</v>
      </c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  <c r="AC491" s="54"/>
      <c r="AD491" s="54"/>
      <c r="AE491" s="54"/>
      <c r="AF491" s="54"/>
      <c r="AG491" s="54"/>
      <c r="AH491" s="54"/>
      <c r="AI491" s="54"/>
      <c r="AJ491" s="54"/>
      <c r="AK491" s="54"/>
    </row>
    <row r="492" spans="1:37" hidden="1" x14ac:dyDescent="0.35">
      <c r="A492" s="54"/>
      <c r="B492" s="54"/>
      <c r="C492" s="54">
        <v>24010</v>
      </c>
      <c r="D492" s="54" t="s">
        <v>664</v>
      </c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  <c r="AB492" s="54"/>
      <c r="AC492" s="54"/>
      <c r="AD492" s="54"/>
      <c r="AE492" s="54"/>
      <c r="AF492" s="54"/>
      <c r="AG492" s="54"/>
      <c r="AH492" s="54"/>
      <c r="AI492" s="54"/>
      <c r="AJ492" s="54"/>
      <c r="AK492" s="54"/>
    </row>
    <row r="493" spans="1:37" hidden="1" x14ac:dyDescent="0.35">
      <c r="A493" s="54"/>
      <c r="B493" s="54"/>
      <c r="C493" s="54">
        <v>24011</v>
      </c>
      <c r="D493" s="54" t="s">
        <v>665</v>
      </c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  <c r="AB493" s="54"/>
      <c r="AC493" s="54"/>
      <c r="AD493" s="54"/>
      <c r="AE493" s="54"/>
      <c r="AF493" s="54"/>
      <c r="AG493" s="54"/>
      <c r="AH493" s="54"/>
      <c r="AI493" s="54"/>
      <c r="AJ493" s="54"/>
      <c r="AK493" s="54"/>
    </row>
    <row r="494" spans="1:37" hidden="1" x14ac:dyDescent="0.35">
      <c r="A494" s="54"/>
      <c r="B494" s="54"/>
      <c r="C494" s="54">
        <v>24013</v>
      </c>
      <c r="D494" s="54" t="s">
        <v>666</v>
      </c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  <c r="AB494" s="54"/>
      <c r="AC494" s="54"/>
      <c r="AD494" s="54"/>
      <c r="AE494" s="54"/>
      <c r="AF494" s="54"/>
      <c r="AG494" s="54"/>
      <c r="AH494" s="54"/>
      <c r="AI494" s="54"/>
      <c r="AJ494" s="54"/>
      <c r="AK494" s="54"/>
    </row>
    <row r="495" spans="1:37" hidden="1" x14ac:dyDescent="0.35">
      <c r="A495" s="54"/>
      <c r="B495" s="54"/>
      <c r="C495" s="54">
        <v>24014</v>
      </c>
      <c r="D495" s="54" t="s">
        <v>667</v>
      </c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  <c r="AB495" s="54"/>
      <c r="AC495" s="54"/>
      <c r="AD495" s="54"/>
      <c r="AE495" s="54"/>
      <c r="AF495" s="54"/>
      <c r="AG495" s="54"/>
      <c r="AH495" s="54"/>
      <c r="AI495" s="54"/>
      <c r="AJ495" s="54"/>
      <c r="AK495" s="54"/>
    </row>
    <row r="496" spans="1:37" hidden="1" x14ac:dyDescent="0.35">
      <c r="A496" s="54"/>
      <c r="B496" s="54"/>
      <c r="C496" s="54">
        <v>24015</v>
      </c>
      <c r="D496" s="54" t="s">
        <v>668</v>
      </c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  <c r="AB496" s="54"/>
      <c r="AC496" s="54"/>
      <c r="AD496" s="54"/>
      <c r="AE496" s="54"/>
      <c r="AF496" s="54"/>
      <c r="AG496" s="54"/>
      <c r="AH496" s="54"/>
      <c r="AI496" s="54"/>
      <c r="AJ496" s="54"/>
      <c r="AK496" s="54"/>
    </row>
    <row r="497" spans="1:37" hidden="1" x14ac:dyDescent="0.35">
      <c r="A497" s="54"/>
      <c r="B497" s="54"/>
      <c r="C497" s="54">
        <v>24016</v>
      </c>
      <c r="D497" s="54" t="s">
        <v>669</v>
      </c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  <c r="AB497" s="54"/>
      <c r="AC497" s="54"/>
      <c r="AD497" s="54"/>
      <c r="AE497" s="54"/>
      <c r="AF497" s="54"/>
      <c r="AG497" s="54"/>
      <c r="AH497" s="54"/>
      <c r="AI497" s="54"/>
      <c r="AJ497" s="54"/>
      <c r="AK497" s="54"/>
    </row>
    <row r="498" spans="1:37" hidden="1" x14ac:dyDescent="0.35">
      <c r="A498" s="54"/>
      <c r="B498" s="54"/>
      <c r="C498" s="54">
        <v>24017</v>
      </c>
      <c r="D498" s="54" t="s">
        <v>670</v>
      </c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  <c r="AB498" s="54"/>
      <c r="AC498" s="54"/>
      <c r="AD498" s="54"/>
      <c r="AE498" s="54"/>
      <c r="AF498" s="54"/>
      <c r="AG498" s="54"/>
      <c r="AH498" s="54"/>
      <c r="AI498" s="54"/>
      <c r="AJ498" s="54"/>
      <c r="AK498" s="54"/>
    </row>
    <row r="499" spans="1:37" hidden="1" x14ac:dyDescent="0.35">
      <c r="A499" s="54"/>
      <c r="B499" s="54"/>
      <c r="C499" s="54">
        <v>24018</v>
      </c>
      <c r="D499" s="54" t="s">
        <v>671</v>
      </c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  <c r="AC499" s="54"/>
      <c r="AD499" s="54"/>
      <c r="AE499" s="54"/>
      <c r="AF499" s="54"/>
      <c r="AG499" s="54"/>
      <c r="AH499" s="54"/>
      <c r="AI499" s="54"/>
      <c r="AJ499" s="54"/>
      <c r="AK499" s="54"/>
    </row>
    <row r="500" spans="1:37" hidden="1" x14ac:dyDescent="0.35">
      <c r="A500" s="54"/>
      <c r="B500" s="54"/>
      <c r="C500" s="54">
        <v>24019</v>
      </c>
      <c r="D500" s="54" t="s">
        <v>672</v>
      </c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  <c r="AE500" s="54"/>
      <c r="AF500" s="54"/>
      <c r="AG500" s="54"/>
      <c r="AH500" s="54"/>
      <c r="AI500" s="54"/>
      <c r="AJ500" s="54"/>
      <c r="AK500" s="54"/>
    </row>
    <row r="501" spans="1:37" hidden="1" x14ac:dyDescent="0.35">
      <c r="A501" s="54"/>
      <c r="B501" s="54"/>
      <c r="C501" s="54">
        <v>24020</v>
      </c>
      <c r="D501" s="54" t="s">
        <v>673</v>
      </c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  <c r="AE501" s="54"/>
      <c r="AF501" s="54"/>
      <c r="AG501" s="54"/>
      <c r="AH501" s="54"/>
      <c r="AI501" s="54"/>
      <c r="AJ501" s="54"/>
      <c r="AK501" s="54"/>
    </row>
    <row r="502" spans="1:37" hidden="1" x14ac:dyDescent="0.35">
      <c r="A502" s="54"/>
      <c r="B502" s="54"/>
      <c r="C502" s="54">
        <v>24021</v>
      </c>
      <c r="D502" s="54" t="s">
        <v>674</v>
      </c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  <c r="AB502" s="54"/>
      <c r="AC502" s="54"/>
      <c r="AD502" s="54"/>
      <c r="AE502" s="54"/>
      <c r="AF502" s="54"/>
      <c r="AG502" s="54"/>
      <c r="AH502" s="54"/>
      <c r="AI502" s="54"/>
      <c r="AJ502" s="54"/>
      <c r="AK502" s="54"/>
    </row>
    <row r="503" spans="1:37" hidden="1" x14ac:dyDescent="0.35">
      <c r="A503" s="54"/>
      <c r="B503" s="54"/>
      <c r="C503" s="54">
        <v>24023</v>
      </c>
      <c r="D503" s="54" t="s">
        <v>675</v>
      </c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  <c r="AD503" s="54"/>
      <c r="AE503" s="54"/>
      <c r="AF503" s="54"/>
      <c r="AG503" s="54"/>
      <c r="AH503" s="54"/>
      <c r="AI503" s="54"/>
      <c r="AJ503" s="54"/>
      <c r="AK503" s="54"/>
    </row>
    <row r="504" spans="1:37" hidden="1" x14ac:dyDescent="0.35">
      <c r="A504" s="54"/>
      <c r="B504" s="54"/>
      <c r="C504" s="54">
        <v>24024</v>
      </c>
      <c r="D504" s="54" t="s">
        <v>676</v>
      </c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  <c r="AE504" s="54"/>
      <c r="AF504" s="54"/>
      <c r="AG504" s="54"/>
      <c r="AH504" s="54"/>
      <c r="AI504" s="54"/>
      <c r="AJ504" s="54"/>
      <c r="AK504" s="54"/>
    </row>
    <row r="505" spans="1:37" hidden="1" x14ac:dyDescent="0.35">
      <c r="A505" s="54"/>
      <c r="B505" s="54"/>
      <c r="C505" s="54">
        <v>24026</v>
      </c>
      <c r="D505" s="54" t="s">
        <v>677</v>
      </c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  <c r="AE505" s="54"/>
      <c r="AF505" s="54"/>
      <c r="AG505" s="54"/>
      <c r="AH505" s="54"/>
      <c r="AI505" s="54"/>
      <c r="AJ505" s="54"/>
      <c r="AK505" s="54"/>
    </row>
    <row r="506" spans="1:37" hidden="1" x14ac:dyDescent="0.35">
      <c r="A506" s="54"/>
      <c r="B506" s="54"/>
      <c r="C506" s="54">
        <v>24028</v>
      </c>
      <c r="D506" s="54" t="s">
        <v>678</v>
      </c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  <c r="AE506" s="54"/>
      <c r="AF506" s="54"/>
      <c r="AG506" s="54"/>
      <c r="AH506" s="54"/>
      <c r="AI506" s="54"/>
      <c r="AJ506" s="54"/>
      <c r="AK506" s="54"/>
    </row>
    <row r="507" spans="1:37" hidden="1" x14ac:dyDescent="0.35">
      <c r="A507" s="54"/>
      <c r="B507" s="54"/>
      <c r="C507" s="54">
        <v>24039</v>
      </c>
      <c r="D507" s="54" t="s">
        <v>679</v>
      </c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  <c r="AE507" s="54"/>
      <c r="AF507" s="54"/>
      <c r="AG507" s="54"/>
      <c r="AH507" s="54"/>
      <c r="AI507" s="54"/>
      <c r="AJ507" s="54"/>
      <c r="AK507" s="54"/>
    </row>
    <row r="508" spans="1:37" hidden="1" x14ac:dyDescent="0.35">
      <c r="A508" s="54"/>
      <c r="B508" s="54"/>
      <c r="C508" s="54">
        <v>24041</v>
      </c>
      <c r="D508" s="54" t="s">
        <v>680</v>
      </c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  <c r="AE508" s="54"/>
      <c r="AF508" s="54"/>
      <c r="AG508" s="54"/>
      <c r="AH508" s="54"/>
      <c r="AI508" s="54"/>
      <c r="AJ508" s="54"/>
      <c r="AK508" s="54"/>
    </row>
    <row r="509" spans="1:37" hidden="1" x14ac:dyDescent="0.35">
      <c r="A509" s="54"/>
      <c r="B509" s="54"/>
      <c r="C509" s="54">
        <v>24042</v>
      </c>
      <c r="D509" s="54" t="s">
        <v>681</v>
      </c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  <c r="AD509" s="54"/>
      <c r="AE509" s="54"/>
      <c r="AF509" s="54"/>
      <c r="AG509" s="54"/>
      <c r="AH509" s="54"/>
      <c r="AI509" s="54"/>
      <c r="AJ509" s="54"/>
      <c r="AK509" s="54"/>
    </row>
    <row r="510" spans="1:37" hidden="1" x14ac:dyDescent="0.35">
      <c r="A510" s="54"/>
      <c r="B510" s="54"/>
      <c r="C510" s="54">
        <v>24043</v>
      </c>
      <c r="D510" s="54" t="s">
        <v>682</v>
      </c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  <c r="AD510" s="54"/>
      <c r="AE510" s="54"/>
      <c r="AF510" s="54"/>
      <c r="AG510" s="54"/>
      <c r="AH510" s="54"/>
      <c r="AI510" s="54"/>
      <c r="AJ510" s="54"/>
      <c r="AK510" s="54"/>
    </row>
    <row r="511" spans="1:37" hidden="1" x14ac:dyDescent="0.35">
      <c r="A511" s="54"/>
      <c r="B511" s="54"/>
      <c r="C511" s="54">
        <v>24044</v>
      </c>
      <c r="D511" s="54" t="s">
        <v>683</v>
      </c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  <c r="AE511" s="54"/>
      <c r="AF511" s="54"/>
      <c r="AG511" s="54"/>
      <c r="AH511" s="54"/>
      <c r="AI511" s="54"/>
      <c r="AJ511" s="54"/>
      <c r="AK511" s="54"/>
    </row>
    <row r="512" spans="1:37" hidden="1" x14ac:dyDescent="0.35">
      <c r="A512" s="54"/>
      <c r="B512" s="54"/>
      <c r="C512" s="54">
        <v>24046</v>
      </c>
      <c r="D512" s="54" t="s">
        <v>684</v>
      </c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  <c r="AE512" s="54"/>
      <c r="AF512" s="54"/>
      <c r="AG512" s="54"/>
      <c r="AH512" s="54"/>
      <c r="AI512" s="54"/>
      <c r="AJ512" s="54"/>
      <c r="AK512" s="54"/>
    </row>
    <row r="513" spans="1:37" hidden="1" x14ac:dyDescent="0.35">
      <c r="A513" s="54"/>
      <c r="B513" s="54"/>
      <c r="C513" s="54">
        <v>24047</v>
      </c>
      <c r="D513" s="54" t="s">
        <v>685</v>
      </c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  <c r="AE513" s="54"/>
      <c r="AF513" s="54"/>
      <c r="AG513" s="54"/>
      <c r="AH513" s="54"/>
      <c r="AI513" s="54"/>
      <c r="AJ513" s="54"/>
      <c r="AK513" s="54"/>
    </row>
    <row r="514" spans="1:37" hidden="1" x14ac:dyDescent="0.35">
      <c r="A514" s="54"/>
      <c r="B514" s="54"/>
      <c r="C514" s="54">
        <v>24048</v>
      </c>
      <c r="D514" s="54" t="s">
        <v>686</v>
      </c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  <c r="AB514" s="54"/>
      <c r="AC514" s="54"/>
      <c r="AD514" s="54"/>
      <c r="AE514" s="54"/>
      <c r="AF514" s="54"/>
      <c r="AG514" s="54"/>
      <c r="AH514" s="54"/>
      <c r="AI514" s="54"/>
      <c r="AJ514" s="54"/>
      <c r="AK514" s="54"/>
    </row>
    <row r="515" spans="1:37" hidden="1" x14ac:dyDescent="0.35">
      <c r="A515" s="54"/>
      <c r="B515" s="54"/>
      <c r="C515" s="54">
        <v>24049</v>
      </c>
      <c r="D515" s="54" t="s">
        <v>687</v>
      </c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  <c r="AB515" s="54"/>
      <c r="AC515" s="54"/>
      <c r="AD515" s="54"/>
      <c r="AE515" s="54"/>
      <c r="AF515" s="54"/>
      <c r="AG515" s="54"/>
      <c r="AH515" s="54"/>
      <c r="AI515" s="54"/>
      <c r="AJ515" s="54"/>
      <c r="AK515" s="54"/>
    </row>
    <row r="516" spans="1:37" hidden="1" x14ac:dyDescent="0.35">
      <c r="A516" s="54"/>
      <c r="B516" s="54"/>
      <c r="C516" s="54">
        <v>24050</v>
      </c>
      <c r="D516" s="54" t="s">
        <v>688</v>
      </c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  <c r="AB516" s="54"/>
      <c r="AC516" s="54"/>
      <c r="AD516" s="54"/>
      <c r="AE516" s="54"/>
      <c r="AF516" s="54"/>
      <c r="AG516" s="54"/>
      <c r="AH516" s="54"/>
      <c r="AI516" s="54"/>
      <c r="AJ516" s="54"/>
      <c r="AK516" s="54"/>
    </row>
    <row r="517" spans="1:37" hidden="1" x14ac:dyDescent="0.35">
      <c r="A517" s="54"/>
      <c r="B517" s="54"/>
      <c r="C517" s="54">
        <v>24051</v>
      </c>
      <c r="D517" s="54" t="s">
        <v>689</v>
      </c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  <c r="AB517" s="54"/>
      <c r="AC517" s="54"/>
      <c r="AD517" s="54"/>
      <c r="AE517" s="54"/>
      <c r="AF517" s="54"/>
      <c r="AG517" s="54"/>
      <c r="AH517" s="54"/>
      <c r="AI517" s="54"/>
      <c r="AJ517" s="54"/>
      <c r="AK517" s="54"/>
    </row>
    <row r="518" spans="1:37" hidden="1" x14ac:dyDescent="0.35">
      <c r="A518" s="54"/>
      <c r="B518" s="54"/>
      <c r="C518" s="54">
        <v>24053</v>
      </c>
      <c r="D518" s="54" t="s">
        <v>690</v>
      </c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  <c r="AB518" s="54"/>
      <c r="AC518" s="54"/>
      <c r="AD518" s="54"/>
      <c r="AE518" s="54"/>
      <c r="AF518" s="54"/>
      <c r="AG518" s="54"/>
      <c r="AH518" s="54"/>
      <c r="AI518" s="54"/>
      <c r="AJ518" s="54"/>
      <c r="AK518" s="54"/>
    </row>
    <row r="519" spans="1:37" hidden="1" x14ac:dyDescent="0.35">
      <c r="A519" s="54"/>
      <c r="B519" s="54"/>
      <c r="C519" s="54">
        <v>24054</v>
      </c>
      <c r="D519" s="54" t="s">
        <v>691</v>
      </c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  <c r="AB519" s="54"/>
      <c r="AC519" s="54"/>
      <c r="AD519" s="54"/>
      <c r="AE519" s="54"/>
      <c r="AF519" s="54"/>
      <c r="AG519" s="54"/>
      <c r="AH519" s="54"/>
      <c r="AI519" s="54"/>
      <c r="AJ519" s="54"/>
      <c r="AK519" s="54"/>
    </row>
    <row r="520" spans="1:37" hidden="1" x14ac:dyDescent="0.35">
      <c r="A520" s="54"/>
      <c r="B520" s="54"/>
      <c r="C520" s="54">
        <v>24056</v>
      </c>
      <c r="D520" s="54" t="s">
        <v>692</v>
      </c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  <c r="AB520" s="54"/>
      <c r="AC520" s="54"/>
      <c r="AD520" s="54"/>
      <c r="AE520" s="54"/>
      <c r="AF520" s="54"/>
      <c r="AG520" s="54"/>
      <c r="AH520" s="54"/>
      <c r="AI520" s="54"/>
      <c r="AJ520" s="54"/>
      <c r="AK520" s="54"/>
    </row>
    <row r="521" spans="1:37" hidden="1" x14ac:dyDescent="0.35">
      <c r="A521" s="54"/>
      <c r="B521" s="54"/>
      <c r="C521" s="54">
        <v>24057</v>
      </c>
      <c r="D521" s="54" t="s">
        <v>693</v>
      </c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  <c r="AB521" s="54"/>
      <c r="AC521" s="54"/>
      <c r="AD521" s="54"/>
      <c r="AE521" s="54"/>
      <c r="AF521" s="54"/>
      <c r="AG521" s="54"/>
      <c r="AH521" s="54"/>
      <c r="AI521" s="54"/>
      <c r="AJ521" s="54"/>
      <c r="AK521" s="54"/>
    </row>
    <row r="522" spans="1:37" hidden="1" x14ac:dyDescent="0.35">
      <c r="A522" s="54"/>
      <c r="B522" s="54"/>
      <c r="C522" s="54">
        <v>24058</v>
      </c>
      <c r="D522" s="54" t="s">
        <v>694</v>
      </c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  <c r="AB522" s="54"/>
      <c r="AC522" s="54"/>
      <c r="AD522" s="54"/>
      <c r="AE522" s="54"/>
      <c r="AF522" s="54"/>
      <c r="AG522" s="54"/>
      <c r="AH522" s="54"/>
      <c r="AI522" s="54"/>
      <c r="AJ522" s="54"/>
      <c r="AK522" s="54"/>
    </row>
    <row r="523" spans="1:37" hidden="1" x14ac:dyDescent="0.35">
      <c r="A523" s="54"/>
      <c r="B523" s="54"/>
      <c r="C523" s="54">
        <v>24059</v>
      </c>
      <c r="D523" s="54" t="s">
        <v>695</v>
      </c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  <c r="AB523" s="54"/>
      <c r="AC523" s="54"/>
      <c r="AD523" s="54"/>
      <c r="AE523" s="54"/>
      <c r="AF523" s="54"/>
      <c r="AG523" s="54"/>
      <c r="AH523" s="54"/>
      <c r="AI523" s="54"/>
      <c r="AJ523" s="54"/>
      <c r="AK523" s="54"/>
    </row>
    <row r="524" spans="1:37" hidden="1" x14ac:dyDescent="0.35">
      <c r="A524" s="54"/>
      <c r="B524" s="54"/>
      <c r="C524" s="54">
        <v>24060</v>
      </c>
      <c r="D524" s="54" t="s">
        <v>696</v>
      </c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  <c r="AB524" s="54"/>
      <c r="AC524" s="54"/>
      <c r="AD524" s="54"/>
      <c r="AE524" s="54"/>
      <c r="AF524" s="54"/>
      <c r="AG524" s="54"/>
      <c r="AH524" s="54"/>
      <c r="AI524" s="54"/>
      <c r="AJ524" s="54"/>
      <c r="AK524" s="54"/>
    </row>
    <row r="525" spans="1:37" hidden="1" x14ac:dyDescent="0.35">
      <c r="A525" s="54"/>
      <c r="B525" s="54"/>
      <c r="C525" s="54">
        <v>24062</v>
      </c>
      <c r="D525" s="54" t="s">
        <v>697</v>
      </c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  <c r="AB525" s="54"/>
      <c r="AC525" s="54"/>
      <c r="AD525" s="54"/>
      <c r="AE525" s="54"/>
      <c r="AF525" s="54"/>
      <c r="AG525" s="54"/>
      <c r="AH525" s="54"/>
      <c r="AI525" s="54"/>
      <c r="AJ525" s="54"/>
      <c r="AK525" s="54"/>
    </row>
    <row r="526" spans="1:37" hidden="1" x14ac:dyDescent="0.35">
      <c r="A526" s="54"/>
      <c r="B526" s="54"/>
      <c r="C526" s="54">
        <v>24063</v>
      </c>
      <c r="D526" s="54" t="s">
        <v>698</v>
      </c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  <c r="AB526" s="54"/>
      <c r="AC526" s="54"/>
      <c r="AD526" s="54"/>
      <c r="AE526" s="54"/>
      <c r="AF526" s="54"/>
      <c r="AG526" s="54"/>
      <c r="AH526" s="54"/>
      <c r="AI526" s="54"/>
      <c r="AJ526" s="54"/>
      <c r="AK526" s="54"/>
    </row>
    <row r="527" spans="1:37" hidden="1" x14ac:dyDescent="0.35">
      <c r="A527" s="54"/>
      <c r="B527" s="54"/>
      <c r="C527" s="54">
        <v>24065</v>
      </c>
      <c r="D527" s="54" t="s">
        <v>699</v>
      </c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  <c r="AB527" s="54"/>
      <c r="AC527" s="54"/>
      <c r="AD527" s="54"/>
      <c r="AE527" s="54"/>
      <c r="AF527" s="54"/>
      <c r="AG527" s="54"/>
      <c r="AH527" s="54"/>
      <c r="AI527" s="54"/>
      <c r="AJ527" s="54"/>
      <c r="AK527" s="54"/>
    </row>
    <row r="528" spans="1:37" hidden="1" x14ac:dyDescent="0.35">
      <c r="A528" s="54"/>
      <c r="B528" s="54"/>
      <c r="C528" s="54">
        <v>24077</v>
      </c>
      <c r="D528" s="54" t="s">
        <v>700</v>
      </c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  <c r="AB528" s="54"/>
      <c r="AC528" s="54"/>
      <c r="AD528" s="54"/>
      <c r="AE528" s="54"/>
      <c r="AF528" s="54"/>
      <c r="AG528" s="54"/>
      <c r="AH528" s="54"/>
      <c r="AI528" s="54"/>
      <c r="AJ528" s="54"/>
      <c r="AK528" s="54"/>
    </row>
    <row r="529" spans="1:37" hidden="1" x14ac:dyDescent="0.35">
      <c r="A529" s="54"/>
      <c r="B529" s="54"/>
      <c r="C529" s="54">
        <v>24078</v>
      </c>
      <c r="D529" s="54" t="s">
        <v>701</v>
      </c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  <c r="AB529" s="54"/>
      <c r="AC529" s="54"/>
      <c r="AD529" s="54"/>
      <c r="AE529" s="54"/>
      <c r="AF529" s="54"/>
      <c r="AG529" s="54"/>
      <c r="AH529" s="54"/>
      <c r="AI529" s="54"/>
      <c r="AJ529" s="54"/>
      <c r="AK529" s="54"/>
    </row>
    <row r="530" spans="1:37" hidden="1" x14ac:dyDescent="0.35">
      <c r="A530" s="54"/>
      <c r="B530" s="54"/>
      <c r="C530" s="54">
        <v>24079</v>
      </c>
      <c r="D530" s="54" t="s">
        <v>702</v>
      </c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  <c r="AB530" s="54"/>
      <c r="AC530" s="54"/>
      <c r="AD530" s="54"/>
      <c r="AE530" s="54"/>
      <c r="AF530" s="54"/>
      <c r="AG530" s="54"/>
      <c r="AH530" s="54"/>
      <c r="AI530" s="54"/>
      <c r="AJ530" s="54"/>
      <c r="AK530" s="54"/>
    </row>
    <row r="531" spans="1:37" hidden="1" x14ac:dyDescent="0.35">
      <c r="A531" s="54"/>
      <c r="B531" s="54"/>
      <c r="C531" s="54">
        <v>24080</v>
      </c>
      <c r="D531" s="54" t="s">
        <v>703</v>
      </c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  <c r="AB531" s="54"/>
      <c r="AC531" s="54"/>
      <c r="AD531" s="54"/>
      <c r="AE531" s="54"/>
      <c r="AF531" s="54"/>
      <c r="AG531" s="54"/>
      <c r="AH531" s="54"/>
      <c r="AI531" s="54"/>
      <c r="AJ531" s="54"/>
      <c r="AK531" s="54"/>
    </row>
    <row r="532" spans="1:37" hidden="1" x14ac:dyDescent="0.35">
      <c r="A532" s="54"/>
      <c r="B532" s="54"/>
      <c r="C532" s="54">
        <v>24084</v>
      </c>
      <c r="D532" s="54" t="s">
        <v>704</v>
      </c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  <c r="AB532" s="54"/>
      <c r="AC532" s="54"/>
      <c r="AD532" s="54"/>
      <c r="AE532" s="54"/>
      <c r="AF532" s="54"/>
      <c r="AG532" s="54"/>
      <c r="AH532" s="54"/>
      <c r="AI532" s="54"/>
      <c r="AJ532" s="54"/>
      <c r="AK532" s="54"/>
    </row>
    <row r="533" spans="1:37" hidden="1" x14ac:dyDescent="0.35">
      <c r="A533" s="54"/>
      <c r="B533" s="54"/>
      <c r="C533" s="54">
        <v>24094</v>
      </c>
      <c r="D533" s="54" t="s">
        <v>705</v>
      </c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  <c r="AB533" s="54"/>
      <c r="AC533" s="54"/>
      <c r="AD533" s="54"/>
      <c r="AE533" s="54"/>
      <c r="AF533" s="54"/>
      <c r="AG533" s="54"/>
      <c r="AH533" s="54"/>
      <c r="AI533" s="54"/>
      <c r="AJ533" s="54"/>
      <c r="AK533" s="54"/>
    </row>
    <row r="534" spans="1:37" hidden="1" x14ac:dyDescent="0.35">
      <c r="A534" s="54"/>
      <c r="B534" s="54"/>
      <c r="C534" s="54">
        <v>24095</v>
      </c>
      <c r="D534" s="54" t="s">
        <v>706</v>
      </c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  <c r="AB534" s="54"/>
      <c r="AC534" s="54"/>
      <c r="AD534" s="54"/>
      <c r="AE534" s="54"/>
      <c r="AF534" s="54"/>
      <c r="AG534" s="54"/>
      <c r="AH534" s="54"/>
      <c r="AI534" s="54"/>
      <c r="AJ534" s="54"/>
      <c r="AK534" s="54"/>
    </row>
    <row r="535" spans="1:37" hidden="1" x14ac:dyDescent="0.35">
      <c r="A535" s="54"/>
      <c r="B535" s="54"/>
      <c r="C535" s="54">
        <v>24096</v>
      </c>
      <c r="D535" s="54" t="s">
        <v>707</v>
      </c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  <c r="AB535" s="54"/>
      <c r="AC535" s="54"/>
      <c r="AD535" s="54"/>
      <c r="AE535" s="54"/>
      <c r="AF535" s="54"/>
      <c r="AG535" s="54"/>
      <c r="AH535" s="54"/>
      <c r="AI535" s="54"/>
      <c r="AJ535" s="54"/>
      <c r="AK535" s="54"/>
    </row>
    <row r="536" spans="1:37" hidden="1" x14ac:dyDescent="0.35">
      <c r="A536" s="54"/>
      <c r="B536" s="54"/>
      <c r="C536" s="54">
        <v>24097</v>
      </c>
      <c r="D536" s="54" t="s">
        <v>708</v>
      </c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  <c r="AB536" s="54"/>
      <c r="AC536" s="54"/>
      <c r="AD536" s="54"/>
      <c r="AE536" s="54"/>
      <c r="AF536" s="54"/>
      <c r="AG536" s="54"/>
      <c r="AH536" s="54"/>
      <c r="AI536" s="54"/>
      <c r="AJ536" s="54"/>
      <c r="AK536" s="54"/>
    </row>
    <row r="537" spans="1:37" hidden="1" x14ac:dyDescent="0.35">
      <c r="A537" s="54"/>
      <c r="B537" s="54"/>
      <c r="C537" s="54">
        <v>24098</v>
      </c>
      <c r="D537" s="54" t="s">
        <v>709</v>
      </c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  <c r="AB537" s="54"/>
      <c r="AC537" s="54"/>
      <c r="AD537" s="54"/>
      <c r="AE537" s="54"/>
      <c r="AF537" s="54"/>
      <c r="AG537" s="54"/>
      <c r="AH537" s="54"/>
      <c r="AI537" s="54"/>
      <c r="AJ537" s="54"/>
      <c r="AK537" s="54"/>
    </row>
    <row r="538" spans="1:37" hidden="1" x14ac:dyDescent="0.35">
      <c r="A538" s="54"/>
      <c r="B538" s="54"/>
      <c r="C538" s="54">
        <v>24099</v>
      </c>
      <c r="D538" s="54" t="s">
        <v>710</v>
      </c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  <c r="AE538" s="54"/>
      <c r="AF538" s="54"/>
      <c r="AG538" s="54"/>
      <c r="AH538" s="54"/>
      <c r="AI538" s="54"/>
      <c r="AJ538" s="54"/>
      <c r="AK538" s="54"/>
    </row>
    <row r="539" spans="1:37" hidden="1" x14ac:dyDescent="0.35">
      <c r="A539" s="54"/>
      <c r="B539" s="54"/>
      <c r="C539" s="54">
        <v>24100</v>
      </c>
      <c r="D539" s="54" t="s">
        <v>711</v>
      </c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  <c r="AE539" s="54"/>
      <c r="AF539" s="54"/>
      <c r="AG539" s="54"/>
      <c r="AH539" s="54"/>
      <c r="AI539" s="54"/>
      <c r="AJ539" s="54"/>
      <c r="AK539" s="54"/>
    </row>
    <row r="540" spans="1:37" hidden="1" x14ac:dyDescent="0.35">
      <c r="A540" s="54"/>
      <c r="B540" s="54"/>
      <c r="C540" s="54">
        <v>24101</v>
      </c>
      <c r="D540" s="54" t="s">
        <v>712</v>
      </c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  <c r="AB540" s="54"/>
      <c r="AC540" s="54"/>
      <c r="AD540" s="54"/>
      <c r="AE540" s="54"/>
      <c r="AF540" s="54"/>
      <c r="AG540" s="54"/>
      <c r="AH540" s="54"/>
      <c r="AI540" s="54"/>
      <c r="AJ540" s="54"/>
      <c r="AK540" s="54"/>
    </row>
    <row r="541" spans="1:37" hidden="1" x14ac:dyDescent="0.35">
      <c r="A541" s="54"/>
      <c r="B541" s="54"/>
      <c r="C541" s="54">
        <v>24102</v>
      </c>
      <c r="D541" s="54" t="s">
        <v>713</v>
      </c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  <c r="AE541" s="54"/>
      <c r="AF541" s="54"/>
      <c r="AG541" s="54"/>
      <c r="AH541" s="54"/>
      <c r="AI541" s="54"/>
      <c r="AJ541" s="54"/>
      <c r="AK541" s="54"/>
    </row>
    <row r="542" spans="1:37" hidden="1" x14ac:dyDescent="0.35">
      <c r="A542" s="54"/>
      <c r="B542" s="54"/>
      <c r="C542" s="54">
        <v>24103</v>
      </c>
      <c r="D542" s="54" t="s">
        <v>714</v>
      </c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  <c r="AE542" s="54"/>
      <c r="AF542" s="54"/>
      <c r="AG542" s="54"/>
      <c r="AH542" s="54"/>
      <c r="AI542" s="54"/>
      <c r="AJ542" s="54"/>
      <c r="AK542" s="54"/>
    </row>
    <row r="543" spans="1:37" hidden="1" x14ac:dyDescent="0.35">
      <c r="A543" s="54"/>
      <c r="B543" s="54"/>
      <c r="C543" s="54">
        <v>24104</v>
      </c>
      <c r="D543" s="54" t="s">
        <v>715</v>
      </c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  <c r="AE543" s="54"/>
      <c r="AF543" s="54"/>
      <c r="AG543" s="54"/>
      <c r="AH543" s="54"/>
      <c r="AI543" s="54"/>
      <c r="AJ543" s="54"/>
      <c r="AK543" s="54"/>
    </row>
    <row r="544" spans="1:37" hidden="1" x14ac:dyDescent="0.35">
      <c r="A544" s="54"/>
      <c r="B544" s="54"/>
      <c r="C544" s="54">
        <v>24105</v>
      </c>
      <c r="D544" s="54" t="s">
        <v>716</v>
      </c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  <c r="AE544" s="54"/>
      <c r="AF544" s="54"/>
      <c r="AG544" s="54"/>
      <c r="AH544" s="54"/>
      <c r="AI544" s="54"/>
      <c r="AJ544" s="54"/>
      <c r="AK544" s="54"/>
    </row>
    <row r="545" spans="1:37" hidden="1" x14ac:dyDescent="0.35">
      <c r="A545" s="54"/>
      <c r="B545" s="54"/>
      <c r="C545" s="54">
        <v>24106</v>
      </c>
      <c r="D545" s="54" t="s">
        <v>717</v>
      </c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  <c r="AE545" s="54"/>
      <c r="AF545" s="54"/>
      <c r="AG545" s="54"/>
      <c r="AH545" s="54"/>
      <c r="AI545" s="54"/>
      <c r="AJ545" s="54"/>
      <c r="AK545" s="54"/>
    </row>
    <row r="546" spans="1:37" hidden="1" x14ac:dyDescent="0.35">
      <c r="A546" s="54"/>
      <c r="B546" s="54"/>
      <c r="C546" s="54">
        <v>24107</v>
      </c>
      <c r="D546" s="54" t="s">
        <v>718</v>
      </c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  <c r="AE546" s="54"/>
      <c r="AF546" s="54"/>
      <c r="AG546" s="54"/>
      <c r="AH546" s="54"/>
      <c r="AI546" s="54"/>
      <c r="AJ546" s="54"/>
      <c r="AK546" s="54"/>
    </row>
    <row r="547" spans="1:37" hidden="1" x14ac:dyDescent="0.35">
      <c r="A547" s="54"/>
      <c r="B547" s="54"/>
      <c r="C547" s="54">
        <v>24108</v>
      </c>
      <c r="D547" s="54" t="s">
        <v>719</v>
      </c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  <c r="AD547" s="54"/>
      <c r="AE547" s="54"/>
      <c r="AF547" s="54"/>
      <c r="AG547" s="54"/>
      <c r="AH547" s="54"/>
      <c r="AI547" s="54"/>
      <c r="AJ547" s="54"/>
      <c r="AK547" s="54"/>
    </row>
    <row r="548" spans="1:37" hidden="1" x14ac:dyDescent="0.35">
      <c r="A548" s="54"/>
      <c r="B548" s="54"/>
      <c r="C548" s="54">
        <v>24109</v>
      </c>
      <c r="D548" s="54" t="s">
        <v>720</v>
      </c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  <c r="AD548" s="54"/>
      <c r="AE548" s="54"/>
      <c r="AF548" s="54"/>
      <c r="AG548" s="54"/>
      <c r="AH548" s="54"/>
      <c r="AI548" s="54"/>
      <c r="AJ548" s="54"/>
      <c r="AK548" s="54"/>
    </row>
    <row r="549" spans="1:37" hidden="1" x14ac:dyDescent="0.35">
      <c r="A549" s="54"/>
      <c r="B549" s="54"/>
      <c r="C549" s="54">
        <v>24110</v>
      </c>
      <c r="D549" s="54" t="s">
        <v>721</v>
      </c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  <c r="AD549" s="54"/>
      <c r="AE549" s="54"/>
      <c r="AF549" s="54"/>
      <c r="AG549" s="54"/>
      <c r="AH549" s="54"/>
      <c r="AI549" s="54"/>
      <c r="AJ549" s="54"/>
      <c r="AK549" s="54"/>
    </row>
    <row r="550" spans="1:37" hidden="1" x14ac:dyDescent="0.35">
      <c r="A550" s="54"/>
      <c r="B550" s="54"/>
      <c r="C550" s="54">
        <v>24111</v>
      </c>
      <c r="D550" s="54" t="s">
        <v>722</v>
      </c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  <c r="AE550" s="54"/>
      <c r="AF550" s="54"/>
      <c r="AG550" s="54"/>
      <c r="AH550" s="54"/>
      <c r="AI550" s="54"/>
      <c r="AJ550" s="54"/>
      <c r="AK550" s="54"/>
    </row>
    <row r="551" spans="1:37" hidden="1" x14ac:dyDescent="0.35">
      <c r="A551" s="54"/>
      <c r="B551" s="54"/>
      <c r="C551" s="54">
        <v>24112</v>
      </c>
      <c r="D551" s="54" t="s">
        <v>723</v>
      </c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  <c r="AD551" s="54"/>
      <c r="AE551" s="54"/>
      <c r="AF551" s="54"/>
      <c r="AG551" s="54"/>
      <c r="AH551" s="54"/>
      <c r="AI551" s="54"/>
      <c r="AJ551" s="54"/>
      <c r="AK551" s="54"/>
    </row>
    <row r="552" spans="1:37" hidden="1" x14ac:dyDescent="0.35">
      <c r="A552" s="54"/>
      <c r="B552" s="54"/>
      <c r="C552" s="54">
        <v>24113</v>
      </c>
      <c r="D552" s="54" t="s">
        <v>724</v>
      </c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  <c r="AB552" s="54"/>
      <c r="AC552" s="54"/>
      <c r="AD552" s="54"/>
      <c r="AE552" s="54"/>
      <c r="AF552" s="54"/>
      <c r="AG552" s="54"/>
      <c r="AH552" s="54"/>
      <c r="AI552" s="54"/>
      <c r="AJ552" s="54"/>
      <c r="AK552" s="54"/>
    </row>
    <row r="553" spans="1:37" hidden="1" x14ac:dyDescent="0.35">
      <c r="A553" s="54"/>
      <c r="B553" s="54"/>
      <c r="C553" s="54">
        <v>24114</v>
      </c>
      <c r="D553" s="54" t="s">
        <v>725</v>
      </c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  <c r="AB553" s="54"/>
      <c r="AC553" s="54"/>
      <c r="AD553" s="54"/>
      <c r="AE553" s="54"/>
      <c r="AF553" s="54"/>
      <c r="AG553" s="54"/>
      <c r="AH553" s="54"/>
      <c r="AI553" s="54"/>
      <c r="AJ553" s="54"/>
      <c r="AK553" s="54"/>
    </row>
    <row r="554" spans="1:37" hidden="1" x14ac:dyDescent="0.35">
      <c r="A554" s="54"/>
      <c r="B554" s="54"/>
      <c r="C554" s="54">
        <v>24115</v>
      </c>
      <c r="D554" s="54" t="s">
        <v>726</v>
      </c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  <c r="AB554" s="54"/>
      <c r="AC554" s="54"/>
      <c r="AD554" s="54"/>
      <c r="AE554" s="54"/>
      <c r="AF554" s="54"/>
      <c r="AG554" s="54"/>
      <c r="AH554" s="54"/>
      <c r="AI554" s="54"/>
      <c r="AJ554" s="54"/>
      <c r="AK554" s="54"/>
    </row>
    <row r="555" spans="1:37" hidden="1" x14ac:dyDescent="0.35">
      <c r="A555" s="54"/>
      <c r="B555" s="54"/>
      <c r="C555" s="54">
        <v>24116</v>
      </c>
      <c r="D555" s="54" t="s">
        <v>727</v>
      </c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  <c r="AB555" s="54"/>
      <c r="AC555" s="54"/>
      <c r="AD555" s="54"/>
      <c r="AE555" s="54"/>
      <c r="AF555" s="54"/>
      <c r="AG555" s="54"/>
      <c r="AH555" s="54"/>
      <c r="AI555" s="54"/>
      <c r="AJ555" s="54"/>
      <c r="AK555" s="54"/>
    </row>
    <row r="556" spans="1:37" hidden="1" x14ac:dyDescent="0.35">
      <c r="A556" s="54"/>
      <c r="B556" s="54"/>
      <c r="C556" s="54">
        <v>24117</v>
      </c>
      <c r="D556" s="54" t="s">
        <v>728</v>
      </c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  <c r="AB556" s="54"/>
      <c r="AC556" s="54"/>
      <c r="AD556" s="54"/>
      <c r="AE556" s="54"/>
      <c r="AF556" s="54"/>
      <c r="AG556" s="54"/>
      <c r="AH556" s="54"/>
      <c r="AI556" s="54"/>
      <c r="AJ556" s="54"/>
      <c r="AK556" s="54"/>
    </row>
    <row r="557" spans="1:37" hidden="1" x14ac:dyDescent="0.35">
      <c r="A557" s="54"/>
      <c r="B557" s="54"/>
      <c r="C557" s="54">
        <v>24118</v>
      </c>
      <c r="D557" s="54" t="s">
        <v>729</v>
      </c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  <c r="AB557" s="54"/>
      <c r="AC557" s="54"/>
      <c r="AD557" s="54"/>
      <c r="AE557" s="54"/>
      <c r="AF557" s="54"/>
      <c r="AG557" s="54"/>
      <c r="AH557" s="54"/>
      <c r="AI557" s="54"/>
      <c r="AJ557" s="54"/>
      <c r="AK557" s="54"/>
    </row>
    <row r="558" spans="1:37" hidden="1" x14ac:dyDescent="0.35">
      <c r="A558" s="54"/>
      <c r="B558" s="54"/>
      <c r="C558" s="54">
        <v>24119</v>
      </c>
      <c r="D558" s="54" t="s">
        <v>730</v>
      </c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  <c r="AB558" s="54"/>
      <c r="AC558" s="54"/>
      <c r="AD558" s="54"/>
      <c r="AE558" s="54"/>
      <c r="AF558" s="54"/>
      <c r="AG558" s="54"/>
      <c r="AH558" s="54"/>
      <c r="AI558" s="54"/>
      <c r="AJ558" s="54"/>
      <c r="AK558" s="54"/>
    </row>
    <row r="559" spans="1:37" hidden="1" x14ac:dyDescent="0.35">
      <c r="A559" s="54"/>
      <c r="B559" s="54"/>
      <c r="C559" s="54">
        <v>24120</v>
      </c>
      <c r="D559" s="54" t="s">
        <v>731</v>
      </c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  <c r="AB559" s="54"/>
      <c r="AC559" s="54"/>
      <c r="AD559" s="54"/>
      <c r="AE559" s="54"/>
      <c r="AF559" s="54"/>
      <c r="AG559" s="54"/>
      <c r="AH559" s="54"/>
      <c r="AI559" s="54"/>
      <c r="AJ559" s="54"/>
      <c r="AK559" s="54"/>
    </row>
    <row r="560" spans="1:37" hidden="1" x14ac:dyDescent="0.35">
      <c r="A560" s="54"/>
      <c r="B560" s="54"/>
      <c r="C560" s="54">
        <v>24121</v>
      </c>
      <c r="D560" s="54" t="s">
        <v>732</v>
      </c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  <c r="AB560" s="54"/>
      <c r="AC560" s="54"/>
      <c r="AD560" s="54"/>
      <c r="AE560" s="54"/>
      <c r="AF560" s="54"/>
      <c r="AG560" s="54"/>
      <c r="AH560" s="54"/>
      <c r="AI560" s="54"/>
      <c r="AJ560" s="54"/>
      <c r="AK560" s="54"/>
    </row>
    <row r="561" spans="1:37" hidden="1" x14ac:dyDescent="0.35">
      <c r="A561" s="54"/>
      <c r="B561" s="54"/>
      <c r="C561" s="54">
        <v>24122</v>
      </c>
      <c r="D561" s="54" t="s">
        <v>733</v>
      </c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  <c r="AB561" s="54"/>
      <c r="AC561" s="54"/>
      <c r="AD561" s="54"/>
      <c r="AE561" s="54"/>
      <c r="AF561" s="54"/>
      <c r="AG561" s="54"/>
      <c r="AH561" s="54"/>
      <c r="AI561" s="54"/>
      <c r="AJ561" s="54"/>
      <c r="AK561" s="54"/>
    </row>
    <row r="562" spans="1:37" hidden="1" x14ac:dyDescent="0.35">
      <c r="A562" s="54"/>
      <c r="B562" s="54"/>
      <c r="C562" s="54">
        <v>24123</v>
      </c>
      <c r="D562" s="54" t="s">
        <v>734</v>
      </c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  <c r="AB562" s="54"/>
      <c r="AC562" s="54"/>
      <c r="AD562" s="54"/>
      <c r="AE562" s="54"/>
      <c r="AF562" s="54"/>
      <c r="AG562" s="54"/>
      <c r="AH562" s="54"/>
      <c r="AI562" s="54"/>
      <c r="AJ562" s="54"/>
      <c r="AK562" s="54"/>
    </row>
    <row r="563" spans="1:37" hidden="1" x14ac:dyDescent="0.35">
      <c r="A563" s="54"/>
      <c r="B563" s="54"/>
      <c r="C563" s="54">
        <v>24124</v>
      </c>
      <c r="D563" s="54" t="s">
        <v>735</v>
      </c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  <c r="AB563" s="54"/>
      <c r="AC563" s="54"/>
      <c r="AD563" s="54"/>
      <c r="AE563" s="54"/>
      <c r="AF563" s="54"/>
      <c r="AG563" s="54"/>
      <c r="AH563" s="54"/>
      <c r="AI563" s="54"/>
      <c r="AJ563" s="54"/>
      <c r="AK563" s="54"/>
    </row>
    <row r="564" spans="1:37" hidden="1" x14ac:dyDescent="0.35">
      <c r="A564" s="54"/>
      <c r="B564" s="54"/>
      <c r="C564" s="54">
        <v>24125</v>
      </c>
      <c r="D564" s="54" t="s">
        <v>736</v>
      </c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  <c r="AB564" s="54"/>
      <c r="AC564" s="54"/>
      <c r="AD564" s="54"/>
      <c r="AE564" s="54"/>
      <c r="AF564" s="54"/>
      <c r="AG564" s="54"/>
      <c r="AH564" s="54"/>
      <c r="AI564" s="54"/>
      <c r="AJ564" s="54"/>
      <c r="AK564" s="54"/>
    </row>
    <row r="565" spans="1:37" hidden="1" x14ac:dyDescent="0.35">
      <c r="A565" s="54"/>
      <c r="B565" s="54"/>
      <c r="C565" s="54">
        <v>24126</v>
      </c>
      <c r="D565" s="54" t="s">
        <v>737</v>
      </c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  <c r="AC565" s="54"/>
      <c r="AD565" s="54"/>
      <c r="AE565" s="54"/>
      <c r="AF565" s="54"/>
      <c r="AG565" s="54"/>
      <c r="AH565" s="54"/>
      <c r="AI565" s="54"/>
      <c r="AJ565" s="54"/>
      <c r="AK565" s="54"/>
    </row>
    <row r="566" spans="1:37" hidden="1" x14ac:dyDescent="0.35">
      <c r="A566" s="54"/>
      <c r="B566" s="54"/>
      <c r="C566" s="54">
        <v>24127</v>
      </c>
      <c r="D566" s="54" t="s">
        <v>738</v>
      </c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  <c r="AC566" s="54"/>
      <c r="AD566" s="54"/>
      <c r="AE566" s="54"/>
      <c r="AF566" s="54"/>
      <c r="AG566" s="54"/>
      <c r="AH566" s="54"/>
      <c r="AI566" s="54"/>
      <c r="AJ566" s="54"/>
      <c r="AK566" s="54"/>
    </row>
    <row r="567" spans="1:37" hidden="1" x14ac:dyDescent="0.35">
      <c r="A567" s="54"/>
      <c r="B567" s="54"/>
      <c r="C567" s="54">
        <v>24128</v>
      </c>
      <c r="D567" s="54" t="s">
        <v>739</v>
      </c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  <c r="AC567" s="54"/>
      <c r="AD567" s="54"/>
      <c r="AE567" s="54"/>
      <c r="AF567" s="54"/>
      <c r="AG567" s="54"/>
      <c r="AH567" s="54"/>
      <c r="AI567" s="54"/>
      <c r="AJ567" s="54"/>
      <c r="AK567" s="54"/>
    </row>
    <row r="568" spans="1:37" hidden="1" x14ac:dyDescent="0.35">
      <c r="A568" s="54"/>
      <c r="B568" s="54"/>
      <c r="C568" s="54">
        <v>24129</v>
      </c>
      <c r="D568" s="54" t="s">
        <v>740</v>
      </c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  <c r="AB568" s="54"/>
      <c r="AC568" s="54"/>
      <c r="AD568" s="54"/>
      <c r="AE568" s="54"/>
      <c r="AF568" s="54"/>
      <c r="AG568" s="54"/>
      <c r="AH568" s="54"/>
      <c r="AI568" s="54"/>
      <c r="AJ568" s="54"/>
      <c r="AK568" s="54"/>
    </row>
    <row r="569" spans="1:37" hidden="1" x14ac:dyDescent="0.35">
      <c r="A569" s="54"/>
      <c r="B569" s="54"/>
      <c r="C569" s="54">
        <v>24130</v>
      </c>
      <c r="D569" s="54" t="s">
        <v>741</v>
      </c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  <c r="AC569" s="54"/>
      <c r="AD569" s="54"/>
      <c r="AE569" s="54"/>
      <c r="AF569" s="54"/>
      <c r="AG569" s="54"/>
      <c r="AH569" s="54"/>
      <c r="AI569" s="54"/>
      <c r="AJ569" s="54"/>
      <c r="AK569" s="54"/>
    </row>
    <row r="570" spans="1:37" hidden="1" x14ac:dyDescent="0.35">
      <c r="A570" s="54"/>
      <c r="B570" s="54"/>
      <c r="C570" s="54">
        <v>24131</v>
      </c>
      <c r="D570" s="54" t="s">
        <v>742</v>
      </c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  <c r="AB570" s="54"/>
      <c r="AC570" s="54"/>
      <c r="AD570" s="54"/>
      <c r="AE570" s="54"/>
      <c r="AF570" s="54"/>
      <c r="AG570" s="54"/>
      <c r="AH570" s="54"/>
      <c r="AI570" s="54"/>
      <c r="AJ570" s="54"/>
      <c r="AK570" s="54"/>
    </row>
    <row r="571" spans="1:37" hidden="1" x14ac:dyDescent="0.35">
      <c r="A571" s="54"/>
      <c r="B571" s="54"/>
      <c r="C571" s="54">
        <v>24132</v>
      </c>
      <c r="D571" s="54" t="s">
        <v>743</v>
      </c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  <c r="AC571" s="54"/>
      <c r="AD571" s="54"/>
      <c r="AE571" s="54"/>
      <c r="AF571" s="54"/>
      <c r="AG571" s="54"/>
      <c r="AH571" s="54"/>
      <c r="AI571" s="54"/>
      <c r="AJ571" s="54"/>
      <c r="AK571" s="54"/>
    </row>
    <row r="572" spans="1:37" hidden="1" x14ac:dyDescent="0.35">
      <c r="A572" s="54"/>
      <c r="B572" s="54"/>
      <c r="C572" s="54">
        <v>24133</v>
      </c>
      <c r="D572" s="54" t="s">
        <v>744</v>
      </c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  <c r="AC572" s="54"/>
      <c r="AD572" s="54"/>
      <c r="AE572" s="54"/>
      <c r="AF572" s="54"/>
      <c r="AG572" s="54"/>
      <c r="AH572" s="54"/>
      <c r="AI572" s="54"/>
      <c r="AJ572" s="54"/>
      <c r="AK572" s="54"/>
    </row>
    <row r="573" spans="1:37" hidden="1" x14ac:dyDescent="0.35">
      <c r="A573" s="54"/>
      <c r="B573" s="54"/>
      <c r="C573" s="54">
        <v>24134</v>
      </c>
      <c r="D573" s="54" t="s">
        <v>745</v>
      </c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  <c r="AC573" s="54"/>
      <c r="AD573" s="54"/>
      <c r="AE573" s="54"/>
      <c r="AF573" s="54"/>
      <c r="AG573" s="54"/>
      <c r="AH573" s="54"/>
      <c r="AI573" s="54"/>
      <c r="AJ573" s="54"/>
      <c r="AK573" s="54"/>
    </row>
    <row r="574" spans="1:37" hidden="1" x14ac:dyDescent="0.35">
      <c r="A574" s="54"/>
      <c r="B574" s="54"/>
      <c r="C574" s="54">
        <v>24135</v>
      </c>
      <c r="D574" s="54" t="s">
        <v>746</v>
      </c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  <c r="AC574" s="54"/>
      <c r="AD574" s="54"/>
      <c r="AE574" s="54"/>
      <c r="AF574" s="54"/>
      <c r="AG574" s="54"/>
      <c r="AH574" s="54"/>
      <c r="AI574" s="54"/>
      <c r="AJ574" s="54"/>
      <c r="AK574" s="54"/>
    </row>
    <row r="575" spans="1:37" hidden="1" x14ac:dyDescent="0.35">
      <c r="A575" s="54"/>
      <c r="B575" s="54"/>
      <c r="C575" s="54">
        <v>24136</v>
      </c>
      <c r="D575" s="54" t="s">
        <v>747</v>
      </c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  <c r="AB575" s="54"/>
      <c r="AC575" s="54"/>
      <c r="AD575" s="54"/>
      <c r="AE575" s="54"/>
      <c r="AF575" s="54"/>
      <c r="AG575" s="54"/>
      <c r="AH575" s="54"/>
      <c r="AI575" s="54"/>
      <c r="AJ575" s="54"/>
      <c r="AK575" s="54"/>
    </row>
    <row r="576" spans="1:37" hidden="1" x14ac:dyDescent="0.35">
      <c r="A576" s="54"/>
      <c r="B576" s="54"/>
      <c r="C576" s="54">
        <v>24137</v>
      </c>
      <c r="D576" s="54" t="s">
        <v>748</v>
      </c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  <c r="AE576" s="54"/>
      <c r="AF576" s="54"/>
      <c r="AG576" s="54"/>
      <c r="AH576" s="54"/>
      <c r="AI576" s="54"/>
      <c r="AJ576" s="54"/>
      <c r="AK576" s="54"/>
    </row>
    <row r="577" spans="1:37" hidden="1" x14ac:dyDescent="0.35">
      <c r="A577" s="54"/>
      <c r="B577" s="54"/>
      <c r="C577" s="54">
        <v>24138</v>
      </c>
      <c r="D577" s="54" t="s">
        <v>749</v>
      </c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  <c r="AE577" s="54"/>
      <c r="AF577" s="54"/>
      <c r="AG577" s="54"/>
      <c r="AH577" s="54"/>
      <c r="AI577" s="54"/>
      <c r="AJ577" s="54"/>
      <c r="AK577" s="54"/>
    </row>
    <row r="578" spans="1:37" hidden="1" x14ac:dyDescent="0.35">
      <c r="A578" s="54"/>
      <c r="B578" s="54"/>
      <c r="C578" s="54">
        <v>24139</v>
      </c>
      <c r="D578" s="54" t="s">
        <v>750</v>
      </c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  <c r="AB578" s="54"/>
      <c r="AC578" s="54"/>
      <c r="AD578" s="54"/>
      <c r="AE578" s="54"/>
      <c r="AF578" s="54"/>
      <c r="AG578" s="54"/>
      <c r="AH578" s="54"/>
      <c r="AI578" s="54"/>
      <c r="AJ578" s="54"/>
      <c r="AK578" s="54"/>
    </row>
    <row r="579" spans="1:37" hidden="1" x14ac:dyDescent="0.35">
      <c r="A579" s="54"/>
      <c r="B579" s="54"/>
      <c r="C579" s="54">
        <v>24147</v>
      </c>
      <c r="D579" s="54" t="s">
        <v>751</v>
      </c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  <c r="AE579" s="54"/>
      <c r="AF579" s="54"/>
      <c r="AG579" s="54"/>
      <c r="AH579" s="54"/>
      <c r="AI579" s="54"/>
      <c r="AJ579" s="54"/>
      <c r="AK579" s="54"/>
    </row>
    <row r="580" spans="1:37" hidden="1" x14ac:dyDescent="0.35">
      <c r="A580" s="54"/>
      <c r="B580" s="54"/>
      <c r="C580" s="54">
        <v>24167</v>
      </c>
      <c r="D580" s="54" t="s">
        <v>787</v>
      </c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  <c r="AE580" s="54"/>
      <c r="AF580" s="54"/>
      <c r="AG580" s="54"/>
      <c r="AH580" s="54"/>
      <c r="AI580" s="54"/>
      <c r="AJ580" s="54"/>
      <c r="AK580" s="54"/>
    </row>
    <row r="581" spans="1:37" hidden="1" x14ac:dyDescent="0.35">
      <c r="A581" s="54"/>
      <c r="B581" s="54"/>
      <c r="C581" s="54">
        <v>24225</v>
      </c>
      <c r="D581" s="54" t="s">
        <v>752</v>
      </c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  <c r="AE581" s="54"/>
      <c r="AF581" s="54"/>
      <c r="AG581" s="54"/>
      <c r="AH581" s="54"/>
      <c r="AI581" s="54"/>
      <c r="AJ581" s="54"/>
      <c r="AK581" s="54"/>
    </row>
    <row r="582" spans="1:37" hidden="1" x14ac:dyDescent="0.35">
      <c r="A582" s="54"/>
      <c r="B582" s="54"/>
      <c r="C582" s="54">
        <v>24226</v>
      </c>
      <c r="D582" s="54" t="s">
        <v>753</v>
      </c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  <c r="AE582" s="54"/>
      <c r="AF582" s="54"/>
      <c r="AG582" s="54"/>
      <c r="AH582" s="54"/>
      <c r="AI582" s="54"/>
      <c r="AJ582" s="54"/>
      <c r="AK582" s="54"/>
    </row>
    <row r="583" spans="1:37" hidden="1" x14ac:dyDescent="0.35">
      <c r="A583" s="54"/>
      <c r="B583" s="54"/>
      <c r="C583" s="54">
        <v>24227</v>
      </c>
      <c r="D583" s="54" t="s">
        <v>754</v>
      </c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  <c r="AE583" s="54"/>
      <c r="AF583" s="54"/>
      <c r="AG583" s="54"/>
      <c r="AH583" s="54"/>
      <c r="AI583" s="54"/>
      <c r="AJ583" s="54"/>
      <c r="AK583" s="54"/>
    </row>
    <row r="584" spans="1:37" hidden="1" x14ac:dyDescent="0.35">
      <c r="A584" s="54"/>
      <c r="B584" s="54"/>
      <c r="C584" s="54">
        <v>24228</v>
      </c>
      <c r="D584" s="54" t="s">
        <v>755</v>
      </c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  <c r="AE584" s="54"/>
      <c r="AF584" s="54"/>
      <c r="AG584" s="54"/>
      <c r="AH584" s="54"/>
      <c r="AI584" s="54"/>
      <c r="AJ584" s="54"/>
      <c r="AK584" s="54"/>
    </row>
    <row r="585" spans="1:37" hidden="1" x14ac:dyDescent="0.35">
      <c r="A585" s="54"/>
      <c r="B585" s="54"/>
      <c r="C585" s="54">
        <v>24229</v>
      </c>
      <c r="D585" s="54" t="s">
        <v>756</v>
      </c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  <c r="AE585" s="54"/>
      <c r="AF585" s="54"/>
      <c r="AG585" s="54"/>
      <c r="AH585" s="54"/>
      <c r="AI585" s="54"/>
      <c r="AJ585" s="54"/>
      <c r="AK585" s="54"/>
    </row>
    <row r="586" spans="1:37" hidden="1" x14ac:dyDescent="0.35">
      <c r="A586" s="54"/>
      <c r="B586" s="54"/>
      <c r="C586" s="54">
        <v>24230</v>
      </c>
      <c r="D586" s="54" t="s">
        <v>757</v>
      </c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  <c r="AE586" s="54"/>
      <c r="AF586" s="54"/>
      <c r="AG586" s="54"/>
      <c r="AH586" s="54"/>
      <c r="AI586" s="54"/>
      <c r="AJ586" s="54"/>
      <c r="AK586" s="54"/>
    </row>
    <row r="587" spans="1:37" hidden="1" x14ac:dyDescent="0.35">
      <c r="A587" s="54"/>
      <c r="B587" s="54"/>
      <c r="C587" s="54">
        <v>24231</v>
      </c>
      <c r="D587" s="54" t="s">
        <v>758</v>
      </c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  <c r="AD587" s="54"/>
      <c r="AE587" s="54"/>
      <c r="AF587" s="54"/>
      <c r="AG587" s="54"/>
      <c r="AH587" s="54"/>
      <c r="AI587" s="54"/>
      <c r="AJ587" s="54"/>
      <c r="AK587" s="54"/>
    </row>
    <row r="588" spans="1:37" hidden="1" x14ac:dyDescent="0.35">
      <c r="A588" s="54"/>
      <c r="B588" s="54"/>
      <c r="C588" s="54">
        <v>24232</v>
      </c>
      <c r="D588" s="54" t="s">
        <v>759</v>
      </c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  <c r="AE588" s="54"/>
      <c r="AF588" s="54"/>
      <c r="AG588" s="54"/>
      <c r="AH588" s="54"/>
      <c r="AI588" s="54"/>
      <c r="AJ588" s="54"/>
      <c r="AK588" s="54"/>
    </row>
    <row r="589" spans="1:37" hidden="1" x14ac:dyDescent="0.35">
      <c r="A589" s="54"/>
      <c r="B589" s="54"/>
      <c r="C589" s="54">
        <v>24233</v>
      </c>
      <c r="D589" s="54" t="s">
        <v>760</v>
      </c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  <c r="AE589" s="54"/>
      <c r="AF589" s="54"/>
      <c r="AG589" s="54"/>
      <c r="AH589" s="54"/>
      <c r="AI589" s="54"/>
      <c r="AJ589" s="54"/>
      <c r="AK589" s="54"/>
    </row>
    <row r="590" spans="1:37" hidden="1" x14ac:dyDescent="0.35">
      <c r="A590" s="54"/>
      <c r="B590" s="54"/>
      <c r="C590" s="54">
        <v>24234</v>
      </c>
      <c r="D590" s="54" t="s">
        <v>761</v>
      </c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  <c r="AB590" s="54"/>
      <c r="AC590" s="54"/>
      <c r="AD590" s="54"/>
      <c r="AE590" s="54"/>
      <c r="AF590" s="54"/>
      <c r="AG590" s="54"/>
      <c r="AH590" s="54"/>
      <c r="AI590" s="54"/>
      <c r="AJ590" s="54"/>
      <c r="AK590" s="54"/>
    </row>
    <row r="591" spans="1:37" hidden="1" x14ac:dyDescent="0.35">
      <c r="A591" s="54"/>
      <c r="B591" s="54"/>
      <c r="C591" s="54">
        <v>24235</v>
      </c>
      <c r="D591" s="54" t="s">
        <v>762</v>
      </c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  <c r="AB591" s="54"/>
      <c r="AC591" s="54"/>
      <c r="AD591" s="54"/>
      <c r="AE591" s="54"/>
      <c r="AF591" s="54"/>
      <c r="AG591" s="54"/>
      <c r="AH591" s="54"/>
      <c r="AI591" s="54"/>
      <c r="AJ591" s="54"/>
      <c r="AK591" s="54"/>
    </row>
    <row r="592" spans="1:37" hidden="1" x14ac:dyDescent="0.35">
      <c r="A592" s="54"/>
      <c r="B592" s="54"/>
      <c r="C592" s="54">
        <v>24236</v>
      </c>
      <c r="D592" s="54" t="s">
        <v>763</v>
      </c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  <c r="AB592" s="54"/>
      <c r="AC592" s="54"/>
      <c r="AD592" s="54"/>
      <c r="AE592" s="54"/>
      <c r="AF592" s="54"/>
      <c r="AG592" s="54"/>
      <c r="AH592" s="54"/>
      <c r="AI592" s="54"/>
      <c r="AJ592" s="54"/>
      <c r="AK592" s="54"/>
    </row>
    <row r="593" spans="1:37" hidden="1" x14ac:dyDescent="0.35">
      <c r="A593" s="54"/>
      <c r="B593" s="54"/>
      <c r="C593" s="54">
        <v>24237</v>
      </c>
      <c r="D593" s="54" t="s">
        <v>764</v>
      </c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  <c r="AB593" s="54"/>
      <c r="AC593" s="54"/>
      <c r="AD593" s="54"/>
      <c r="AE593" s="54"/>
      <c r="AF593" s="54"/>
      <c r="AG593" s="54"/>
      <c r="AH593" s="54"/>
      <c r="AI593" s="54"/>
      <c r="AJ593" s="54"/>
      <c r="AK593" s="54"/>
    </row>
    <row r="594" spans="1:37" hidden="1" x14ac:dyDescent="0.35">
      <c r="A594" s="54"/>
      <c r="B594" s="54"/>
      <c r="C594" s="54">
        <v>24238</v>
      </c>
      <c r="D594" s="54" t="s">
        <v>765</v>
      </c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  <c r="AB594" s="54"/>
      <c r="AC594" s="54"/>
      <c r="AD594" s="54"/>
      <c r="AE594" s="54"/>
      <c r="AF594" s="54"/>
      <c r="AG594" s="54"/>
      <c r="AH594" s="54"/>
      <c r="AI594" s="54"/>
      <c r="AJ594" s="54"/>
      <c r="AK594" s="54"/>
    </row>
    <row r="595" spans="1:37" hidden="1" x14ac:dyDescent="0.35">
      <c r="A595" s="54"/>
      <c r="B595" s="54"/>
      <c r="C595" s="54">
        <v>24239</v>
      </c>
      <c r="D595" s="54" t="s">
        <v>766</v>
      </c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  <c r="AB595" s="54"/>
      <c r="AC595" s="54"/>
      <c r="AD595" s="54"/>
      <c r="AE595" s="54"/>
      <c r="AF595" s="54"/>
      <c r="AG595" s="54"/>
      <c r="AH595" s="54"/>
      <c r="AI595" s="54"/>
      <c r="AJ595" s="54"/>
      <c r="AK595" s="54"/>
    </row>
    <row r="596" spans="1:37" hidden="1" x14ac:dyDescent="0.35">
      <c r="A596" s="54"/>
      <c r="B596" s="54"/>
      <c r="C596" s="54">
        <v>24240</v>
      </c>
      <c r="D596" s="54" t="s">
        <v>767</v>
      </c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  <c r="AB596" s="54"/>
      <c r="AC596" s="54"/>
      <c r="AD596" s="54"/>
      <c r="AE596" s="54"/>
      <c r="AF596" s="54"/>
      <c r="AG596" s="54"/>
      <c r="AH596" s="54"/>
      <c r="AI596" s="54"/>
      <c r="AJ596" s="54"/>
      <c r="AK596" s="54"/>
    </row>
    <row r="597" spans="1:37" hidden="1" x14ac:dyDescent="0.35">
      <c r="A597" s="54"/>
      <c r="B597" s="54"/>
      <c r="C597" s="54">
        <v>24241</v>
      </c>
      <c r="D597" s="54" t="s">
        <v>768</v>
      </c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  <c r="AB597" s="54"/>
      <c r="AC597" s="54"/>
      <c r="AD597" s="54"/>
      <c r="AE597" s="54"/>
      <c r="AF597" s="54"/>
      <c r="AG597" s="54"/>
      <c r="AH597" s="54"/>
      <c r="AI597" s="54"/>
      <c r="AJ597" s="54"/>
      <c r="AK597" s="54"/>
    </row>
    <row r="598" spans="1:37" hidden="1" x14ac:dyDescent="0.35">
      <c r="A598" s="54"/>
      <c r="B598" s="54"/>
      <c r="C598" s="54">
        <v>24242</v>
      </c>
      <c r="D598" s="54" t="s">
        <v>769</v>
      </c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  <c r="AB598" s="54"/>
      <c r="AC598" s="54"/>
      <c r="AD598" s="54"/>
      <c r="AE598" s="54"/>
      <c r="AF598" s="54"/>
      <c r="AG598" s="54"/>
      <c r="AH598" s="54"/>
      <c r="AI598" s="54"/>
      <c r="AJ598" s="54"/>
      <c r="AK598" s="54"/>
    </row>
    <row r="599" spans="1:37" hidden="1" x14ac:dyDescent="0.35">
      <c r="A599" s="54"/>
      <c r="B599" s="54"/>
      <c r="C599" s="54">
        <v>24243</v>
      </c>
      <c r="D599" s="54" t="s">
        <v>770</v>
      </c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  <c r="AB599" s="54"/>
      <c r="AC599" s="54"/>
      <c r="AD599" s="54"/>
      <c r="AE599" s="54"/>
      <c r="AF599" s="54"/>
      <c r="AG599" s="54"/>
      <c r="AH599" s="54"/>
      <c r="AI599" s="54"/>
      <c r="AJ599" s="54"/>
      <c r="AK599" s="54"/>
    </row>
    <row r="600" spans="1:37" hidden="1" x14ac:dyDescent="0.35">
      <c r="A600" s="54"/>
      <c r="B600" s="54"/>
      <c r="C600" s="54">
        <v>24244</v>
      </c>
      <c r="D600" s="54" t="s">
        <v>810</v>
      </c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  <c r="AB600" s="54"/>
      <c r="AC600" s="54"/>
      <c r="AD600" s="54"/>
      <c r="AE600" s="54"/>
      <c r="AF600" s="54"/>
      <c r="AG600" s="54"/>
      <c r="AH600" s="54"/>
      <c r="AI600" s="54"/>
      <c r="AJ600" s="54"/>
      <c r="AK600" s="54"/>
    </row>
    <row r="601" spans="1:37" hidden="1" x14ac:dyDescent="0.35">
      <c r="A601" s="54"/>
      <c r="B601" s="54"/>
      <c r="C601" s="54">
        <v>24245</v>
      </c>
      <c r="D601" s="54" t="s">
        <v>771</v>
      </c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  <c r="AB601" s="54"/>
      <c r="AC601" s="54"/>
      <c r="AD601" s="54"/>
      <c r="AE601" s="54"/>
      <c r="AF601" s="54"/>
      <c r="AG601" s="54"/>
      <c r="AH601" s="54"/>
      <c r="AI601" s="54"/>
      <c r="AJ601" s="54"/>
      <c r="AK601" s="54"/>
    </row>
    <row r="602" spans="1:37" hidden="1" x14ac:dyDescent="0.35">
      <c r="A602" s="54"/>
      <c r="B602" s="54"/>
      <c r="C602" s="54">
        <v>24246</v>
      </c>
      <c r="D602" s="54" t="s">
        <v>772</v>
      </c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  <c r="AB602" s="54"/>
      <c r="AC602" s="54"/>
      <c r="AD602" s="54"/>
      <c r="AE602" s="54"/>
      <c r="AF602" s="54"/>
      <c r="AG602" s="54"/>
      <c r="AH602" s="54"/>
      <c r="AI602" s="54"/>
      <c r="AJ602" s="54"/>
      <c r="AK602" s="54"/>
    </row>
    <row r="603" spans="1:37" hidden="1" x14ac:dyDescent="0.35">
      <c r="A603" s="54"/>
      <c r="B603" s="54"/>
      <c r="C603" s="54">
        <v>24247</v>
      </c>
      <c r="D603" s="54" t="s">
        <v>773</v>
      </c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  <c r="AB603" s="54"/>
      <c r="AC603" s="54"/>
      <c r="AD603" s="54"/>
      <c r="AE603" s="54"/>
      <c r="AF603" s="54"/>
      <c r="AG603" s="54"/>
      <c r="AH603" s="54"/>
      <c r="AI603" s="54"/>
      <c r="AJ603" s="54"/>
      <c r="AK603" s="54"/>
    </row>
    <row r="604" spans="1:37" hidden="1" x14ac:dyDescent="0.35">
      <c r="A604" s="54"/>
      <c r="B604" s="54"/>
      <c r="C604" s="54">
        <v>24248</v>
      </c>
      <c r="D604" s="54" t="s">
        <v>811</v>
      </c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  <c r="AB604" s="54"/>
      <c r="AC604" s="54"/>
      <c r="AD604" s="54"/>
      <c r="AE604" s="54"/>
      <c r="AF604" s="54"/>
      <c r="AG604" s="54"/>
      <c r="AH604" s="54"/>
      <c r="AI604" s="54"/>
      <c r="AJ604" s="54"/>
      <c r="AK604" s="54"/>
    </row>
    <row r="605" spans="1:37" hidden="1" x14ac:dyDescent="0.35">
      <c r="A605" s="54"/>
      <c r="B605" s="54"/>
      <c r="C605" s="54">
        <v>24249</v>
      </c>
      <c r="D605" s="54" t="s">
        <v>774</v>
      </c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  <c r="AB605" s="54"/>
      <c r="AC605" s="54"/>
      <c r="AD605" s="54"/>
      <c r="AE605" s="54"/>
      <c r="AF605" s="54"/>
      <c r="AG605" s="54"/>
      <c r="AH605" s="54"/>
      <c r="AI605" s="54"/>
      <c r="AJ605" s="54"/>
      <c r="AK605" s="54"/>
    </row>
    <row r="606" spans="1:37" hidden="1" x14ac:dyDescent="0.35">
      <c r="A606" s="54"/>
      <c r="B606" s="54"/>
      <c r="C606" s="54">
        <v>24250</v>
      </c>
      <c r="D606" s="54" t="s">
        <v>775</v>
      </c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  <c r="AB606" s="54"/>
      <c r="AC606" s="54"/>
      <c r="AD606" s="54"/>
      <c r="AE606" s="54"/>
      <c r="AF606" s="54"/>
      <c r="AG606" s="54"/>
      <c r="AH606" s="54"/>
      <c r="AI606" s="54"/>
      <c r="AJ606" s="54"/>
      <c r="AK606" s="54"/>
    </row>
    <row r="607" spans="1:37" hidden="1" x14ac:dyDescent="0.35">
      <c r="A607" s="54"/>
      <c r="B607" s="54"/>
      <c r="C607" s="54">
        <v>24251</v>
      </c>
      <c r="D607" s="54" t="s">
        <v>776</v>
      </c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  <c r="AB607" s="54"/>
      <c r="AC607" s="54"/>
      <c r="AD607" s="54"/>
      <c r="AE607" s="54"/>
      <c r="AF607" s="54"/>
      <c r="AG607" s="54"/>
      <c r="AH607" s="54"/>
      <c r="AI607" s="54"/>
      <c r="AJ607" s="54"/>
      <c r="AK607" s="54"/>
    </row>
    <row r="608" spans="1:37" hidden="1" x14ac:dyDescent="0.35">
      <c r="A608" s="54"/>
      <c r="B608" s="54"/>
      <c r="C608" s="54">
        <v>24252</v>
      </c>
      <c r="D608" s="54" t="s">
        <v>777</v>
      </c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  <c r="AB608" s="54"/>
      <c r="AC608" s="54"/>
      <c r="AD608" s="54"/>
      <c r="AE608" s="54"/>
      <c r="AF608" s="54"/>
      <c r="AG608" s="54"/>
      <c r="AH608" s="54"/>
      <c r="AI608" s="54"/>
      <c r="AJ608" s="54"/>
      <c r="AK608" s="54"/>
    </row>
    <row r="609" spans="1:37" hidden="1" x14ac:dyDescent="0.35">
      <c r="A609" s="54"/>
      <c r="B609" s="54"/>
      <c r="C609" s="54">
        <v>24253</v>
      </c>
      <c r="D609" s="54" t="s">
        <v>779</v>
      </c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  <c r="AB609" s="54"/>
      <c r="AC609" s="54"/>
      <c r="AD609" s="54"/>
      <c r="AE609" s="54"/>
      <c r="AF609" s="54"/>
      <c r="AG609" s="54"/>
      <c r="AH609" s="54"/>
      <c r="AI609" s="54"/>
      <c r="AJ609" s="54"/>
      <c r="AK609" s="54"/>
    </row>
    <row r="610" spans="1:37" hidden="1" x14ac:dyDescent="0.35">
      <c r="A610" s="54"/>
      <c r="B610" s="54"/>
      <c r="C610" s="54">
        <v>24254</v>
      </c>
      <c r="D610" s="54" t="s">
        <v>778</v>
      </c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  <c r="AB610" s="54"/>
      <c r="AC610" s="54"/>
      <c r="AD610" s="54"/>
      <c r="AE610" s="54"/>
      <c r="AF610" s="54"/>
      <c r="AG610" s="54"/>
      <c r="AH610" s="54"/>
      <c r="AI610" s="54"/>
      <c r="AJ610" s="54"/>
      <c r="AK610" s="54"/>
    </row>
    <row r="611" spans="1:37" hidden="1" x14ac:dyDescent="0.35">
      <c r="A611" s="54"/>
      <c r="B611" s="54"/>
      <c r="C611" s="54">
        <v>24255</v>
      </c>
      <c r="D611" s="54" t="s">
        <v>780</v>
      </c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  <c r="AB611" s="54"/>
      <c r="AC611" s="54"/>
      <c r="AD611" s="54"/>
      <c r="AE611" s="54"/>
      <c r="AF611" s="54"/>
      <c r="AG611" s="54"/>
      <c r="AH611" s="54"/>
      <c r="AI611" s="54"/>
      <c r="AJ611" s="54"/>
      <c r="AK611" s="54"/>
    </row>
    <row r="612" spans="1:37" hidden="1" x14ac:dyDescent="0.35">
      <c r="A612" s="54"/>
      <c r="B612" s="54"/>
      <c r="C612" s="54">
        <v>24256</v>
      </c>
      <c r="D612" s="54" t="s">
        <v>812</v>
      </c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  <c r="AB612" s="54"/>
      <c r="AC612" s="54"/>
      <c r="AD612" s="54"/>
      <c r="AE612" s="54"/>
      <c r="AF612" s="54"/>
      <c r="AG612" s="54"/>
      <c r="AH612" s="54"/>
      <c r="AI612" s="54"/>
      <c r="AJ612" s="54"/>
      <c r="AK612" s="54"/>
    </row>
    <row r="613" spans="1:37" hidden="1" x14ac:dyDescent="0.35">
      <c r="A613" s="54"/>
      <c r="B613" s="54"/>
      <c r="C613" s="54">
        <v>24257</v>
      </c>
      <c r="D613" s="54" t="s">
        <v>781</v>
      </c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  <c r="AB613" s="54"/>
      <c r="AC613" s="54"/>
      <c r="AD613" s="54"/>
      <c r="AE613" s="54"/>
      <c r="AF613" s="54"/>
      <c r="AG613" s="54"/>
      <c r="AH613" s="54"/>
      <c r="AI613" s="54"/>
      <c r="AJ613" s="54"/>
      <c r="AK613" s="54"/>
    </row>
    <row r="614" spans="1:37" hidden="1" x14ac:dyDescent="0.35">
      <c r="A614" s="54"/>
      <c r="B614" s="54"/>
      <c r="C614" s="54">
        <v>24258</v>
      </c>
      <c r="D614" s="54" t="s">
        <v>782</v>
      </c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  <c r="AE614" s="54"/>
      <c r="AF614" s="54"/>
      <c r="AG614" s="54"/>
      <c r="AH614" s="54"/>
      <c r="AI614" s="54"/>
      <c r="AJ614" s="54"/>
      <c r="AK614" s="54"/>
    </row>
    <row r="615" spans="1:37" hidden="1" x14ac:dyDescent="0.35">
      <c r="A615" s="54"/>
      <c r="B615" s="54"/>
      <c r="C615" s="54">
        <v>24259</v>
      </c>
      <c r="D615" s="54" t="s">
        <v>783</v>
      </c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  <c r="AE615" s="54"/>
      <c r="AF615" s="54"/>
      <c r="AG615" s="54"/>
      <c r="AH615" s="54"/>
      <c r="AI615" s="54"/>
      <c r="AJ615" s="54"/>
      <c r="AK615" s="54"/>
    </row>
    <row r="616" spans="1:37" hidden="1" x14ac:dyDescent="0.35">
      <c r="A616" s="54"/>
      <c r="B616" s="54"/>
      <c r="C616" s="54">
        <v>24260</v>
      </c>
      <c r="D616" s="54" t="s">
        <v>784</v>
      </c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  <c r="AB616" s="54"/>
      <c r="AC616" s="54"/>
      <c r="AD616" s="54"/>
      <c r="AE616" s="54"/>
      <c r="AF616" s="54"/>
      <c r="AG616" s="54"/>
      <c r="AH616" s="54"/>
      <c r="AI616" s="54"/>
      <c r="AJ616" s="54"/>
      <c r="AK616" s="54"/>
    </row>
    <row r="617" spans="1:37" hidden="1" x14ac:dyDescent="0.35">
      <c r="A617" s="54"/>
      <c r="B617" s="54"/>
      <c r="C617" s="54">
        <v>24261</v>
      </c>
      <c r="D617" s="54" t="s">
        <v>785</v>
      </c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  <c r="AE617" s="54"/>
      <c r="AF617" s="54"/>
      <c r="AG617" s="54"/>
      <c r="AH617" s="54"/>
      <c r="AI617" s="54"/>
      <c r="AJ617" s="54"/>
      <c r="AK617" s="54"/>
    </row>
    <row r="618" spans="1:37" hidden="1" x14ac:dyDescent="0.35">
      <c r="A618" s="54"/>
      <c r="B618" s="54"/>
      <c r="C618" s="54">
        <v>999999</v>
      </c>
      <c r="D618" s="54" t="s">
        <v>788</v>
      </c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  <c r="AE618" s="54"/>
      <c r="AF618" s="54"/>
      <c r="AG618" s="54"/>
      <c r="AH618" s="54"/>
      <c r="AI618" s="54"/>
      <c r="AJ618" s="54"/>
      <c r="AK618" s="54"/>
    </row>
    <row r="619" spans="1:37" hidden="1" x14ac:dyDescent="0.35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  <c r="AE619" s="54"/>
      <c r="AF619" s="54"/>
      <c r="AG619" s="54"/>
      <c r="AH619" s="54"/>
      <c r="AI619" s="54"/>
      <c r="AJ619" s="54"/>
      <c r="AK619" s="54"/>
    </row>
    <row r="620" spans="1:37" hidden="1" x14ac:dyDescent="0.35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  <c r="AE620" s="54"/>
      <c r="AF620" s="54"/>
      <c r="AG620" s="54"/>
      <c r="AH620" s="54"/>
      <c r="AI620" s="54"/>
      <c r="AJ620" s="54"/>
      <c r="AK620" s="54"/>
    </row>
    <row r="621" spans="1:37" hidden="1" x14ac:dyDescent="0.35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  <c r="AE621" s="54"/>
      <c r="AF621" s="54"/>
      <c r="AG621" s="54"/>
      <c r="AH621" s="54"/>
      <c r="AI621" s="54"/>
      <c r="AJ621" s="54"/>
      <c r="AK621" s="54"/>
    </row>
    <row r="622" spans="1:37" hidden="1" x14ac:dyDescent="0.35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  <c r="AE622" s="54"/>
      <c r="AF622" s="54"/>
      <c r="AG622" s="54"/>
      <c r="AH622" s="54"/>
      <c r="AI622" s="54"/>
      <c r="AJ622" s="54"/>
      <c r="AK622" s="54"/>
    </row>
    <row r="623" spans="1:37" hidden="1" x14ac:dyDescent="0.35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  <c r="AE623" s="54"/>
      <c r="AF623" s="54"/>
      <c r="AG623" s="54"/>
      <c r="AH623" s="54"/>
      <c r="AI623" s="54"/>
      <c r="AJ623" s="54"/>
      <c r="AK623" s="54"/>
    </row>
    <row r="624" spans="1:37" hidden="1" x14ac:dyDescent="0.35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  <c r="AD624" s="54"/>
      <c r="AE624" s="54"/>
      <c r="AF624" s="54"/>
      <c r="AG624" s="54"/>
      <c r="AH624" s="54"/>
      <c r="AI624" s="54"/>
      <c r="AJ624" s="54"/>
      <c r="AK624" s="54"/>
    </row>
    <row r="625" spans="1:37" hidden="1" x14ac:dyDescent="0.35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  <c r="AE625" s="54"/>
      <c r="AF625" s="54"/>
      <c r="AG625" s="54"/>
      <c r="AH625" s="54"/>
      <c r="AI625" s="54"/>
      <c r="AJ625" s="54"/>
      <c r="AK625" s="54"/>
    </row>
    <row r="626" spans="1:37" hidden="1" x14ac:dyDescent="0.35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  <c r="AC626" s="54"/>
      <c r="AD626" s="54"/>
      <c r="AE626" s="54"/>
      <c r="AF626" s="54"/>
      <c r="AG626" s="54"/>
      <c r="AH626" s="54"/>
      <c r="AI626" s="54"/>
      <c r="AJ626" s="54"/>
      <c r="AK626" s="54"/>
    </row>
    <row r="627" spans="1:37" hidden="1" x14ac:dyDescent="0.35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  <c r="AC627" s="54"/>
      <c r="AD627" s="54"/>
      <c r="AE627" s="54"/>
      <c r="AF627" s="54"/>
      <c r="AG627" s="54"/>
      <c r="AH627" s="54"/>
      <c r="AI627" s="54"/>
      <c r="AJ627" s="54"/>
      <c r="AK627" s="54"/>
    </row>
    <row r="628" spans="1:37" hidden="1" x14ac:dyDescent="0.35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  <c r="AB628" s="54"/>
      <c r="AC628" s="54"/>
      <c r="AD628" s="54"/>
      <c r="AE628" s="54"/>
      <c r="AF628" s="54"/>
      <c r="AG628" s="54"/>
      <c r="AH628" s="54"/>
      <c r="AI628" s="54"/>
      <c r="AJ628" s="54"/>
      <c r="AK628" s="54"/>
    </row>
    <row r="629" spans="1:37" hidden="1" x14ac:dyDescent="0.35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  <c r="AB629" s="54"/>
      <c r="AC629" s="54"/>
      <c r="AD629" s="54"/>
      <c r="AE629" s="54"/>
      <c r="AF629" s="54"/>
      <c r="AG629" s="54"/>
      <c r="AH629" s="54"/>
      <c r="AI629" s="54"/>
      <c r="AJ629" s="54"/>
      <c r="AK629" s="54"/>
    </row>
    <row r="630" spans="1:37" hidden="1" x14ac:dyDescent="0.35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  <c r="AB630" s="54"/>
      <c r="AC630" s="54"/>
      <c r="AD630" s="54"/>
      <c r="AE630" s="54"/>
      <c r="AF630" s="54"/>
      <c r="AG630" s="54"/>
      <c r="AH630" s="54"/>
      <c r="AI630" s="54"/>
      <c r="AJ630" s="54"/>
      <c r="AK630" s="54"/>
    </row>
    <row r="631" spans="1:37" hidden="1" x14ac:dyDescent="0.35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  <c r="AB631" s="54"/>
      <c r="AC631" s="54"/>
      <c r="AD631" s="54"/>
      <c r="AE631" s="54"/>
      <c r="AF631" s="54"/>
      <c r="AG631" s="54"/>
      <c r="AH631" s="54"/>
      <c r="AI631" s="54"/>
      <c r="AJ631" s="54"/>
      <c r="AK631" s="54"/>
    </row>
    <row r="632" spans="1:37" hidden="1" x14ac:dyDescent="0.35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  <c r="AB632" s="54"/>
      <c r="AC632" s="54"/>
      <c r="AD632" s="54"/>
      <c r="AE632" s="54"/>
      <c r="AF632" s="54"/>
      <c r="AG632" s="54"/>
      <c r="AH632" s="54"/>
      <c r="AI632" s="54"/>
      <c r="AJ632" s="54"/>
      <c r="AK632" s="54"/>
    </row>
    <row r="633" spans="1:37" hidden="1" x14ac:dyDescent="0.35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  <c r="AB633" s="54"/>
      <c r="AC633" s="54"/>
      <c r="AD633" s="54"/>
      <c r="AE633" s="54"/>
      <c r="AF633" s="54"/>
      <c r="AG633" s="54"/>
      <c r="AH633" s="54"/>
      <c r="AI633" s="54"/>
      <c r="AJ633" s="54"/>
      <c r="AK633" s="54"/>
    </row>
    <row r="634" spans="1:37" hidden="1" x14ac:dyDescent="0.35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  <c r="AB634" s="54"/>
      <c r="AC634" s="54"/>
      <c r="AD634" s="54"/>
      <c r="AE634" s="54"/>
      <c r="AF634" s="54"/>
      <c r="AG634" s="54"/>
      <c r="AH634" s="54"/>
      <c r="AI634" s="54"/>
      <c r="AJ634" s="54"/>
      <c r="AK634" s="54"/>
    </row>
    <row r="635" spans="1:37" hidden="1" x14ac:dyDescent="0.35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  <c r="AB635" s="54"/>
      <c r="AC635" s="54"/>
      <c r="AD635" s="54"/>
      <c r="AE635" s="54"/>
      <c r="AF635" s="54"/>
      <c r="AG635" s="54"/>
      <c r="AH635" s="54"/>
      <c r="AI635" s="54"/>
      <c r="AJ635" s="54"/>
      <c r="AK635" s="54"/>
    </row>
    <row r="636" spans="1:37" hidden="1" x14ac:dyDescent="0.35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  <c r="AB636" s="54"/>
      <c r="AC636" s="54"/>
      <c r="AD636" s="54"/>
      <c r="AE636" s="54"/>
      <c r="AF636" s="54"/>
      <c r="AG636" s="54"/>
      <c r="AH636" s="54"/>
      <c r="AI636" s="54"/>
      <c r="AJ636" s="54"/>
      <c r="AK636" s="54"/>
    </row>
    <row r="637" spans="1:37" hidden="1" x14ac:dyDescent="0.35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  <c r="AB637" s="54"/>
      <c r="AC637" s="54"/>
      <c r="AD637" s="54"/>
      <c r="AE637" s="54"/>
      <c r="AF637" s="54"/>
      <c r="AG637" s="54"/>
      <c r="AH637" s="54"/>
      <c r="AI637" s="54"/>
      <c r="AJ637" s="54"/>
      <c r="AK637" s="54"/>
    </row>
    <row r="638" spans="1:37" hidden="1" x14ac:dyDescent="0.35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  <c r="AB638" s="54"/>
      <c r="AC638" s="54"/>
      <c r="AD638" s="54"/>
      <c r="AE638" s="54"/>
      <c r="AF638" s="54"/>
      <c r="AG638" s="54"/>
      <c r="AH638" s="54"/>
      <c r="AI638" s="54"/>
      <c r="AJ638" s="54"/>
      <c r="AK638" s="54"/>
    </row>
    <row r="639" spans="1:37" hidden="1" x14ac:dyDescent="0.35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  <c r="AB639" s="54"/>
      <c r="AC639" s="54"/>
      <c r="AD639" s="54"/>
      <c r="AE639" s="54"/>
      <c r="AF639" s="54"/>
      <c r="AG639" s="54"/>
      <c r="AH639" s="54"/>
      <c r="AI639" s="54"/>
      <c r="AJ639" s="54"/>
      <c r="AK639" s="54"/>
    </row>
    <row r="640" spans="1:37" hidden="1" x14ac:dyDescent="0.35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  <c r="AB640" s="54"/>
      <c r="AC640" s="54"/>
      <c r="AD640" s="54"/>
      <c r="AE640" s="54"/>
      <c r="AF640" s="54"/>
      <c r="AG640" s="54"/>
      <c r="AH640" s="54"/>
      <c r="AI640" s="54"/>
      <c r="AJ640" s="54"/>
      <c r="AK640" s="54"/>
    </row>
    <row r="641" spans="1:37" hidden="1" x14ac:dyDescent="0.35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  <c r="AB641" s="54"/>
      <c r="AC641" s="54"/>
      <c r="AD641" s="54"/>
      <c r="AE641" s="54"/>
      <c r="AF641" s="54"/>
      <c r="AG641" s="54"/>
      <c r="AH641" s="54"/>
      <c r="AI641" s="54"/>
      <c r="AJ641" s="54"/>
      <c r="AK641" s="54"/>
    </row>
    <row r="642" spans="1:37" hidden="1" x14ac:dyDescent="0.35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  <c r="AB642" s="54"/>
      <c r="AC642" s="54"/>
      <c r="AD642" s="54"/>
      <c r="AE642" s="54"/>
      <c r="AF642" s="54"/>
      <c r="AG642" s="54"/>
      <c r="AH642" s="54"/>
      <c r="AI642" s="54"/>
      <c r="AJ642" s="54"/>
      <c r="AK642" s="54"/>
    </row>
    <row r="643" spans="1:37" hidden="1" x14ac:dyDescent="0.35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  <c r="AB643" s="54"/>
      <c r="AC643" s="54"/>
      <c r="AD643" s="54"/>
      <c r="AE643" s="54"/>
      <c r="AF643" s="54"/>
      <c r="AG643" s="54"/>
      <c r="AH643" s="54"/>
      <c r="AI643" s="54"/>
      <c r="AJ643" s="54"/>
      <c r="AK643" s="54"/>
    </row>
    <row r="644" spans="1:37" hidden="1" x14ac:dyDescent="0.35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  <c r="AB644" s="54"/>
      <c r="AC644" s="54"/>
      <c r="AD644" s="54"/>
      <c r="AE644" s="54"/>
      <c r="AF644" s="54"/>
      <c r="AG644" s="54"/>
      <c r="AH644" s="54"/>
      <c r="AI644" s="54"/>
      <c r="AJ644" s="54"/>
      <c r="AK644" s="54"/>
    </row>
    <row r="645" spans="1:37" hidden="1" x14ac:dyDescent="0.35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  <c r="AB645" s="54"/>
      <c r="AC645" s="54"/>
      <c r="AD645" s="54"/>
      <c r="AE645" s="54"/>
      <c r="AF645" s="54"/>
      <c r="AG645" s="54"/>
      <c r="AH645" s="54"/>
      <c r="AI645" s="54"/>
      <c r="AJ645" s="54"/>
      <c r="AK645" s="54"/>
    </row>
    <row r="646" spans="1:37" hidden="1" x14ac:dyDescent="0.35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  <c r="AB646" s="54"/>
      <c r="AC646" s="54"/>
      <c r="AD646" s="54"/>
      <c r="AE646" s="54"/>
      <c r="AF646" s="54"/>
      <c r="AG646" s="54"/>
      <c r="AH646" s="54"/>
      <c r="AI646" s="54"/>
      <c r="AJ646" s="54"/>
      <c r="AK646" s="54"/>
    </row>
    <row r="647" spans="1:37" hidden="1" x14ac:dyDescent="0.35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  <c r="AB647" s="54"/>
      <c r="AC647" s="54"/>
      <c r="AD647" s="54"/>
      <c r="AE647" s="54"/>
      <c r="AF647" s="54"/>
      <c r="AG647" s="54"/>
      <c r="AH647" s="54"/>
      <c r="AI647" s="54"/>
      <c r="AJ647" s="54"/>
      <c r="AK647" s="54"/>
    </row>
    <row r="648" spans="1:37" hidden="1" x14ac:dyDescent="0.35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  <c r="AB648" s="54"/>
      <c r="AC648" s="54"/>
      <c r="AD648" s="54"/>
      <c r="AE648" s="54"/>
      <c r="AF648" s="54"/>
      <c r="AG648" s="54"/>
      <c r="AH648" s="54"/>
      <c r="AI648" s="54"/>
      <c r="AJ648" s="54"/>
      <c r="AK648" s="54"/>
    </row>
    <row r="649" spans="1:37" hidden="1" x14ac:dyDescent="0.35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  <c r="AB649" s="54"/>
      <c r="AC649" s="54"/>
      <c r="AD649" s="54"/>
      <c r="AE649" s="54"/>
      <c r="AF649" s="54"/>
      <c r="AG649" s="54"/>
      <c r="AH649" s="54"/>
      <c r="AI649" s="54"/>
      <c r="AJ649" s="54"/>
      <c r="AK649" s="54"/>
    </row>
    <row r="650" spans="1:37" hidden="1" x14ac:dyDescent="0.35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  <c r="AB650" s="54"/>
      <c r="AC650" s="54"/>
      <c r="AD650" s="54"/>
      <c r="AE650" s="54"/>
      <c r="AF650" s="54"/>
      <c r="AG650" s="54"/>
      <c r="AH650" s="54"/>
      <c r="AI650" s="54"/>
      <c r="AJ650" s="54"/>
      <c r="AK650" s="54"/>
    </row>
    <row r="651" spans="1:37" hidden="1" x14ac:dyDescent="0.35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  <c r="AB651" s="54"/>
      <c r="AC651" s="54"/>
      <c r="AD651" s="54"/>
      <c r="AE651" s="54"/>
      <c r="AF651" s="54"/>
      <c r="AG651" s="54"/>
      <c r="AH651" s="54"/>
      <c r="AI651" s="54"/>
      <c r="AJ651" s="54"/>
      <c r="AK651" s="54"/>
    </row>
    <row r="652" spans="1:37" hidden="1" x14ac:dyDescent="0.35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  <c r="AE652" s="54"/>
      <c r="AF652" s="54"/>
      <c r="AG652" s="54"/>
      <c r="AH652" s="54"/>
      <c r="AI652" s="54"/>
      <c r="AJ652" s="54"/>
      <c r="AK652" s="54"/>
    </row>
    <row r="653" spans="1:37" hidden="1" x14ac:dyDescent="0.35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  <c r="AE653" s="54"/>
      <c r="AF653" s="54"/>
      <c r="AG653" s="54"/>
      <c r="AH653" s="54"/>
      <c r="AI653" s="54"/>
      <c r="AJ653" s="54"/>
      <c r="AK653" s="54"/>
    </row>
    <row r="654" spans="1:37" hidden="1" x14ac:dyDescent="0.35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  <c r="AB654" s="54"/>
      <c r="AC654" s="54"/>
      <c r="AD654" s="54"/>
      <c r="AE654" s="54"/>
      <c r="AF654" s="54"/>
      <c r="AG654" s="54"/>
      <c r="AH654" s="54"/>
      <c r="AI654" s="54"/>
      <c r="AJ654" s="54"/>
      <c r="AK654" s="54"/>
    </row>
    <row r="655" spans="1:37" hidden="1" x14ac:dyDescent="0.35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  <c r="AE655" s="54"/>
      <c r="AF655" s="54"/>
      <c r="AG655" s="54"/>
      <c r="AH655" s="54"/>
      <c r="AI655" s="54"/>
      <c r="AJ655" s="54"/>
      <c r="AK655" s="54"/>
    </row>
    <row r="656" spans="1:37" hidden="1" x14ac:dyDescent="0.35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  <c r="AE656" s="54"/>
      <c r="AF656" s="54"/>
      <c r="AG656" s="54"/>
      <c r="AH656" s="54"/>
      <c r="AI656" s="54"/>
      <c r="AJ656" s="54"/>
      <c r="AK656" s="54"/>
    </row>
    <row r="657" spans="1:37" hidden="1" x14ac:dyDescent="0.35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  <c r="AE657" s="54"/>
      <c r="AF657" s="54"/>
      <c r="AG657" s="54"/>
      <c r="AH657" s="54"/>
      <c r="AI657" s="54"/>
      <c r="AJ657" s="54"/>
      <c r="AK657" s="54"/>
    </row>
    <row r="658" spans="1:37" hidden="1" x14ac:dyDescent="0.35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  <c r="AE658" s="54"/>
      <c r="AF658" s="54"/>
      <c r="AG658" s="54"/>
      <c r="AH658" s="54"/>
      <c r="AI658" s="54"/>
      <c r="AJ658" s="54"/>
      <c r="AK658" s="54"/>
    </row>
    <row r="659" spans="1:37" hidden="1" x14ac:dyDescent="0.35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  <c r="AD659" s="54"/>
      <c r="AE659" s="54"/>
      <c r="AF659" s="54"/>
      <c r="AG659" s="54"/>
      <c r="AH659" s="54"/>
      <c r="AI659" s="54"/>
      <c r="AJ659" s="54"/>
      <c r="AK659" s="54"/>
    </row>
    <row r="660" spans="1:37" hidden="1" x14ac:dyDescent="0.35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  <c r="AC660" s="54"/>
      <c r="AD660" s="54"/>
      <c r="AE660" s="54"/>
      <c r="AF660" s="54"/>
      <c r="AG660" s="54"/>
      <c r="AH660" s="54"/>
      <c r="AI660" s="54"/>
      <c r="AJ660" s="54"/>
      <c r="AK660" s="54"/>
    </row>
    <row r="661" spans="1:37" hidden="1" x14ac:dyDescent="0.35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  <c r="AD661" s="54"/>
      <c r="AE661" s="54"/>
      <c r="AF661" s="54"/>
      <c r="AG661" s="54"/>
      <c r="AH661" s="54"/>
      <c r="AI661" s="54"/>
      <c r="AJ661" s="54"/>
      <c r="AK661" s="54"/>
    </row>
    <row r="662" spans="1:37" hidden="1" x14ac:dyDescent="0.35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  <c r="AC662" s="54"/>
      <c r="AD662" s="54"/>
      <c r="AE662" s="54"/>
      <c r="AF662" s="54"/>
      <c r="AG662" s="54"/>
      <c r="AH662" s="54"/>
      <c r="AI662" s="54"/>
      <c r="AJ662" s="54"/>
      <c r="AK662" s="54"/>
    </row>
    <row r="663" spans="1:37" hidden="1" x14ac:dyDescent="0.35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  <c r="AC663" s="54"/>
      <c r="AD663" s="54"/>
      <c r="AE663" s="54"/>
      <c r="AF663" s="54"/>
      <c r="AG663" s="54"/>
      <c r="AH663" s="54"/>
      <c r="AI663" s="54"/>
      <c r="AJ663" s="54"/>
      <c r="AK663" s="54"/>
    </row>
    <row r="664" spans="1:37" hidden="1" x14ac:dyDescent="0.35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  <c r="AE664" s="54"/>
      <c r="AF664" s="54"/>
      <c r="AG664" s="54"/>
      <c r="AH664" s="54"/>
      <c r="AI664" s="54"/>
      <c r="AJ664" s="54"/>
      <c r="AK664" s="54"/>
    </row>
    <row r="665" spans="1:37" hidden="1" x14ac:dyDescent="0.35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  <c r="AC665" s="54"/>
      <c r="AD665" s="54"/>
      <c r="AE665" s="54"/>
      <c r="AF665" s="54"/>
      <c r="AG665" s="54"/>
      <c r="AH665" s="54"/>
      <c r="AI665" s="54"/>
      <c r="AJ665" s="54"/>
      <c r="AK665" s="54"/>
    </row>
    <row r="666" spans="1:37" hidden="1" x14ac:dyDescent="0.35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  <c r="AB666" s="54"/>
      <c r="AC666" s="54"/>
      <c r="AD666" s="54"/>
      <c r="AE666" s="54"/>
      <c r="AF666" s="54"/>
      <c r="AG666" s="54"/>
      <c r="AH666" s="54"/>
      <c r="AI666" s="54"/>
      <c r="AJ666" s="54"/>
      <c r="AK666" s="54"/>
    </row>
    <row r="667" spans="1:37" hidden="1" x14ac:dyDescent="0.35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  <c r="AB667" s="54"/>
      <c r="AC667" s="54"/>
      <c r="AD667" s="54"/>
      <c r="AE667" s="54"/>
      <c r="AF667" s="54"/>
      <c r="AG667" s="54"/>
      <c r="AH667" s="54"/>
      <c r="AI667" s="54"/>
      <c r="AJ667" s="54"/>
      <c r="AK667" s="54"/>
    </row>
    <row r="668" spans="1:37" hidden="1" x14ac:dyDescent="0.35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  <c r="AB668" s="54"/>
      <c r="AC668" s="54"/>
      <c r="AD668" s="54"/>
      <c r="AE668" s="54"/>
      <c r="AF668" s="54"/>
      <c r="AG668" s="54"/>
      <c r="AH668" s="54"/>
      <c r="AI668" s="54"/>
      <c r="AJ668" s="54"/>
      <c r="AK668" s="54"/>
    </row>
    <row r="669" spans="1:37" hidden="1" x14ac:dyDescent="0.35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  <c r="AB669" s="54"/>
      <c r="AC669" s="54"/>
      <c r="AD669" s="54"/>
      <c r="AE669" s="54"/>
      <c r="AF669" s="54"/>
      <c r="AG669" s="54"/>
      <c r="AH669" s="54"/>
      <c r="AI669" s="54"/>
      <c r="AJ669" s="54"/>
      <c r="AK669" s="54"/>
    </row>
    <row r="670" spans="1:37" hidden="1" x14ac:dyDescent="0.35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  <c r="AB670" s="54"/>
      <c r="AC670" s="54"/>
      <c r="AD670" s="54"/>
      <c r="AE670" s="54"/>
      <c r="AF670" s="54"/>
      <c r="AG670" s="54"/>
      <c r="AH670" s="54"/>
      <c r="AI670" s="54"/>
      <c r="AJ670" s="54"/>
      <c r="AK670" s="54"/>
    </row>
    <row r="671" spans="1:37" hidden="1" x14ac:dyDescent="0.35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  <c r="AB671" s="54"/>
      <c r="AC671" s="54"/>
      <c r="AD671" s="54"/>
      <c r="AE671" s="54"/>
      <c r="AF671" s="54"/>
      <c r="AG671" s="54"/>
      <c r="AH671" s="54"/>
      <c r="AI671" s="54"/>
      <c r="AJ671" s="54"/>
      <c r="AK671" s="54"/>
    </row>
    <row r="672" spans="1:37" hidden="1" x14ac:dyDescent="0.35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  <c r="AB672" s="54"/>
      <c r="AC672" s="54"/>
      <c r="AD672" s="54"/>
      <c r="AE672" s="54"/>
      <c r="AF672" s="54"/>
      <c r="AG672" s="54"/>
      <c r="AH672" s="54"/>
      <c r="AI672" s="54"/>
      <c r="AJ672" s="54"/>
      <c r="AK672" s="54"/>
    </row>
    <row r="673" spans="1:37" hidden="1" x14ac:dyDescent="0.35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  <c r="AB673" s="54"/>
      <c r="AC673" s="54"/>
      <c r="AD673" s="54"/>
      <c r="AE673" s="54"/>
      <c r="AF673" s="54"/>
      <c r="AG673" s="54"/>
      <c r="AH673" s="54"/>
      <c r="AI673" s="54"/>
      <c r="AJ673" s="54"/>
      <c r="AK673" s="54"/>
    </row>
    <row r="674" spans="1:37" hidden="1" x14ac:dyDescent="0.35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  <c r="AB674" s="54"/>
      <c r="AC674" s="54"/>
      <c r="AD674" s="54"/>
      <c r="AE674" s="54"/>
      <c r="AF674" s="54"/>
      <c r="AG674" s="54"/>
      <c r="AH674" s="54"/>
      <c r="AI674" s="54"/>
      <c r="AJ674" s="54"/>
      <c r="AK674" s="54"/>
    </row>
    <row r="675" spans="1:37" hidden="1" x14ac:dyDescent="0.35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  <c r="AB675" s="54"/>
      <c r="AC675" s="54"/>
      <c r="AD675" s="54"/>
      <c r="AE675" s="54"/>
      <c r="AF675" s="54"/>
      <c r="AG675" s="54"/>
      <c r="AH675" s="54"/>
      <c r="AI675" s="54"/>
      <c r="AJ675" s="54"/>
      <c r="AK675" s="54"/>
    </row>
    <row r="676" spans="1:37" hidden="1" x14ac:dyDescent="0.35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  <c r="AB676" s="54"/>
      <c r="AC676" s="54"/>
      <c r="AD676" s="54"/>
      <c r="AE676" s="54"/>
      <c r="AF676" s="54"/>
      <c r="AG676" s="54"/>
      <c r="AH676" s="54"/>
      <c r="AI676" s="54"/>
      <c r="AJ676" s="54"/>
      <c r="AK676" s="54"/>
    </row>
    <row r="677" spans="1:37" hidden="1" x14ac:dyDescent="0.35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  <c r="AB677" s="54"/>
      <c r="AC677" s="54"/>
      <c r="AD677" s="54"/>
      <c r="AE677" s="54"/>
      <c r="AF677" s="54"/>
      <c r="AG677" s="54"/>
      <c r="AH677" s="54"/>
      <c r="AI677" s="54"/>
      <c r="AJ677" s="54"/>
      <c r="AK677" s="54"/>
    </row>
    <row r="678" spans="1:37" hidden="1" x14ac:dyDescent="0.35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  <c r="AB678" s="54"/>
      <c r="AC678" s="54"/>
      <c r="AD678" s="54"/>
      <c r="AE678" s="54"/>
      <c r="AF678" s="54"/>
      <c r="AG678" s="54"/>
      <c r="AH678" s="54"/>
      <c r="AI678" s="54"/>
      <c r="AJ678" s="54"/>
      <c r="AK678" s="54"/>
    </row>
    <row r="679" spans="1:37" hidden="1" x14ac:dyDescent="0.35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  <c r="AB679" s="54"/>
      <c r="AC679" s="54"/>
      <c r="AD679" s="54"/>
      <c r="AE679" s="54"/>
      <c r="AF679" s="54"/>
      <c r="AG679" s="54"/>
      <c r="AH679" s="54"/>
      <c r="AI679" s="54"/>
      <c r="AJ679" s="54"/>
      <c r="AK679" s="54"/>
    </row>
    <row r="680" spans="1:37" hidden="1" x14ac:dyDescent="0.35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  <c r="AB680" s="54"/>
      <c r="AC680" s="54"/>
      <c r="AD680" s="54"/>
      <c r="AE680" s="54"/>
      <c r="AF680" s="54"/>
      <c r="AG680" s="54"/>
      <c r="AH680" s="54"/>
      <c r="AI680" s="54"/>
      <c r="AJ680" s="54"/>
      <c r="AK680" s="54"/>
    </row>
    <row r="681" spans="1:37" hidden="1" x14ac:dyDescent="0.35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  <c r="AB681" s="54"/>
      <c r="AC681" s="54"/>
      <c r="AD681" s="54"/>
      <c r="AE681" s="54"/>
      <c r="AF681" s="54"/>
      <c r="AG681" s="54"/>
      <c r="AH681" s="54"/>
      <c r="AI681" s="54"/>
      <c r="AJ681" s="54"/>
      <c r="AK681" s="54"/>
    </row>
    <row r="682" spans="1:37" hidden="1" x14ac:dyDescent="0.35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  <c r="AB682" s="54"/>
      <c r="AC682" s="54"/>
      <c r="AD682" s="54"/>
      <c r="AE682" s="54"/>
      <c r="AF682" s="54"/>
      <c r="AG682" s="54"/>
      <c r="AH682" s="54"/>
      <c r="AI682" s="54"/>
      <c r="AJ682" s="54"/>
      <c r="AK682" s="54"/>
    </row>
    <row r="683" spans="1:37" hidden="1" x14ac:dyDescent="0.35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  <c r="AB683" s="54"/>
      <c r="AC683" s="54"/>
      <c r="AD683" s="54"/>
      <c r="AE683" s="54"/>
      <c r="AF683" s="54"/>
      <c r="AG683" s="54"/>
      <c r="AH683" s="54"/>
      <c r="AI683" s="54"/>
      <c r="AJ683" s="54"/>
      <c r="AK683" s="54"/>
    </row>
    <row r="684" spans="1:37" hidden="1" x14ac:dyDescent="0.35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  <c r="AB684" s="54"/>
      <c r="AC684" s="54"/>
      <c r="AD684" s="54"/>
      <c r="AE684" s="54"/>
      <c r="AF684" s="54"/>
      <c r="AG684" s="54"/>
      <c r="AH684" s="54"/>
      <c r="AI684" s="54"/>
      <c r="AJ684" s="54"/>
      <c r="AK684" s="54"/>
    </row>
    <row r="685" spans="1:37" hidden="1" x14ac:dyDescent="0.35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  <c r="AB685" s="54"/>
      <c r="AC685" s="54"/>
      <c r="AD685" s="54"/>
      <c r="AE685" s="54"/>
      <c r="AF685" s="54"/>
      <c r="AG685" s="54"/>
      <c r="AH685" s="54"/>
      <c r="AI685" s="54"/>
      <c r="AJ685" s="54"/>
      <c r="AK685" s="54"/>
    </row>
    <row r="686" spans="1:37" hidden="1" x14ac:dyDescent="0.35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  <c r="AB686" s="54"/>
      <c r="AC686" s="54"/>
      <c r="AD686" s="54"/>
      <c r="AE686" s="54"/>
      <c r="AF686" s="54"/>
      <c r="AG686" s="54"/>
      <c r="AH686" s="54"/>
      <c r="AI686" s="54"/>
      <c r="AJ686" s="54"/>
      <c r="AK686" s="54"/>
    </row>
    <row r="687" spans="1:37" hidden="1" x14ac:dyDescent="0.35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  <c r="AB687" s="54"/>
      <c r="AC687" s="54"/>
      <c r="AD687" s="54"/>
      <c r="AE687" s="54"/>
      <c r="AF687" s="54"/>
      <c r="AG687" s="54"/>
      <c r="AH687" s="54"/>
      <c r="AI687" s="54"/>
      <c r="AJ687" s="54"/>
      <c r="AK687" s="54"/>
    </row>
    <row r="688" spans="1:37" hidden="1" x14ac:dyDescent="0.35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  <c r="AB688" s="54"/>
      <c r="AC688" s="54"/>
      <c r="AD688" s="54"/>
      <c r="AE688" s="54"/>
      <c r="AF688" s="54"/>
      <c r="AG688" s="54"/>
      <c r="AH688" s="54"/>
      <c r="AI688" s="54"/>
      <c r="AJ688" s="54"/>
      <c r="AK688" s="54"/>
    </row>
    <row r="689" spans="1:37" hidden="1" x14ac:dyDescent="0.35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  <c r="AB689" s="54"/>
      <c r="AC689" s="54"/>
      <c r="AD689" s="54"/>
      <c r="AE689" s="54"/>
      <c r="AF689" s="54"/>
      <c r="AG689" s="54"/>
      <c r="AH689" s="54"/>
      <c r="AI689" s="54"/>
      <c r="AJ689" s="54"/>
      <c r="AK689" s="54"/>
    </row>
    <row r="690" spans="1:37" hidden="1" x14ac:dyDescent="0.35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  <c r="AE690" s="54"/>
      <c r="AF690" s="54"/>
      <c r="AG690" s="54"/>
      <c r="AH690" s="54"/>
      <c r="AI690" s="54"/>
      <c r="AJ690" s="54"/>
      <c r="AK690" s="54"/>
    </row>
    <row r="691" spans="1:37" hidden="1" x14ac:dyDescent="0.35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  <c r="AE691" s="54"/>
      <c r="AF691" s="54"/>
      <c r="AG691" s="54"/>
      <c r="AH691" s="54"/>
      <c r="AI691" s="54"/>
      <c r="AJ691" s="54"/>
      <c r="AK691" s="54"/>
    </row>
    <row r="692" spans="1:37" hidden="1" x14ac:dyDescent="0.35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  <c r="AB692" s="54"/>
      <c r="AC692" s="54"/>
      <c r="AD692" s="54"/>
      <c r="AE692" s="54"/>
      <c r="AF692" s="54"/>
      <c r="AG692" s="54"/>
      <c r="AH692" s="54"/>
      <c r="AI692" s="54"/>
      <c r="AJ692" s="54"/>
      <c r="AK692" s="54"/>
    </row>
    <row r="693" spans="1:37" hidden="1" x14ac:dyDescent="0.35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  <c r="AE693" s="54"/>
      <c r="AF693" s="54"/>
      <c r="AG693" s="54"/>
      <c r="AH693" s="54"/>
      <c r="AI693" s="54"/>
      <c r="AJ693" s="54"/>
      <c r="AK693" s="54"/>
    </row>
    <row r="694" spans="1:37" hidden="1" x14ac:dyDescent="0.35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  <c r="AE694" s="54"/>
      <c r="AF694" s="54"/>
      <c r="AG694" s="54"/>
      <c r="AH694" s="54"/>
      <c r="AI694" s="54"/>
      <c r="AJ694" s="54"/>
      <c r="AK694" s="54"/>
    </row>
    <row r="695" spans="1:37" hidden="1" x14ac:dyDescent="0.35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  <c r="AE695" s="54"/>
      <c r="AF695" s="54"/>
      <c r="AG695" s="54"/>
      <c r="AH695" s="54"/>
      <c r="AI695" s="54"/>
      <c r="AJ695" s="54"/>
      <c r="AK695" s="54"/>
    </row>
    <row r="696" spans="1:37" hidden="1" x14ac:dyDescent="0.35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  <c r="AE696" s="54"/>
      <c r="AF696" s="54"/>
      <c r="AG696" s="54"/>
      <c r="AH696" s="54"/>
      <c r="AI696" s="54"/>
      <c r="AJ696" s="54"/>
      <c r="AK696" s="54"/>
    </row>
    <row r="697" spans="1:37" hidden="1" x14ac:dyDescent="0.35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  <c r="AE697" s="54"/>
      <c r="AF697" s="54"/>
      <c r="AG697" s="54"/>
      <c r="AH697" s="54"/>
      <c r="AI697" s="54"/>
      <c r="AJ697" s="54"/>
      <c r="AK697" s="54"/>
    </row>
    <row r="698" spans="1:37" hidden="1" x14ac:dyDescent="0.35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  <c r="AE698" s="54"/>
      <c r="AF698" s="54"/>
      <c r="AG698" s="54"/>
      <c r="AH698" s="54"/>
      <c r="AI698" s="54"/>
      <c r="AJ698" s="54"/>
      <c r="AK698" s="54"/>
    </row>
    <row r="699" spans="1:37" hidden="1" x14ac:dyDescent="0.35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  <c r="AE699" s="54"/>
      <c r="AF699" s="54"/>
      <c r="AG699" s="54"/>
      <c r="AH699" s="54"/>
      <c r="AI699" s="54"/>
      <c r="AJ699" s="54"/>
      <c r="AK699" s="54"/>
    </row>
    <row r="700" spans="1:37" hidden="1" x14ac:dyDescent="0.35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  <c r="AC700" s="54"/>
      <c r="AD700" s="54"/>
      <c r="AE700" s="54"/>
      <c r="AF700" s="54"/>
      <c r="AG700" s="54"/>
      <c r="AH700" s="54"/>
      <c r="AI700" s="54"/>
      <c r="AJ700" s="54"/>
      <c r="AK700" s="54"/>
    </row>
    <row r="701" spans="1:37" x14ac:dyDescent="0.35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  <c r="AC701" s="54"/>
      <c r="AD701" s="54"/>
      <c r="AE701" s="54"/>
      <c r="AF701" s="54"/>
      <c r="AG701" s="54"/>
      <c r="AH701" s="54"/>
      <c r="AI701" s="54"/>
      <c r="AJ701" s="54"/>
      <c r="AK701" s="54"/>
    </row>
    <row r="702" spans="1:37" x14ac:dyDescent="0.35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  <c r="AC702" s="54"/>
      <c r="AD702" s="54"/>
      <c r="AE702" s="54"/>
      <c r="AF702" s="54"/>
      <c r="AG702" s="54"/>
      <c r="AH702" s="54"/>
      <c r="AI702" s="54"/>
      <c r="AJ702" s="54"/>
      <c r="AK702" s="54"/>
    </row>
    <row r="703" spans="1:37" x14ac:dyDescent="0.35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  <c r="AC703" s="54"/>
      <c r="AD703" s="54"/>
      <c r="AE703" s="54"/>
      <c r="AF703" s="54"/>
      <c r="AG703" s="54"/>
      <c r="AH703" s="54"/>
      <c r="AI703" s="54"/>
      <c r="AJ703" s="54"/>
      <c r="AK703" s="54"/>
    </row>
    <row r="704" spans="1:37" x14ac:dyDescent="0.35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  <c r="AB704" s="54"/>
      <c r="AC704" s="54"/>
      <c r="AD704" s="54"/>
      <c r="AE704" s="54"/>
      <c r="AF704" s="54"/>
      <c r="AG704" s="54"/>
      <c r="AH704" s="54"/>
      <c r="AI704" s="54"/>
      <c r="AJ704" s="54"/>
      <c r="AK704" s="54"/>
    </row>
    <row r="705" spans="1:37" x14ac:dyDescent="0.35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  <c r="AB705" s="54"/>
      <c r="AC705" s="54"/>
      <c r="AD705" s="54"/>
      <c r="AE705" s="54"/>
      <c r="AF705" s="54"/>
      <c r="AG705" s="54"/>
      <c r="AH705" s="54"/>
      <c r="AI705" s="54"/>
      <c r="AJ705" s="54"/>
      <c r="AK705" s="54"/>
    </row>
    <row r="706" spans="1:37" x14ac:dyDescent="0.35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  <c r="AB706" s="54"/>
      <c r="AC706" s="54"/>
      <c r="AD706" s="54"/>
      <c r="AE706" s="54"/>
      <c r="AF706" s="54"/>
      <c r="AG706" s="54"/>
      <c r="AH706" s="54"/>
      <c r="AI706" s="54"/>
      <c r="AJ706" s="54"/>
      <c r="AK706" s="54"/>
    </row>
    <row r="707" spans="1:37" x14ac:dyDescent="0.35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  <c r="AB707" s="54"/>
      <c r="AC707" s="54"/>
      <c r="AD707" s="54"/>
      <c r="AE707" s="54"/>
      <c r="AF707" s="54"/>
      <c r="AG707" s="54"/>
      <c r="AH707" s="54"/>
      <c r="AI707" s="54"/>
      <c r="AJ707" s="54"/>
      <c r="AK707" s="54"/>
    </row>
    <row r="708" spans="1:37" x14ac:dyDescent="0.35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  <c r="AB708" s="54"/>
      <c r="AC708" s="54"/>
      <c r="AD708" s="54"/>
      <c r="AE708" s="54"/>
      <c r="AF708" s="54"/>
      <c r="AG708" s="54"/>
      <c r="AH708" s="54"/>
      <c r="AI708" s="54"/>
      <c r="AJ708" s="54"/>
      <c r="AK708" s="54"/>
    </row>
    <row r="709" spans="1:37" x14ac:dyDescent="0.35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  <c r="AB709" s="54"/>
      <c r="AC709" s="54"/>
      <c r="AD709" s="54"/>
      <c r="AE709" s="54"/>
      <c r="AF709" s="54"/>
      <c r="AG709" s="54"/>
      <c r="AH709" s="54"/>
      <c r="AI709" s="54"/>
      <c r="AJ709" s="54"/>
      <c r="AK709" s="54"/>
    </row>
    <row r="710" spans="1:37" x14ac:dyDescent="0.35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  <c r="AB710" s="54"/>
      <c r="AC710" s="54"/>
      <c r="AD710" s="54"/>
      <c r="AE710" s="54"/>
      <c r="AF710" s="54"/>
      <c r="AG710" s="54"/>
      <c r="AH710" s="54"/>
      <c r="AI710" s="54"/>
      <c r="AJ710" s="54"/>
      <c r="AK710" s="54"/>
    </row>
    <row r="711" spans="1:37" x14ac:dyDescent="0.35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  <c r="AB711" s="54"/>
      <c r="AC711" s="54"/>
      <c r="AD711" s="54"/>
      <c r="AE711" s="54"/>
      <c r="AF711" s="54"/>
      <c r="AG711" s="54"/>
      <c r="AH711" s="54"/>
      <c r="AI711" s="54"/>
      <c r="AJ711" s="54"/>
      <c r="AK711" s="54"/>
    </row>
    <row r="712" spans="1:37" x14ac:dyDescent="0.35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  <c r="AB712" s="54"/>
      <c r="AC712" s="54"/>
      <c r="AD712" s="54"/>
      <c r="AE712" s="54"/>
      <c r="AF712" s="54"/>
      <c r="AG712" s="54"/>
      <c r="AH712" s="54"/>
      <c r="AI712" s="54"/>
      <c r="AJ712" s="54"/>
      <c r="AK712" s="54"/>
    </row>
    <row r="713" spans="1:37" x14ac:dyDescent="0.35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  <c r="AB713" s="54"/>
      <c r="AC713" s="54"/>
      <c r="AD713" s="54"/>
      <c r="AE713" s="54"/>
      <c r="AF713" s="54"/>
      <c r="AG713" s="54"/>
      <c r="AH713" s="54"/>
      <c r="AI713" s="54"/>
      <c r="AJ713" s="54"/>
      <c r="AK713" s="54"/>
    </row>
    <row r="714" spans="1:37" x14ac:dyDescent="0.35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  <c r="AB714" s="54"/>
      <c r="AC714" s="54"/>
      <c r="AD714" s="54"/>
      <c r="AE714" s="54"/>
      <c r="AF714" s="54"/>
      <c r="AG714" s="54"/>
      <c r="AH714" s="54"/>
      <c r="AI714" s="54"/>
      <c r="AJ714" s="54"/>
      <c r="AK714" s="54"/>
    </row>
    <row r="715" spans="1:37" x14ac:dyDescent="0.35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  <c r="AB715" s="54"/>
      <c r="AC715" s="54"/>
      <c r="AD715" s="54"/>
      <c r="AE715" s="54"/>
      <c r="AF715" s="54"/>
      <c r="AG715" s="54"/>
      <c r="AH715" s="54"/>
      <c r="AI715" s="54"/>
      <c r="AJ715" s="54"/>
      <c r="AK715" s="54"/>
    </row>
    <row r="716" spans="1:37" x14ac:dyDescent="0.35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  <c r="AB716" s="54"/>
      <c r="AC716" s="54"/>
      <c r="AD716" s="54"/>
      <c r="AE716" s="54"/>
      <c r="AF716" s="54"/>
      <c r="AG716" s="54"/>
      <c r="AH716" s="54"/>
      <c r="AI716" s="54"/>
      <c r="AJ716" s="54"/>
      <c r="AK716" s="54"/>
    </row>
    <row r="717" spans="1:37" x14ac:dyDescent="0.35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  <c r="AB717" s="54"/>
      <c r="AC717" s="54"/>
      <c r="AD717" s="54"/>
      <c r="AE717" s="54"/>
      <c r="AF717" s="54"/>
      <c r="AG717" s="54"/>
      <c r="AH717" s="54"/>
      <c r="AI717" s="54"/>
      <c r="AJ717" s="54"/>
      <c r="AK717" s="54"/>
    </row>
    <row r="718" spans="1:37" x14ac:dyDescent="0.35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  <c r="AB718" s="54"/>
      <c r="AC718" s="54"/>
      <c r="AD718" s="54"/>
      <c r="AE718" s="54"/>
      <c r="AF718" s="54"/>
      <c r="AG718" s="54"/>
      <c r="AH718" s="54"/>
      <c r="AI718" s="54"/>
      <c r="AJ718" s="54"/>
      <c r="AK718" s="54"/>
    </row>
    <row r="719" spans="1:37" x14ac:dyDescent="0.35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  <c r="AB719" s="54"/>
      <c r="AC719" s="54"/>
      <c r="AD719" s="54"/>
      <c r="AE719" s="54"/>
      <c r="AF719" s="54"/>
      <c r="AG719" s="54"/>
      <c r="AH719" s="54"/>
      <c r="AI719" s="54"/>
      <c r="AJ719" s="54"/>
      <c r="AK719" s="54"/>
    </row>
    <row r="720" spans="1:37" x14ac:dyDescent="0.35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  <c r="AB720" s="54"/>
      <c r="AC720" s="54"/>
      <c r="AD720" s="54"/>
      <c r="AE720" s="54"/>
      <c r="AF720" s="54"/>
      <c r="AG720" s="54"/>
      <c r="AH720" s="54"/>
      <c r="AI720" s="54"/>
      <c r="AJ720" s="54"/>
      <c r="AK720" s="54"/>
    </row>
    <row r="1201" hidden="1" x14ac:dyDescent="0.35"/>
    <row r="1202" hidden="1" x14ac:dyDescent="0.35"/>
    <row r="1203" hidden="1" x14ac:dyDescent="0.35"/>
    <row r="1204" hidden="1" x14ac:dyDescent="0.35"/>
    <row r="1205" hidden="1" x14ac:dyDescent="0.35"/>
    <row r="1206" hidden="1" x14ac:dyDescent="0.35"/>
    <row r="1207" hidden="1" x14ac:dyDescent="0.35"/>
    <row r="1208" hidden="1" x14ac:dyDescent="0.35"/>
    <row r="1209" hidden="1" x14ac:dyDescent="0.35"/>
    <row r="1210" hidden="1" x14ac:dyDescent="0.35"/>
    <row r="1211" hidden="1" x14ac:dyDescent="0.35"/>
    <row r="1212" hidden="1" x14ac:dyDescent="0.35"/>
    <row r="1213" hidden="1" x14ac:dyDescent="0.35"/>
    <row r="1214" hidden="1" x14ac:dyDescent="0.35"/>
    <row r="1215" hidden="1" x14ac:dyDescent="0.35"/>
    <row r="1216" hidden="1" x14ac:dyDescent="0.35"/>
    <row r="1217" hidden="1" x14ac:dyDescent="0.35"/>
    <row r="1218" hidden="1" x14ac:dyDescent="0.35"/>
    <row r="1219" hidden="1" x14ac:dyDescent="0.35"/>
    <row r="1220" hidden="1" x14ac:dyDescent="0.35"/>
    <row r="1221" hidden="1" x14ac:dyDescent="0.35"/>
    <row r="1222" hidden="1" x14ac:dyDescent="0.35"/>
    <row r="1223" hidden="1" x14ac:dyDescent="0.35"/>
    <row r="1224" hidden="1" x14ac:dyDescent="0.35"/>
    <row r="1225" hidden="1" x14ac:dyDescent="0.35"/>
    <row r="1226" hidden="1" x14ac:dyDescent="0.35"/>
    <row r="1227" hidden="1" x14ac:dyDescent="0.35"/>
    <row r="1228" hidden="1" x14ac:dyDescent="0.35"/>
    <row r="1229" hidden="1" x14ac:dyDescent="0.35"/>
    <row r="1230" hidden="1" x14ac:dyDescent="0.35"/>
    <row r="1231" hidden="1" x14ac:dyDescent="0.35"/>
    <row r="1232" hidden="1" x14ac:dyDescent="0.35"/>
    <row r="1233" hidden="1" x14ac:dyDescent="0.35"/>
    <row r="1234" hidden="1" x14ac:dyDescent="0.35"/>
    <row r="1235" hidden="1" x14ac:dyDescent="0.35"/>
    <row r="1236" hidden="1" x14ac:dyDescent="0.35"/>
    <row r="1237" hidden="1" x14ac:dyDescent="0.35"/>
    <row r="1238" hidden="1" x14ac:dyDescent="0.35"/>
    <row r="1239" hidden="1" x14ac:dyDescent="0.35"/>
    <row r="1240" hidden="1" x14ac:dyDescent="0.35"/>
    <row r="1241" hidden="1" x14ac:dyDescent="0.35"/>
    <row r="1242" hidden="1" x14ac:dyDescent="0.35"/>
    <row r="1243" hidden="1" x14ac:dyDescent="0.35"/>
    <row r="1244" hidden="1" x14ac:dyDescent="0.35"/>
    <row r="1245" hidden="1" x14ac:dyDescent="0.35"/>
    <row r="1246" hidden="1" x14ac:dyDescent="0.35"/>
    <row r="1247" hidden="1" x14ac:dyDescent="0.35"/>
    <row r="1248" hidden="1" x14ac:dyDescent="0.35"/>
    <row r="1249" hidden="1" x14ac:dyDescent="0.35"/>
    <row r="1250" hidden="1" x14ac:dyDescent="0.35"/>
    <row r="1251" hidden="1" x14ac:dyDescent="0.35"/>
  </sheetData>
  <mergeCells count="1">
    <mergeCell ref="F33:X41"/>
  </mergeCells>
  <phoneticPr fontId="26" type="noConversion"/>
  <dataValidations count="3">
    <dataValidation type="list" allowBlank="1" showInputMessage="1" showErrorMessage="1" errorTitle="Registrant Name" error="You have entered your Registrant Name incorrectly" sqref="E11" xr:uid="{0E75F65C-4DF6-4F0C-A2E0-4A7545A4B875}">
      <formula1>$A$80:$A$300</formula1>
    </dataValidation>
    <dataValidation type="list" allowBlank="1" showInputMessage="1" showErrorMessage="1" errorTitle="Mitigated Units" error="NYC mitigated units must enter Y._x000a_All other units must enter N." sqref="C17:C24" xr:uid="{3A9CB3A5-2C6E-4407-8754-13FBB4BDCD9A}">
      <formula1>$B$80:$B$81</formula1>
    </dataValidation>
    <dataValidation type="list" allowBlank="1" showInputMessage="1" showErrorMessage="1" errorTitle="PTID Number" error="Please enter the PTID number provided in the list." sqref="D17:D24" xr:uid="{C525ECF1-CF81-435A-9E15-22BB1FF936E5}">
      <formula1>$C$80:$C$700</formula1>
    </dataValidation>
  </dataValidations>
  <pageMargins left="0.75" right="0.75" top="1" bottom="1" header="0.5" footer="0.5"/>
  <pageSetup scale="65" orientation="landscape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147" r:id="rId4" name="CommandButton3">
          <controlPr autoLine="0" r:id="rId5">
            <anchor moveWithCells="1">
              <from>
                <xdr:col>12</xdr:col>
                <xdr:colOff>438150</xdr:colOff>
                <xdr:row>9</xdr:row>
                <xdr:rowOff>147638</xdr:rowOff>
              </from>
              <to>
                <xdr:col>23</xdr:col>
                <xdr:colOff>228600</xdr:colOff>
                <xdr:row>11</xdr:row>
                <xdr:rowOff>109538</xdr:rowOff>
              </to>
            </anchor>
          </controlPr>
        </control>
      </mc:Choice>
      <mc:Fallback>
        <control shapeId="6147" r:id="rId4" name="CommandButton3"/>
      </mc:Fallback>
    </mc:AlternateContent>
    <mc:AlternateContent xmlns:mc="http://schemas.openxmlformats.org/markup-compatibility/2006">
      <mc:Choice Requires="x14">
        <control shapeId="6146" r:id="rId6" name="CommandButton2">
          <controlPr defaultSize="0" autoLine="0" r:id="rId7">
            <anchor moveWithCells="1">
              <from>
                <xdr:col>10</xdr:col>
                <xdr:colOff>481013</xdr:colOff>
                <xdr:row>9</xdr:row>
                <xdr:rowOff>109538</xdr:rowOff>
              </from>
              <to>
                <xdr:col>12</xdr:col>
                <xdr:colOff>166688</xdr:colOff>
                <xdr:row>12</xdr:row>
                <xdr:rowOff>57150</xdr:rowOff>
              </to>
            </anchor>
          </controlPr>
        </control>
      </mc:Choice>
      <mc:Fallback>
        <control shapeId="6146" r:id="rId6" name="CommandButton2"/>
      </mc:Fallback>
    </mc:AlternateContent>
    <mc:AlternateContent xmlns:mc="http://schemas.openxmlformats.org/markup-compatibility/2006">
      <mc:Choice Requires="x14">
        <control shapeId="6145" r:id="rId8" name="CommandButton1">
          <controlPr defaultSize="0" autoLine="0" r:id="rId9">
            <anchor moveWithCells="1">
              <from>
                <xdr:col>8</xdr:col>
                <xdr:colOff>438150</xdr:colOff>
                <xdr:row>9</xdr:row>
                <xdr:rowOff>109538</xdr:rowOff>
              </from>
              <to>
                <xdr:col>10</xdr:col>
                <xdr:colOff>190500</xdr:colOff>
                <xdr:row>12</xdr:row>
                <xdr:rowOff>57150</xdr:rowOff>
              </to>
            </anchor>
          </controlPr>
        </control>
      </mc:Choice>
      <mc:Fallback>
        <control shapeId="6145" r:id="rId8" name="CommandButton1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B9E23-9FF1-46AD-B7C6-64B2044E2F0A}">
  <sheetPr codeName="Sheet7">
    <pageSetUpPr fitToPage="1"/>
  </sheetPr>
  <dimension ref="A1:AB1251"/>
  <sheetViews>
    <sheetView showGridLines="0" showOutlineSymbols="0" topLeftCell="A3" zoomScale="75" workbookViewId="0">
      <selection activeCell="C73" sqref="C73"/>
    </sheetView>
  </sheetViews>
  <sheetFormatPr defaultRowHeight="12.75" x14ac:dyDescent="0.35"/>
  <cols>
    <col min="1" max="1" width="6.3984375" bestFit="1" customWidth="1"/>
    <col min="2" max="2" width="27.1328125" bestFit="1" customWidth="1"/>
    <col min="3" max="3" width="10.86328125" bestFit="1" customWidth="1"/>
    <col min="4" max="4" width="20.86328125" bestFit="1" customWidth="1"/>
    <col min="5" max="5" width="17.1328125" bestFit="1" customWidth="1"/>
    <col min="6" max="6" width="20.1328125" bestFit="1" customWidth="1"/>
    <col min="7" max="7" width="15" bestFit="1" customWidth="1"/>
    <col min="8" max="13" width="7.73046875" customWidth="1"/>
    <col min="14" max="14" width="7.86328125" customWidth="1"/>
    <col min="15" max="18" width="7.73046875" hidden="1" customWidth="1"/>
    <col min="19" max="19" width="6" hidden="1" customWidth="1"/>
    <col min="20" max="20" width="6.265625" hidden="1" customWidth="1"/>
    <col min="21" max="21" width="6.73046875" hidden="1" customWidth="1"/>
    <col min="22" max="23" width="9.1328125" hidden="1" customWidth="1"/>
    <col min="25" max="36" width="0" hidden="1" customWidth="1"/>
  </cols>
  <sheetData>
    <row r="1" spans="1:28" hidden="1" x14ac:dyDescent="0.35"/>
    <row r="2" spans="1:28" hidden="1" x14ac:dyDescent="0.35"/>
    <row r="3" spans="1:28" ht="19.899999999999999" x14ac:dyDescent="0.5">
      <c r="A3" s="140"/>
      <c r="B3" s="141"/>
      <c r="C3" s="141"/>
      <c r="D3" s="142" t="s">
        <v>37</v>
      </c>
      <c r="E3" s="143"/>
      <c r="F3" s="143"/>
      <c r="G3" s="143"/>
      <c r="H3" s="143"/>
      <c r="I3" s="144" t="s">
        <v>9</v>
      </c>
      <c r="J3" s="143"/>
      <c r="K3" s="143"/>
      <c r="L3" s="143"/>
      <c r="M3" s="143"/>
      <c r="N3" s="145"/>
      <c r="O3" s="145"/>
      <c r="P3" s="145"/>
      <c r="Q3" s="145"/>
      <c r="R3" s="145"/>
      <c r="S3" s="146"/>
      <c r="T3" s="146"/>
      <c r="U3" s="146"/>
      <c r="V3" s="146"/>
      <c r="W3" s="146"/>
      <c r="X3" s="147"/>
    </row>
    <row r="4" spans="1:28" ht="15" x14ac:dyDescent="0.4">
      <c r="A4" s="148"/>
      <c r="B4" s="149"/>
      <c r="C4" s="149"/>
      <c r="D4" s="150" t="s">
        <v>38</v>
      </c>
      <c r="E4" s="26"/>
      <c r="F4" s="26"/>
      <c r="G4" s="26"/>
      <c r="H4" s="151"/>
      <c r="I4" s="104" t="s">
        <v>288</v>
      </c>
      <c r="J4" s="26"/>
      <c r="K4" s="26"/>
      <c r="L4" s="26"/>
      <c r="M4" s="26"/>
      <c r="N4" s="26"/>
      <c r="O4" s="26"/>
      <c r="P4" s="26"/>
      <c r="Q4" s="26"/>
      <c r="R4" s="26"/>
      <c r="S4" s="9"/>
      <c r="T4" s="9"/>
      <c r="U4" s="9"/>
      <c r="V4" s="9"/>
      <c r="W4" s="9"/>
      <c r="X4" s="152"/>
    </row>
    <row r="5" spans="1:28" ht="13.15" x14ac:dyDescent="0.4">
      <c r="A5" s="153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9"/>
      <c r="T5" s="9"/>
      <c r="U5" s="9"/>
      <c r="V5" s="9"/>
      <c r="W5" s="9"/>
      <c r="X5" s="152"/>
    </row>
    <row r="6" spans="1:28" ht="15" x14ac:dyDescent="0.4">
      <c r="A6" s="153"/>
      <c r="B6" s="26"/>
      <c r="C6" s="26"/>
      <c r="D6" s="154"/>
      <c r="E6" s="154"/>
      <c r="F6" s="154"/>
      <c r="G6" s="154"/>
      <c r="H6" s="154"/>
      <c r="I6" s="154" t="s">
        <v>7</v>
      </c>
      <c r="J6" s="154"/>
      <c r="K6" s="154"/>
      <c r="L6" s="154"/>
      <c r="M6" s="154"/>
      <c r="N6" s="26"/>
      <c r="O6" s="26"/>
      <c r="P6" s="26"/>
      <c r="Q6" s="26"/>
      <c r="R6" s="26"/>
      <c r="S6" s="9"/>
      <c r="T6" s="9"/>
      <c r="U6" s="9"/>
      <c r="V6" s="9"/>
      <c r="W6" s="9"/>
      <c r="X6" s="152"/>
    </row>
    <row r="7" spans="1:28" ht="15" x14ac:dyDescent="0.4">
      <c r="A7" s="153"/>
      <c r="B7" s="26"/>
      <c r="C7" s="26"/>
      <c r="D7" s="154"/>
      <c r="E7" s="154"/>
      <c r="F7" s="154"/>
      <c r="G7" s="154"/>
      <c r="H7" s="86" t="s">
        <v>103</v>
      </c>
      <c r="I7" s="154"/>
      <c r="J7" s="154"/>
      <c r="K7" s="154"/>
      <c r="L7" s="154"/>
      <c r="M7" s="154"/>
      <c r="N7" s="26"/>
      <c r="O7" s="26"/>
      <c r="P7" s="26"/>
      <c r="Q7" s="26"/>
      <c r="R7" s="26"/>
      <c r="S7" s="9"/>
      <c r="T7" s="9"/>
      <c r="U7" s="9"/>
      <c r="V7" s="9"/>
      <c r="W7" s="9"/>
      <c r="X7" s="152"/>
    </row>
    <row r="8" spans="1:28" ht="13.15" x14ac:dyDescent="0.4">
      <c r="A8" s="153"/>
      <c r="B8" s="26"/>
      <c r="C8" s="26"/>
      <c r="D8" s="28" t="s">
        <v>27</v>
      </c>
      <c r="E8" s="21" t="s">
        <v>279</v>
      </c>
      <c r="F8" s="9"/>
      <c r="G8" s="21">
        <v>1</v>
      </c>
      <c r="H8" s="26"/>
      <c r="I8" s="26"/>
      <c r="J8" s="26"/>
      <c r="K8" s="28" t="s">
        <v>25</v>
      </c>
      <c r="L8" s="26"/>
      <c r="M8" s="87">
        <f>+'Jan OPP'!M8</f>
        <v>36526</v>
      </c>
      <c r="N8" s="22"/>
      <c r="O8" s="26"/>
      <c r="P8" s="26"/>
      <c r="Q8" s="26"/>
      <c r="R8" s="26"/>
      <c r="S8" s="9"/>
      <c r="T8" s="9"/>
      <c r="U8" s="9"/>
      <c r="V8" s="9"/>
      <c r="W8" s="9"/>
      <c r="X8" s="152"/>
    </row>
    <row r="9" spans="1:28" ht="13.15" x14ac:dyDescent="0.4">
      <c r="A9" s="153"/>
      <c r="B9" s="26"/>
      <c r="C9" s="26"/>
      <c r="D9" s="75"/>
      <c r="E9" s="28"/>
      <c r="F9" s="26"/>
      <c r="G9" s="24" t="s">
        <v>104</v>
      </c>
      <c r="H9" s="26"/>
      <c r="I9" s="26"/>
      <c r="J9" s="26"/>
      <c r="K9" s="28" t="s">
        <v>26</v>
      </c>
      <c r="L9" s="26"/>
      <c r="M9" s="90">
        <f>+'Jan OPP'!M9</f>
        <v>0.625</v>
      </c>
      <c r="N9" s="25"/>
      <c r="O9" s="26"/>
      <c r="P9" s="26"/>
      <c r="Q9" s="26"/>
      <c r="R9" s="26"/>
      <c r="S9" s="9"/>
      <c r="T9" s="9"/>
      <c r="U9" s="9"/>
      <c r="V9" s="9"/>
      <c r="W9" s="9"/>
      <c r="X9" s="152"/>
    </row>
    <row r="10" spans="1:28" ht="13.15" x14ac:dyDescent="0.4">
      <c r="A10" s="153"/>
      <c r="B10" s="26"/>
      <c r="C10" s="26"/>
      <c r="D10" s="75"/>
      <c r="E10" s="28"/>
      <c r="F10" s="26"/>
      <c r="G10" s="26"/>
      <c r="H10" s="26"/>
      <c r="I10" s="26"/>
      <c r="J10" s="28"/>
      <c r="K10" s="26"/>
      <c r="L10" s="26"/>
      <c r="M10" s="26"/>
      <c r="N10" s="26"/>
      <c r="O10" s="26"/>
      <c r="P10" s="26"/>
      <c r="Q10" s="26"/>
      <c r="R10" s="26"/>
      <c r="S10" s="9"/>
      <c r="T10" s="155"/>
      <c r="U10" s="155"/>
      <c r="V10" s="155"/>
      <c r="W10" s="9"/>
      <c r="X10" s="152"/>
    </row>
    <row r="11" spans="1:28" ht="13.15" x14ac:dyDescent="0.4">
      <c r="A11" s="153"/>
      <c r="B11" s="26"/>
      <c r="C11" s="26"/>
      <c r="D11" s="28" t="s">
        <v>20</v>
      </c>
      <c r="E11" s="27"/>
      <c r="F11" s="9"/>
      <c r="G11" s="28"/>
      <c r="H11" s="26"/>
      <c r="I11" s="26"/>
      <c r="J11" s="26"/>
      <c r="K11" s="28"/>
      <c r="L11" s="26"/>
      <c r="M11" s="28"/>
      <c r="N11" s="156"/>
      <c r="O11" s="156"/>
      <c r="P11" s="156"/>
      <c r="Q11" s="156"/>
      <c r="R11" s="156"/>
      <c r="S11" s="155"/>
      <c r="T11" s="9"/>
      <c r="U11" s="9"/>
      <c r="V11" s="9"/>
      <c r="W11" s="9"/>
      <c r="X11" s="152"/>
    </row>
    <row r="12" spans="1:28" ht="13.15" x14ac:dyDescent="0.4">
      <c r="A12" s="153"/>
      <c r="B12" s="26"/>
      <c r="C12" s="26"/>
      <c r="D12" s="26"/>
      <c r="E12" s="26"/>
      <c r="F12" s="26"/>
      <c r="G12" s="26"/>
      <c r="H12" s="26"/>
      <c r="I12" s="26"/>
      <c r="J12" s="28"/>
      <c r="K12" s="86"/>
      <c r="L12" s="26"/>
      <c r="M12" s="28"/>
      <c r="N12" s="26"/>
      <c r="O12" s="26"/>
      <c r="P12" s="26"/>
      <c r="Q12" s="26"/>
      <c r="R12" s="26"/>
      <c r="S12" s="9"/>
      <c r="T12" s="155"/>
      <c r="U12" s="9"/>
      <c r="V12" s="9"/>
      <c r="W12" s="9"/>
      <c r="X12" s="152"/>
    </row>
    <row r="13" spans="1:28" s="34" customFormat="1" ht="13.5" thickBot="1" x14ac:dyDescent="0.45">
      <c r="A13" s="153"/>
      <c r="B13" s="26"/>
      <c r="C13" s="26"/>
      <c r="D13" s="26"/>
      <c r="E13" s="104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9"/>
      <c r="T13" s="9"/>
      <c r="U13" s="9"/>
      <c r="V13" s="9"/>
      <c r="W13" s="9"/>
      <c r="X13" s="152"/>
      <c r="Y13"/>
      <c r="Z13"/>
      <c r="AA13"/>
      <c r="AB13"/>
    </row>
    <row r="14" spans="1:28" s="34" customFormat="1" ht="13.15" x14ac:dyDescent="0.4">
      <c r="A14" s="39"/>
      <c r="B14" s="41" t="s">
        <v>43</v>
      </c>
      <c r="C14" s="41"/>
      <c r="D14" s="40"/>
      <c r="E14" s="41"/>
      <c r="F14" s="41" t="s">
        <v>33</v>
      </c>
      <c r="G14" s="42" t="s">
        <v>31</v>
      </c>
      <c r="H14" s="52" t="s">
        <v>46</v>
      </c>
      <c r="I14" s="43"/>
      <c r="J14" s="44"/>
      <c r="K14" s="43"/>
      <c r="L14" s="43"/>
      <c r="M14" s="43"/>
      <c r="N14" s="45"/>
      <c r="O14" s="26"/>
      <c r="P14" s="26"/>
      <c r="Q14" s="26"/>
      <c r="R14" s="26"/>
      <c r="S14" s="9"/>
      <c r="T14" s="9"/>
      <c r="U14" s="9"/>
      <c r="V14" s="9"/>
      <c r="W14" s="9"/>
      <c r="X14" s="152"/>
      <c r="Y14"/>
      <c r="Z14"/>
      <c r="AA14"/>
      <c r="AB14"/>
    </row>
    <row r="15" spans="1:28" s="34" customFormat="1" ht="13.15" x14ac:dyDescent="0.4">
      <c r="A15" s="46" t="s">
        <v>39</v>
      </c>
      <c r="B15" s="30" t="s">
        <v>44</v>
      </c>
      <c r="C15" s="30" t="s">
        <v>2</v>
      </c>
      <c r="D15" s="30" t="s">
        <v>41</v>
      </c>
      <c r="E15" s="30" t="s">
        <v>40</v>
      </c>
      <c r="F15" s="36" t="s">
        <v>53</v>
      </c>
      <c r="G15" s="37" t="s">
        <v>35</v>
      </c>
      <c r="H15" s="29" t="s">
        <v>2</v>
      </c>
      <c r="I15" s="29" t="s">
        <v>3</v>
      </c>
      <c r="J15" s="29" t="s">
        <v>28</v>
      </c>
      <c r="K15" s="29" t="s">
        <v>4</v>
      </c>
      <c r="L15" s="29" t="s">
        <v>29</v>
      </c>
      <c r="M15" s="29" t="s">
        <v>5</v>
      </c>
      <c r="N15" s="47" t="s">
        <v>30</v>
      </c>
      <c r="O15" s="104"/>
      <c r="P15" s="104"/>
      <c r="Q15" s="104"/>
      <c r="R15" s="104"/>
      <c r="S15" s="9"/>
      <c r="T15" s="9"/>
      <c r="U15" s="9"/>
      <c r="V15" s="9"/>
      <c r="W15" s="9"/>
      <c r="X15" s="152"/>
      <c r="Y15"/>
      <c r="Z15"/>
      <c r="AA15"/>
      <c r="AB15"/>
    </row>
    <row r="16" spans="1:28" s="34" customFormat="1" ht="13.5" thickBot="1" x14ac:dyDescent="0.45">
      <c r="A16" s="48"/>
      <c r="B16" s="31"/>
      <c r="C16" s="32" t="s">
        <v>105</v>
      </c>
      <c r="D16" s="31"/>
      <c r="E16" s="31"/>
      <c r="F16" s="38" t="s">
        <v>48</v>
      </c>
      <c r="G16" s="51" t="s">
        <v>36</v>
      </c>
      <c r="H16" s="31"/>
      <c r="I16" s="31"/>
      <c r="J16" s="31"/>
      <c r="K16" s="31"/>
      <c r="L16" s="32"/>
      <c r="M16" s="32"/>
      <c r="N16" s="49"/>
      <c r="O16" s="104"/>
      <c r="P16" s="104"/>
      <c r="Q16" s="104"/>
      <c r="R16" s="104"/>
      <c r="S16" s="9"/>
      <c r="T16" s="9"/>
      <c r="U16" s="9"/>
      <c r="V16" s="9"/>
      <c r="W16" s="9"/>
      <c r="X16" s="152"/>
      <c r="Y16"/>
      <c r="Z16"/>
      <c r="AA16"/>
      <c r="AB16"/>
    </row>
    <row r="17" spans="1:28" s="34" customFormat="1" ht="13.15" x14ac:dyDescent="0.4">
      <c r="A17" s="158">
        <v>1</v>
      </c>
      <c r="B17" s="85" t="str">
        <f t="shared" ref="B17:B24" si="0">IF(D17=0," ",+$E$11)</f>
        <v xml:space="preserve"> </v>
      </c>
      <c r="C17" s="35" t="s">
        <v>106</v>
      </c>
      <c r="D17" s="78"/>
      <c r="E17" s="85" t="str">
        <f>IF(ISERROR(VLOOKUP(D17,$C$80:$D$700,2)),"",VLOOKUP(D17,$C$80:$D$700,2))</f>
        <v/>
      </c>
      <c r="F17" s="79"/>
      <c r="G17" s="79"/>
      <c r="H17" s="58">
        <v>0</v>
      </c>
      <c r="I17" s="58">
        <v>0</v>
      </c>
      <c r="J17" s="58">
        <v>0</v>
      </c>
      <c r="K17" s="58">
        <v>0</v>
      </c>
      <c r="L17" s="58">
        <v>0</v>
      </c>
      <c r="M17" s="58">
        <v>0</v>
      </c>
      <c r="N17" s="58">
        <v>0</v>
      </c>
      <c r="O17" s="53" t="str">
        <f>+$E$8</f>
        <v>February</v>
      </c>
      <c r="P17" s="53">
        <f>+$G$8</f>
        <v>1</v>
      </c>
      <c r="Q17" s="105">
        <f>+$M$8</f>
        <v>36526</v>
      </c>
      <c r="R17" s="107">
        <f>+$M$9</f>
        <v>0.625</v>
      </c>
      <c r="S17" s="175">
        <f t="shared" ref="S17:S24" si="1">IF(AND(OR(H17=0,H17=1),OR(I17=0,I17=1),OR(J17=0,J17=1),OR(K17=0,K17=1),OR(L17=0,L17=1),OR(N17=0,N17=1),OR(M17=0,M17=1)),0,1)</f>
        <v>0</v>
      </c>
      <c r="T17" s="175">
        <f t="shared" ref="T17:T24" si="2">IF(L17+N17&gt;0,1,0)</f>
        <v>0</v>
      </c>
      <c r="U17" s="54">
        <f t="shared" ref="U17:U24" si="3">IF(SUM(H17:N17)&gt;1,1,0)</f>
        <v>0</v>
      </c>
      <c r="V17" s="54">
        <f t="shared" ref="V17:V24" si="4">IF(AND(G17&gt;0,SUM(H17:N17)=0),1,0)</f>
        <v>0</v>
      </c>
      <c r="W17" s="175">
        <f t="shared" ref="W17:W24" si="5">IF(H17&gt;0,1,0)</f>
        <v>0</v>
      </c>
      <c r="X17" s="176"/>
    </row>
    <row r="18" spans="1:28" s="34" customFormat="1" ht="13.15" x14ac:dyDescent="0.4">
      <c r="A18" s="158">
        <f>COUNT($A$17:A17)+1</f>
        <v>2</v>
      </c>
      <c r="B18" s="85" t="str">
        <f t="shared" si="0"/>
        <v xml:space="preserve"> </v>
      </c>
      <c r="C18" s="35" t="s">
        <v>106</v>
      </c>
      <c r="D18" s="80"/>
      <c r="E18" s="85" t="str">
        <f t="shared" ref="E18:E24" si="6">IF(ISERROR(VLOOKUP(D18,$C$80:$D$700,2)),"",VLOOKUP(D18,$C$80:$D$700,2))</f>
        <v/>
      </c>
      <c r="F18" s="81"/>
      <c r="G18" s="81"/>
      <c r="H18" s="58">
        <v>0</v>
      </c>
      <c r="I18" s="58">
        <v>0</v>
      </c>
      <c r="J18" s="58">
        <v>0</v>
      </c>
      <c r="K18" s="58">
        <v>0</v>
      </c>
      <c r="L18" s="58">
        <v>0</v>
      </c>
      <c r="M18" s="58">
        <v>0</v>
      </c>
      <c r="N18" s="58">
        <v>0</v>
      </c>
      <c r="O18" s="53" t="str">
        <f t="shared" ref="O18:O24" si="7">+$E$8</f>
        <v>February</v>
      </c>
      <c r="P18" s="53">
        <f t="shared" ref="P18:P24" si="8">+$G$8</f>
        <v>1</v>
      </c>
      <c r="Q18" s="105">
        <f t="shared" ref="Q18:Q24" si="9">+$M$8</f>
        <v>36526</v>
      </c>
      <c r="R18" s="107">
        <f t="shared" ref="R18:R24" si="10">+$M$9</f>
        <v>0.625</v>
      </c>
      <c r="S18" s="175">
        <f t="shared" si="1"/>
        <v>0</v>
      </c>
      <c r="T18" s="175">
        <f t="shared" si="2"/>
        <v>0</v>
      </c>
      <c r="U18" s="54">
        <f t="shared" si="3"/>
        <v>0</v>
      </c>
      <c r="V18" s="54">
        <f t="shared" si="4"/>
        <v>0</v>
      </c>
      <c r="W18" s="175">
        <f t="shared" si="5"/>
        <v>0</v>
      </c>
      <c r="X18" s="176"/>
    </row>
    <row r="19" spans="1:28" s="34" customFormat="1" ht="13.15" x14ac:dyDescent="0.4">
      <c r="A19" s="158">
        <f>COUNT($A$17:A18)+1</f>
        <v>3</v>
      </c>
      <c r="B19" s="85" t="str">
        <f t="shared" si="0"/>
        <v xml:space="preserve"> </v>
      </c>
      <c r="C19" s="35" t="s">
        <v>106</v>
      </c>
      <c r="D19" s="80"/>
      <c r="E19" s="85" t="str">
        <f t="shared" si="6"/>
        <v/>
      </c>
      <c r="F19" s="81"/>
      <c r="G19" s="81"/>
      <c r="H19" s="58">
        <v>0</v>
      </c>
      <c r="I19" s="58">
        <v>0</v>
      </c>
      <c r="J19" s="58">
        <v>0</v>
      </c>
      <c r="K19" s="58">
        <v>0</v>
      </c>
      <c r="L19" s="58">
        <v>0</v>
      </c>
      <c r="M19" s="58">
        <v>0</v>
      </c>
      <c r="N19" s="58">
        <v>0</v>
      </c>
      <c r="O19" s="53" t="str">
        <f t="shared" si="7"/>
        <v>February</v>
      </c>
      <c r="P19" s="53">
        <f t="shared" si="8"/>
        <v>1</v>
      </c>
      <c r="Q19" s="105">
        <f t="shared" si="9"/>
        <v>36526</v>
      </c>
      <c r="R19" s="107">
        <f t="shared" si="10"/>
        <v>0.625</v>
      </c>
      <c r="S19" s="175">
        <f>IF(AND(OR(H19=0,H19=1),OR(I19=0,I19=1),OR(J19=0,J19=1),OR(K19=0,K19=1),OR(L19=0,L19=1),OR(N19=0,N19=1),OR(M19=0,M19=1)),0,1)</f>
        <v>0</v>
      </c>
      <c r="T19" s="175">
        <f>IF(L19+N19&gt;0,1,0)</f>
        <v>0</v>
      </c>
      <c r="U19" s="54">
        <f>IF(SUM(H19:N19)&gt;1,1,0)</f>
        <v>0</v>
      </c>
      <c r="V19" s="54">
        <f>IF(AND(G19&gt;0,SUM(H19:N19)=0),1,0)</f>
        <v>0</v>
      </c>
      <c r="W19" s="175">
        <f>IF(H19&gt;0,1,0)</f>
        <v>0</v>
      </c>
      <c r="X19" s="176"/>
    </row>
    <row r="20" spans="1:28" s="34" customFormat="1" ht="13.15" x14ac:dyDescent="0.4">
      <c r="A20" s="158">
        <f>COUNT($A$17:A19)+1</f>
        <v>4</v>
      </c>
      <c r="B20" s="85" t="str">
        <f t="shared" si="0"/>
        <v xml:space="preserve"> </v>
      </c>
      <c r="C20" s="35" t="s">
        <v>106</v>
      </c>
      <c r="D20" s="78"/>
      <c r="E20" s="85" t="str">
        <f t="shared" si="6"/>
        <v/>
      </c>
      <c r="F20" s="79"/>
      <c r="G20" s="79"/>
      <c r="H20" s="58">
        <v>0</v>
      </c>
      <c r="I20" s="58">
        <v>0</v>
      </c>
      <c r="J20" s="58">
        <v>0</v>
      </c>
      <c r="K20" s="58">
        <v>0</v>
      </c>
      <c r="L20" s="58">
        <v>0</v>
      </c>
      <c r="M20" s="58">
        <v>0</v>
      </c>
      <c r="N20" s="58">
        <v>0</v>
      </c>
      <c r="O20" s="53" t="str">
        <f t="shared" si="7"/>
        <v>February</v>
      </c>
      <c r="P20" s="53">
        <f t="shared" si="8"/>
        <v>1</v>
      </c>
      <c r="Q20" s="105">
        <f t="shared" si="9"/>
        <v>36526</v>
      </c>
      <c r="R20" s="107">
        <f t="shared" si="10"/>
        <v>0.625</v>
      </c>
      <c r="S20" s="160">
        <f t="shared" si="1"/>
        <v>0</v>
      </c>
      <c r="T20" s="160">
        <f t="shared" si="2"/>
        <v>0</v>
      </c>
      <c r="U20" s="9">
        <f t="shared" si="3"/>
        <v>0</v>
      </c>
      <c r="V20" s="9">
        <f t="shared" si="4"/>
        <v>0</v>
      </c>
      <c r="W20" s="160">
        <f t="shared" si="5"/>
        <v>0</v>
      </c>
      <c r="X20" s="152"/>
      <c r="Y20"/>
      <c r="Z20"/>
      <c r="AA20"/>
      <c r="AB20"/>
    </row>
    <row r="21" spans="1:28" s="34" customFormat="1" ht="13.15" x14ac:dyDescent="0.4">
      <c r="A21" s="158">
        <f>COUNT($A$17:A20)+1</f>
        <v>5</v>
      </c>
      <c r="B21" s="85" t="str">
        <f t="shared" si="0"/>
        <v xml:space="preserve"> </v>
      </c>
      <c r="C21" s="35" t="s">
        <v>106</v>
      </c>
      <c r="D21" s="78"/>
      <c r="E21" s="85" t="str">
        <f t="shared" si="6"/>
        <v/>
      </c>
      <c r="F21" s="79"/>
      <c r="G21" s="79"/>
      <c r="H21" s="58">
        <v>0</v>
      </c>
      <c r="I21" s="58">
        <v>0</v>
      </c>
      <c r="J21" s="58">
        <v>0</v>
      </c>
      <c r="K21" s="58">
        <v>0</v>
      </c>
      <c r="L21" s="58">
        <v>0</v>
      </c>
      <c r="M21" s="58">
        <v>0</v>
      </c>
      <c r="N21" s="58">
        <v>0</v>
      </c>
      <c r="O21" s="53" t="str">
        <f t="shared" si="7"/>
        <v>February</v>
      </c>
      <c r="P21" s="53">
        <f t="shared" si="8"/>
        <v>1</v>
      </c>
      <c r="Q21" s="105">
        <f t="shared" si="9"/>
        <v>36526</v>
      </c>
      <c r="R21" s="107">
        <f t="shared" si="10"/>
        <v>0.625</v>
      </c>
      <c r="S21" s="160">
        <f t="shared" si="1"/>
        <v>0</v>
      </c>
      <c r="T21" s="160">
        <f t="shared" si="2"/>
        <v>0</v>
      </c>
      <c r="U21" s="9">
        <f t="shared" si="3"/>
        <v>0</v>
      </c>
      <c r="V21" s="9">
        <f t="shared" si="4"/>
        <v>0</v>
      </c>
      <c r="W21" s="160">
        <f t="shared" si="5"/>
        <v>0</v>
      </c>
      <c r="X21" s="152"/>
      <c r="Y21"/>
      <c r="Z21"/>
      <c r="AA21"/>
      <c r="AB21"/>
    </row>
    <row r="22" spans="1:28" s="34" customFormat="1" ht="13.15" x14ac:dyDescent="0.4">
      <c r="A22" s="158">
        <f>COUNT($A$17:A21)+1</f>
        <v>6</v>
      </c>
      <c r="B22" s="85" t="str">
        <f t="shared" si="0"/>
        <v xml:space="preserve"> </v>
      </c>
      <c r="C22" s="35" t="s">
        <v>106</v>
      </c>
      <c r="D22" s="78"/>
      <c r="E22" s="85" t="str">
        <f t="shared" si="6"/>
        <v/>
      </c>
      <c r="F22" s="79"/>
      <c r="G22" s="79"/>
      <c r="H22" s="58">
        <v>0</v>
      </c>
      <c r="I22" s="58">
        <v>0</v>
      </c>
      <c r="J22" s="58">
        <v>0</v>
      </c>
      <c r="K22" s="58">
        <v>0</v>
      </c>
      <c r="L22" s="58">
        <v>0</v>
      </c>
      <c r="M22" s="58">
        <v>0</v>
      </c>
      <c r="N22" s="58">
        <v>0</v>
      </c>
      <c r="O22" s="53" t="str">
        <f t="shared" si="7"/>
        <v>February</v>
      </c>
      <c r="P22" s="53">
        <f t="shared" si="8"/>
        <v>1</v>
      </c>
      <c r="Q22" s="105">
        <f t="shared" si="9"/>
        <v>36526</v>
      </c>
      <c r="R22" s="107">
        <f t="shared" si="10"/>
        <v>0.625</v>
      </c>
      <c r="S22" s="160">
        <f t="shared" si="1"/>
        <v>0</v>
      </c>
      <c r="T22" s="160">
        <f t="shared" si="2"/>
        <v>0</v>
      </c>
      <c r="U22" s="9">
        <f t="shared" si="3"/>
        <v>0</v>
      </c>
      <c r="V22" s="9">
        <f t="shared" si="4"/>
        <v>0</v>
      </c>
      <c r="W22" s="160">
        <f t="shared" si="5"/>
        <v>0</v>
      </c>
      <c r="X22" s="152"/>
      <c r="Y22"/>
      <c r="Z22"/>
      <c r="AA22"/>
      <c r="AB22"/>
    </row>
    <row r="23" spans="1:28" s="34" customFormat="1" ht="13.15" x14ac:dyDescent="0.4">
      <c r="A23" s="158">
        <f>COUNT($A$17:A22)+1</f>
        <v>7</v>
      </c>
      <c r="B23" s="85" t="str">
        <f t="shared" si="0"/>
        <v xml:space="preserve"> </v>
      </c>
      <c r="C23" s="35" t="s">
        <v>106</v>
      </c>
      <c r="D23" s="78"/>
      <c r="E23" s="85" t="str">
        <f t="shared" si="6"/>
        <v/>
      </c>
      <c r="F23" s="79"/>
      <c r="G23" s="79"/>
      <c r="H23" s="58">
        <v>0</v>
      </c>
      <c r="I23" s="58">
        <v>0</v>
      </c>
      <c r="J23" s="58">
        <v>0</v>
      </c>
      <c r="K23" s="58">
        <v>0</v>
      </c>
      <c r="L23" s="58">
        <v>0</v>
      </c>
      <c r="M23" s="58">
        <v>0</v>
      </c>
      <c r="N23" s="58">
        <v>0</v>
      </c>
      <c r="O23" s="53" t="str">
        <f t="shared" si="7"/>
        <v>February</v>
      </c>
      <c r="P23" s="53">
        <f t="shared" si="8"/>
        <v>1</v>
      </c>
      <c r="Q23" s="105">
        <f t="shared" si="9"/>
        <v>36526</v>
      </c>
      <c r="R23" s="107">
        <f t="shared" si="10"/>
        <v>0.625</v>
      </c>
      <c r="S23" s="160">
        <f t="shared" si="1"/>
        <v>0</v>
      </c>
      <c r="T23" s="160">
        <f t="shared" si="2"/>
        <v>0</v>
      </c>
      <c r="U23" s="9">
        <f t="shared" si="3"/>
        <v>0</v>
      </c>
      <c r="V23" s="9">
        <f t="shared" si="4"/>
        <v>0</v>
      </c>
      <c r="W23" s="160">
        <f t="shared" si="5"/>
        <v>0</v>
      </c>
      <c r="X23" s="152"/>
      <c r="Y23"/>
      <c r="Z23"/>
      <c r="AA23"/>
      <c r="AB23"/>
    </row>
    <row r="24" spans="1:28" s="34" customFormat="1" ht="13.15" x14ac:dyDescent="0.4">
      <c r="A24" s="158">
        <f>COUNT($A$17:A23)+1</f>
        <v>8</v>
      </c>
      <c r="B24" s="85" t="str">
        <f t="shared" si="0"/>
        <v xml:space="preserve"> </v>
      </c>
      <c r="C24" s="103" t="s">
        <v>106</v>
      </c>
      <c r="D24" s="82"/>
      <c r="E24" s="85" t="str">
        <f t="shared" si="6"/>
        <v/>
      </c>
      <c r="F24" s="83"/>
      <c r="G24" s="83"/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53" t="str">
        <f t="shared" si="7"/>
        <v>February</v>
      </c>
      <c r="P24" s="53">
        <f t="shared" si="8"/>
        <v>1</v>
      </c>
      <c r="Q24" s="105">
        <f t="shared" si="9"/>
        <v>36526</v>
      </c>
      <c r="R24" s="107">
        <f t="shared" si="10"/>
        <v>0.625</v>
      </c>
      <c r="S24" s="159">
        <f t="shared" si="1"/>
        <v>0</v>
      </c>
      <c r="T24" s="159">
        <f t="shared" si="2"/>
        <v>0</v>
      </c>
      <c r="U24" s="60">
        <f t="shared" si="3"/>
        <v>0</v>
      </c>
      <c r="V24" s="60">
        <f t="shared" si="4"/>
        <v>0</v>
      </c>
      <c r="W24" s="159">
        <f t="shared" si="5"/>
        <v>0</v>
      </c>
      <c r="X24" s="152"/>
      <c r="Y24"/>
      <c r="Z24"/>
      <c r="AA24"/>
      <c r="AB24"/>
    </row>
    <row r="25" spans="1:28" ht="15.4" x14ac:dyDescent="0.4">
      <c r="A25" s="153"/>
      <c r="B25" s="26"/>
      <c r="C25" s="26"/>
      <c r="D25" s="26"/>
      <c r="E25" s="26"/>
      <c r="F25" s="26"/>
      <c r="G25" s="26"/>
      <c r="H25" s="161"/>
      <c r="I25" s="162" t="str">
        <f>IF(T25+S25+U25+V25&gt;0,"WARNING:","")</f>
        <v/>
      </c>
      <c r="J25" s="163" t="str">
        <f>IF(S25&gt;0,"Values above must be 1's or 0's",IF(T25&gt;0,"NE and Ontario are not participating. These must be 0's",IF(U25&gt;0,"Choose one location only",IF(V25&gt;0,"You must select a location",""))))</f>
        <v/>
      </c>
      <c r="K25" s="164"/>
      <c r="L25" s="164"/>
      <c r="M25" s="164"/>
      <c r="N25" s="165"/>
      <c r="O25" s="165"/>
      <c r="P25" s="165"/>
      <c r="Q25" s="165"/>
      <c r="R25" s="165"/>
      <c r="S25" s="9">
        <f>SUM(S17:S24)</f>
        <v>0</v>
      </c>
      <c r="T25" s="9">
        <f>SUM(T17:T24)</f>
        <v>0</v>
      </c>
      <c r="U25" s="9">
        <f>SUM(U17:U24)</f>
        <v>0</v>
      </c>
      <c r="V25" s="9">
        <f>SUM(V17:V24)</f>
        <v>0</v>
      </c>
      <c r="W25" s="9">
        <f>SUM(W17:W24)</f>
        <v>0</v>
      </c>
      <c r="X25" s="152"/>
    </row>
    <row r="26" spans="1:28" ht="13.15" x14ac:dyDescent="0.4">
      <c r="A26" s="166" t="s">
        <v>32</v>
      </c>
      <c r="B26" s="26"/>
      <c r="C26" s="26"/>
      <c r="D26" s="26"/>
      <c r="E26" s="26"/>
      <c r="F26" s="26"/>
      <c r="G26" s="9"/>
      <c r="H26" s="9"/>
      <c r="I26" s="26"/>
      <c r="J26" s="167"/>
      <c r="K26" s="167"/>
      <c r="L26" s="167"/>
      <c r="M26" s="167"/>
      <c r="N26" s="167"/>
      <c r="O26" s="167"/>
      <c r="P26" s="167"/>
      <c r="Q26" s="167"/>
      <c r="R26" s="167"/>
      <c r="S26" s="9"/>
      <c r="T26" s="9"/>
      <c r="U26" s="9"/>
      <c r="V26" s="9"/>
      <c r="W26" s="9"/>
      <c r="X26" s="152"/>
    </row>
    <row r="27" spans="1:28" ht="13.15" x14ac:dyDescent="0.4">
      <c r="A27" s="168" t="s">
        <v>45</v>
      </c>
      <c r="B27" s="26"/>
      <c r="C27" s="26"/>
      <c r="D27" s="26"/>
      <c r="E27" s="26"/>
      <c r="F27" s="26"/>
      <c r="G27" s="9"/>
      <c r="H27" s="9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9"/>
      <c r="T27" s="9"/>
      <c r="U27" s="9"/>
      <c r="V27" s="9"/>
      <c r="W27" s="9"/>
      <c r="X27" s="152"/>
    </row>
    <row r="28" spans="1:28" ht="13.15" x14ac:dyDescent="0.4">
      <c r="A28" s="169"/>
      <c r="B28" s="28" t="s">
        <v>73</v>
      </c>
      <c r="C28" s="28"/>
      <c r="D28" s="26"/>
      <c r="E28" s="26"/>
      <c r="F28" s="26"/>
      <c r="G28" s="9"/>
      <c r="H28" s="9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9"/>
      <c r="T28" s="9"/>
      <c r="U28" s="9"/>
      <c r="V28" s="9"/>
      <c r="W28" s="9"/>
      <c r="X28" s="152"/>
    </row>
    <row r="29" spans="1:28" ht="13.15" x14ac:dyDescent="0.4">
      <c r="A29" s="170"/>
      <c r="B29" s="171" t="s">
        <v>75</v>
      </c>
      <c r="C29" s="171"/>
      <c r="D29" s="172"/>
      <c r="E29" s="172"/>
      <c r="F29" s="172"/>
      <c r="G29" s="9"/>
      <c r="H29" s="9"/>
      <c r="I29" s="172"/>
      <c r="J29" s="172"/>
      <c r="K29" s="172"/>
      <c r="L29" s="172"/>
      <c r="M29" s="172"/>
      <c r="N29" s="172"/>
      <c r="O29" s="172"/>
      <c r="P29" s="172"/>
      <c r="Q29" s="172"/>
      <c r="R29" s="172"/>
      <c r="S29" s="54"/>
      <c r="T29" s="54"/>
      <c r="U29" s="54"/>
      <c r="V29" s="54"/>
      <c r="W29" s="54"/>
      <c r="X29" s="152"/>
    </row>
    <row r="30" spans="1:28" ht="13.15" hidden="1" x14ac:dyDescent="0.4">
      <c r="A30" s="153"/>
      <c r="B30" s="26"/>
      <c r="C30" s="26"/>
      <c r="D30" s="26" t="s">
        <v>15</v>
      </c>
      <c r="E30" s="26"/>
      <c r="F30" s="22"/>
      <c r="G30" s="22"/>
      <c r="H30" s="22"/>
      <c r="I30" s="22"/>
      <c r="J30" s="26"/>
      <c r="K30" s="26" t="s">
        <v>34</v>
      </c>
      <c r="L30" s="26"/>
      <c r="M30" s="22"/>
      <c r="N30" s="22"/>
      <c r="O30" s="26"/>
      <c r="P30" s="26"/>
      <c r="Q30" s="26"/>
      <c r="R30" s="26"/>
      <c r="S30" s="9"/>
      <c r="T30" s="9"/>
      <c r="U30" s="9"/>
      <c r="V30" s="9"/>
      <c r="W30" s="9"/>
      <c r="X30" s="152"/>
    </row>
    <row r="31" spans="1:28" ht="13.15" x14ac:dyDescent="0.4">
      <c r="A31" s="153"/>
      <c r="B31" s="26"/>
      <c r="C31" s="26"/>
      <c r="D31" s="26"/>
      <c r="E31" s="26"/>
      <c r="F31" s="26"/>
      <c r="G31" s="26"/>
      <c r="H31" s="26"/>
      <c r="I31" s="26"/>
      <c r="J31" s="26"/>
      <c r="K31" s="173"/>
      <c r="L31" s="26"/>
      <c r="M31" s="26"/>
      <c r="N31" s="26"/>
      <c r="O31" s="26"/>
      <c r="P31" s="26"/>
      <c r="Q31" s="26"/>
      <c r="R31" s="26"/>
      <c r="S31" s="9"/>
      <c r="T31" s="9"/>
      <c r="U31" s="9"/>
      <c r="V31" s="9"/>
      <c r="W31" s="9"/>
      <c r="X31" s="152"/>
    </row>
    <row r="32" spans="1:28" ht="13.5" thickBot="1" x14ac:dyDescent="0.45">
      <c r="A32" s="153"/>
      <c r="B32" s="26" t="s">
        <v>49</v>
      </c>
      <c r="C32" s="55" t="str">
        <f>+'Jan OPP'!C32</f>
        <v>Your Name Goes Here</v>
      </c>
      <c r="D32" s="55"/>
      <c r="E32" s="55"/>
      <c r="I32" s="26"/>
      <c r="J32" s="26" t="s">
        <v>34</v>
      </c>
      <c r="K32" s="26"/>
      <c r="L32" s="22" t="str">
        <f>+'Jan OPP'!L32</f>
        <v>Your Phone # Here</v>
      </c>
      <c r="M32" s="22"/>
      <c r="N32" s="22"/>
      <c r="O32" s="26"/>
      <c r="P32" s="26"/>
      <c r="Q32" s="26"/>
      <c r="R32" s="26"/>
      <c r="S32" s="9"/>
      <c r="T32" s="9"/>
      <c r="U32" s="9"/>
      <c r="V32" s="9"/>
      <c r="W32" s="9"/>
      <c r="X32" s="152"/>
    </row>
    <row r="33" spans="1:28" ht="13.15" x14ac:dyDescent="0.4">
      <c r="A33" s="153"/>
      <c r="B33" s="26"/>
      <c r="C33" s="26"/>
      <c r="D33" s="26"/>
      <c r="E33" s="26"/>
      <c r="F33" s="192" t="s">
        <v>786</v>
      </c>
      <c r="G33" s="192"/>
      <c r="H33" s="192"/>
      <c r="I33" s="192"/>
      <c r="J33" s="192"/>
      <c r="K33" s="192"/>
      <c r="L33" s="192"/>
      <c r="M33" s="192"/>
      <c r="N33" s="192"/>
      <c r="O33" s="192"/>
      <c r="P33" s="192"/>
      <c r="Q33" s="192"/>
      <c r="R33" s="192"/>
      <c r="S33" s="192"/>
      <c r="T33" s="192"/>
      <c r="U33" s="192"/>
      <c r="V33" s="192"/>
      <c r="W33" s="192"/>
      <c r="X33" s="193"/>
    </row>
    <row r="34" spans="1:28" ht="13.15" x14ac:dyDescent="0.4">
      <c r="A34" s="153"/>
      <c r="B34" s="26" t="s">
        <v>17</v>
      </c>
      <c r="C34" s="22" t="str">
        <f>+'Jan OPP'!C34</f>
        <v>Company</v>
      </c>
      <c r="D34" s="22"/>
      <c r="E34" s="22"/>
      <c r="F34" s="192"/>
      <c r="G34" s="192"/>
      <c r="H34" s="192"/>
      <c r="I34" s="192"/>
      <c r="J34" s="192"/>
      <c r="K34" s="192"/>
      <c r="L34" s="192"/>
      <c r="M34" s="192"/>
      <c r="N34" s="192"/>
      <c r="O34" s="192"/>
      <c r="P34" s="192"/>
      <c r="Q34" s="192"/>
      <c r="R34" s="192"/>
      <c r="S34" s="192"/>
      <c r="T34" s="192"/>
      <c r="U34" s="192"/>
      <c r="V34" s="192"/>
      <c r="W34" s="192"/>
      <c r="X34" s="193"/>
    </row>
    <row r="35" spans="1:28" ht="13.15" x14ac:dyDescent="0.4">
      <c r="A35" s="153"/>
      <c r="B35" s="26" t="s">
        <v>16</v>
      </c>
      <c r="C35" s="22" t="str">
        <f>+'Jan OPP'!C35</f>
        <v>Address 1</v>
      </c>
      <c r="D35" s="22"/>
      <c r="E35" s="2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3"/>
    </row>
    <row r="36" spans="1:28" ht="13.15" x14ac:dyDescent="0.4">
      <c r="A36" s="153"/>
      <c r="B36" s="26"/>
      <c r="C36" s="22" t="str">
        <f>+'Jan OPP'!C36</f>
        <v>Address 2</v>
      </c>
      <c r="D36" s="25"/>
      <c r="E36" s="25"/>
      <c r="F36" s="192"/>
      <c r="G36" s="192"/>
      <c r="H36" s="192"/>
      <c r="I36" s="192"/>
      <c r="J36" s="192"/>
      <c r="K36" s="192"/>
      <c r="L36" s="192"/>
      <c r="M36" s="192"/>
      <c r="N36" s="192"/>
      <c r="O36" s="192"/>
      <c r="P36" s="192"/>
      <c r="Q36" s="192"/>
      <c r="R36" s="192"/>
      <c r="S36" s="192"/>
      <c r="T36" s="192"/>
      <c r="U36" s="192"/>
      <c r="V36" s="192"/>
      <c r="W36" s="192"/>
      <c r="X36" s="193"/>
    </row>
    <row r="37" spans="1:28" ht="13.15" x14ac:dyDescent="0.4">
      <c r="A37" s="153"/>
      <c r="B37" s="26"/>
      <c r="C37" s="22" t="str">
        <f>+'Jan OPP'!C37</f>
        <v>Address 3</v>
      </c>
      <c r="D37" s="25"/>
      <c r="E37" s="25"/>
      <c r="F37" s="192"/>
      <c r="G37" s="192"/>
      <c r="H37" s="192"/>
      <c r="I37" s="192"/>
      <c r="J37" s="192"/>
      <c r="K37" s="192"/>
      <c r="L37" s="192"/>
      <c r="M37" s="192"/>
      <c r="N37" s="192"/>
      <c r="O37" s="192"/>
      <c r="P37" s="192"/>
      <c r="Q37" s="192"/>
      <c r="R37" s="192"/>
      <c r="S37" s="192"/>
      <c r="T37" s="192"/>
      <c r="U37" s="192"/>
      <c r="V37" s="192"/>
      <c r="W37" s="192"/>
      <c r="X37" s="193"/>
    </row>
    <row r="38" spans="1:28" ht="13.15" x14ac:dyDescent="0.4">
      <c r="A38" s="153"/>
      <c r="B38" s="26"/>
      <c r="C38" s="25" t="str">
        <f>+'Jan OPP'!C38</f>
        <v>City, State Zip</v>
      </c>
      <c r="D38" s="25"/>
      <c r="E38" s="25"/>
      <c r="F38" s="192"/>
      <c r="G38" s="192"/>
      <c r="H38" s="192"/>
      <c r="I38" s="192"/>
      <c r="J38" s="192"/>
      <c r="K38" s="192"/>
      <c r="L38" s="192"/>
      <c r="M38" s="192"/>
      <c r="N38" s="192"/>
      <c r="O38" s="192"/>
      <c r="P38" s="192"/>
      <c r="Q38" s="192"/>
      <c r="R38" s="192"/>
      <c r="S38" s="192"/>
      <c r="T38" s="192"/>
      <c r="U38" s="192"/>
      <c r="V38" s="192"/>
      <c r="W38" s="192"/>
      <c r="X38" s="193"/>
    </row>
    <row r="39" spans="1:28" ht="13.15" x14ac:dyDescent="0.4">
      <c r="A39" s="153"/>
      <c r="B39" s="26"/>
      <c r="C39" s="26"/>
      <c r="D39" s="26"/>
      <c r="E39" s="26"/>
      <c r="F39" s="192"/>
      <c r="G39" s="192"/>
      <c r="H39" s="192"/>
      <c r="I39" s="192"/>
      <c r="J39" s="192"/>
      <c r="K39" s="192"/>
      <c r="L39" s="192"/>
      <c r="M39" s="192"/>
      <c r="N39" s="192"/>
      <c r="O39" s="192"/>
      <c r="P39" s="192"/>
      <c r="Q39" s="192"/>
      <c r="R39" s="192"/>
      <c r="S39" s="192"/>
      <c r="T39" s="192"/>
      <c r="U39" s="192"/>
      <c r="V39" s="192"/>
      <c r="W39" s="192"/>
      <c r="X39" s="193"/>
    </row>
    <row r="40" spans="1:28" ht="13.15" x14ac:dyDescent="0.4">
      <c r="A40" s="153"/>
      <c r="B40" s="26" t="s">
        <v>19</v>
      </c>
      <c r="C40" s="22" t="str">
        <f>+'Jan OPP'!C40</f>
        <v>your @ address here</v>
      </c>
      <c r="D40" s="22"/>
      <c r="E40" s="22"/>
      <c r="F40" s="192"/>
      <c r="G40" s="192"/>
      <c r="H40" s="192"/>
      <c r="I40" s="192"/>
      <c r="J40" s="192"/>
      <c r="K40" s="192"/>
      <c r="L40" s="192"/>
      <c r="M40" s="192"/>
      <c r="N40" s="192"/>
      <c r="O40" s="192"/>
      <c r="P40" s="192"/>
      <c r="Q40" s="192"/>
      <c r="R40" s="192"/>
      <c r="S40" s="192"/>
      <c r="T40" s="192"/>
      <c r="U40" s="192"/>
      <c r="V40" s="192"/>
      <c r="W40" s="192"/>
      <c r="X40" s="193"/>
    </row>
    <row r="41" spans="1:28" ht="13.15" thickBot="1" x14ac:dyDescent="0.4">
      <c r="A41" s="174"/>
      <c r="B41" s="139"/>
      <c r="C41" s="139"/>
      <c r="D41" s="139"/>
      <c r="E41" s="139"/>
      <c r="F41" s="194"/>
      <c r="G41" s="194"/>
      <c r="H41" s="194"/>
      <c r="I41" s="194"/>
      <c r="J41" s="194"/>
      <c r="K41" s="194"/>
      <c r="L41" s="194"/>
      <c r="M41" s="194"/>
      <c r="N41" s="194"/>
      <c r="O41" s="194"/>
      <c r="P41" s="194"/>
      <c r="Q41" s="194"/>
      <c r="R41" s="194"/>
      <c r="S41" s="194"/>
      <c r="T41" s="194"/>
      <c r="U41" s="194"/>
      <c r="V41" s="194"/>
      <c r="W41" s="194"/>
      <c r="X41" s="195"/>
      <c r="Y41" s="9"/>
      <c r="Z41" s="9"/>
      <c r="AA41" s="9"/>
      <c r="AB41" s="9"/>
    </row>
    <row r="42" spans="1:28" x14ac:dyDescent="0.3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spans="1:28" x14ac:dyDescent="0.3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spans="1:28" x14ac:dyDescent="0.3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spans="1:28" x14ac:dyDescent="0.3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spans="1:28" x14ac:dyDescent="0.3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 spans="1:28" x14ac:dyDescent="0.3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 spans="1:28" x14ac:dyDescent="0.3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 spans="1:28" x14ac:dyDescent="0.3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 spans="1:28" x14ac:dyDescent="0.3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 spans="1:28" x14ac:dyDescent="0.3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 spans="1:28" x14ac:dyDescent="0.3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 spans="1:28" x14ac:dyDescent="0.3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 spans="1:28" x14ac:dyDescent="0.3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 spans="1:28" x14ac:dyDescent="0.3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 spans="1:28" x14ac:dyDescent="0.3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 spans="1:28" x14ac:dyDescent="0.3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 spans="1:28" x14ac:dyDescent="0.3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 spans="1:28" x14ac:dyDescent="0.3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 spans="1:28" x14ac:dyDescent="0.3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 spans="1:28" x14ac:dyDescent="0.3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 spans="1:28" x14ac:dyDescent="0.3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 spans="1:28" x14ac:dyDescent="0.3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 spans="1:28" x14ac:dyDescent="0.3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 spans="1:28" x14ac:dyDescent="0.3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 spans="1:28" x14ac:dyDescent="0.3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 spans="1:28" x14ac:dyDescent="0.3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 spans="1:28" x14ac:dyDescent="0.3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 spans="1:28" x14ac:dyDescent="0.3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 spans="1:28" x14ac:dyDescent="0.3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 spans="1:28" x14ac:dyDescent="0.3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 spans="1:28" x14ac:dyDescent="0.3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 spans="1:28" x14ac:dyDescent="0.3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 spans="1:28" x14ac:dyDescent="0.3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 spans="1:28" x14ac:dyDescent="0.3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 spans="1:28" x14ac:dyDescent="0.3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 spans="1:28" x14ac:dyDescent="0.3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 spans="1:28" ht="12" customHeight="1" x14ac:dyDescent="0.3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 spans="1:28" hidden="1" x14ac:dyDescent="0.35">
      <c r="A79" t="s">
        <v>108</v>
      </c>
      <c r="B79" s="9" t="s">
        <v>275</v>
      </c>
      <c r="C79" s="9" t="s">
        <v>289</v>
      </c>
      <c r="D79" s="9" t="s">
        <v>40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 spans="1:28" hidden="1" x14ac:dyDescent="0.35">
      <c r="A80" t="s">
        <v>109</v>
      </c>
      <c r="B80" s="9" t="s">
        <v>276</v>
      </c>
      <c r="C80" s="9">
        <v>1</v>
      </c>
      <c r="D80" s="9" t="s">
        <v>808</v>
      </c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 spans="1:28" hidden="1" x14ac:dyDescent="0.35">
      <c r="A81" t="s">
        <v>110</v>
      </c>
      <c r="B81" s="9" t="s">
        <v>106</v>
      </c>
      <c r="C81" s="9">
        <v>2</v>
      </c>
      <c r="D81" s="9" t="s">
        <v>196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 spans="1:28" hidden="1" x14ac:dyDescent="0.35">
      <c r="A82" t="s">
        <v>111</v>
      </c>
      <c r="B82" s="9"/>
      <c r="C82" s="9">
        <v>3</v>
      </c>
      <c r="D82" s="9" t="s">
        <v>184</v>
      </c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 spans="1:28" hidden="1" x14ac:dyDescent="0.35">
      <c r="A83" t="s">
        <v>112</v>
      </c>
      <c r="B83" s="9"/>
      <c r="C83" s="9">
        <v>4</v>
      </c>
      <c r="D83" s="9" t="s">
        <v>797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 spans="1:28" hidden="1" x14ac:dyDescent="0.35">
      <c r="A84" t="s">
        <v>113</v>
      </c>
      <c r="B84" s="9"/>
      <c r="C84" s="9">
        <v>5</v>
      </c>
      <c r="D84" s="9" t="s">
        <v>194</v>
      </c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 spans="1:28" hidden="1" x14ac:dyDescent="0.35">
      <c r="A85" t="s">
        <v>114</v>
      </c>
      <c r="B85" s="9"/>
      <c r="C85" s="9">
        <v>6</v>
      </c>
      <c r="D85" s="9" t="s">
        <v>182</v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 spans="1:28" hidden="1" x14ac:dyDescent="0.35">
      <c r="A86" t="s">
        <v>115</v>
      </c>
      <c r="B86" s="9"/>
      <c r="C86" s="9">
        <v>7</v>
      </c>
      <c r="D86" s="9" t="s">
        <v>795</v>
      </c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 spans="1:28" hidden="1" x14ac:dyDescent="0.35">
      <c r="A87" t="s">
        <v>116</v>
      </c>
      <c r="B87" s="9"/>
      <c r="C87" s="9">
        <v>8</v>
      </c>
      <c r="D87" s="9" t="s">
        <v>193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 spans="1:28" hidden="1" x14ac:dyDescent="0.35">
      <c r="A88" t="s">
        <v>117</v>
      </c>
      <c r="B88" s="9"/>
      <c r="C88" s="9">
        <v>9</v>
      </c>
      <c r="D88" s="9" t="s">
        <v>181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 spans="1:28" hidden="1" x14ac:dyDescent="0.35">
      <c r="A89" t="s">
        <v>118</v>
      </c>
      <c r="B89" s="9"/>
      <c r="C89" s="9">
        <v>10</v>
      </c>
      <c r="D89" s="9" t="s">
        <v>794</v>
      </c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 spans="1:28" hidden="1" x14ac:dyDescent="0.35">
      <c r="A90" t="s">
        <v>119</v>
      </c>
      <c r="B90" s="9"/>
      <c r="C90" s="9">
        <v>11</v>
      </c>
      <c r="D90" s="9" t="s">
        <v>189</v>
      </c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 spans="1:28" hidden="1" x14ac:dyDescent="0.35">
      <c r="A91" t="s">
        <v>120</v>
      </c>
      <c r="B91" s="9"/>
      <c r="C91" s="9">
        <v>12</v>
      </c>
      <c r="D91" s="9" t="s">
        <v>177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 spans="1:28" hidden="1" x14ac:dyDescent="0.35">
      <c r="A92" t="s">
        <v>121</v>
      </c>
      <c r="B92" s="9"/>
      <c r="C92" s="9">
        <v>13</v>
      </c>
      <c r="D92" s="9" t="s">
        <v>790</v>
      </c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 spans="1:28" hidden="1" x14ac:dyDescent="0.35">
      <c r="A93" t="s">
        <v>122</v>
      </c>
      <c r="B93" s="9"/>
      <c r="C93" s="9">
        <v>14</v>
      </c>
      <c r="D93" s="9" t="s">
        <v>199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 spans="1:28" hidden="1" x14ac:dyDescent="0.35">
      <c r="A94" t="s">
        <v>123</v>
      </c>
      <c r="B94" s="9"/>
      <c r="C94" s="9">
        <v>15</v>
      </c>
      <c r="D94" s="9" t="s">
        <v>187</v>
      </c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 spans="1:28" hidden="1" x14ac:dyDescent="0.35">
      <c r="A95" t="s">
        <v>124</v>
      </c>
      <c r="B95" s="9"/>
      <c r="C95" s="9">
        <v>16</v>
      </c>
      <c r="D95" s="9" t="s">
        <v>800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 spans="1:28" hidden="1" x14ac:dyDescent="0.35">
      <c r="A96" t="s">
        <v>125</v>
      </c>
      <c r="B96" s="9"/>
      <c r="C96" s="9">
        <v>17</v>
      </c>
      <c r="D96" s="9" t="s">
        <v>198</v>
      </c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 spans="1:28" hidden="1" x14ac:dyDescent="0.35">
      <c r="A97" t="s">
        <v>126</v>
      </c>
      <c r="B97" s="9"/>
      <c r="C97" s="9">
        <v>18</v>
      </c>
      <c r="D97" s="9" t="s">
        <v>186</v>
      </c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 spans="1:28" hidden="1" x14ac:dyDescent="0.35">
      <c r="A98" t="s">
        <v>127</v>
      </c>
      <c r="B98" s="9"/>
      <c r="C98" s="9">
        <v>19</v>
      </c>
      <c r="D98" s="9" t="s">
        <v>799</v>
      </c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 spans="1:28" hidden="1" x14ac:dyDescent="0.35">
      <c r="A99" t="s">
        <v>128</v>
      </c>
      <c r="B99" s="9"/>
      <c r="C99" s="9">
        <v>20</v>
      </c>
      <c r="D99" s="9" t="s">
        <v>809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 spans="1:28" hidden="1" x14ac:dyDescent="0.35">
      <c r="A100" t="s">
        <v>129</v>
      </c>
      <c r="B100" s="9"/>
      <c r="C100" s="9">
        <v>21</v>
      </c>
      <c r="D100" s="9" t="s">
        <v>197</v>
      </c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 spans="1:28" hidden="1" x14ac:dyDescent="0.35">
      <c r="A101" t="s">
        <v>130</v>
      </c>
      <c r="B101" s="9"/>
      <c r="C101" s="9">
        <v>22</v>
      </c>
      <c r="D101" s="9" t="s">
        <v>185</v>
      </c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 spans="1:28" hidden="1" x14ac:dyDescent="0.35">
      <c r="A102" t="s">
        <v>131</v>
      </c>
      <c r="B102" s="9"/>
      <c r="C102" s="9">
        <v>23</v>
      </c>
      <c r="D102" s="9" t="s">
        <v>798</v>
      </c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 spans="1:28" hidden="1" x14ac:dyDescent="0.35">
      <c r="A103" t="s">
        <v>132</v>
      </c>
      <c r="B103" s="9"/>
      <c r="C103" s="9">
        <v>24</v>
      </c>
      <c r="D103" s="9" t="s">
        <v>190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 spans="1:28" hidden="1" x14ac:dyDescent="0.35">
      <c r="A104" t="s">
        <v>133</v>
      </c>
      <c r="B104" s="9"/>
      <c r="C104" s="9">
        <v>25</v>
      </c>
      <c r="D104" s="9" t="s">
        <v>178</v>
      </c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 spans="1:28" hidden="1" x14ac:dyDescent="0.35">
      <c r="A105" t="s">
        <v>134</v>
      </c>
      <c r="B105" s="9"/>
      <c r="C105" s="9">
        <v>26</v>
      </c>
      <c r="D105" s="9" t="s">
        <v>791</v>
      </c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 spans="1:28" hidden="1" x14ac:dyDescent="0.35">
      <c r="A106" t="s">
        <v>135</v>
      </c>
      <c r="B106" s="9"/>
      <c r="C106" s="9">
        <v>27</v>
      </c>
      <c r="D106" s="9" t="s">
        <v>192</v>
      </c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 spans="1:28" hidden="1" x14ac:dyDescent="0.35">
      <c r="A107" t="s">
        <v>136</v>
      </c>
      <c r="B107" s="9"/>
      <c r="C107" s="9">
        <v>28</v>
      </c>
      <c r="D107" s="9" t="s">
        <v>180</v>
      </c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 spans="1:28" hidden="1" x14ac:dyDescent="0.35">
      <c r="A108" t="s">
        <v>137</v>
      </c>
      <c r="B108" s="9"/>
      <c r="C108" s="9">
        <v>29</v>
      </c>
      <c r="D108" s="9" t="s">
        <v>793</v>
      </c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 spans="1:28" hidden="1" x14ac:dyDescent="0.35">
      <c r="A109" t="s">
        <v>138</v>
      </c>
      <c r="B109" s="9"/>
      <c r="C109" s="9">
        <v>30</v>
      </c>
      <c r="D109" s="9" t="s">
        <v>191</v>
      </c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 spans="1:28" hidden="1" x14ac:dyDescent="0.35">
      <c r="A110" t="s">
        <v>139</v>
      </c>
      <c r="B110" s="9"/>
      <c r="C110" s="9">
        <v>31</v>
      </c>
      <c r="D110" s="9" t="s">
        <v>179</v>
      </c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 spans="1:28" hidden="1" x14ac:dyDescent="0.35">
      <c r="A111" t="s">
        <v>140</v>
      </c>
      <c r="B111" s="9"/>
      <c r="C111" s="9">
        <v>32</v>
      </c>
      <c r="D111" s="9" t="s">
        <v>792</v>
      </c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 spans="1:28" hidden="1" x14ac:dyDescent="0.35">
      <c r="A112" t="s">
        <v>141</v>
      </c>
      <c r="B112" s="9"/>
      <c r="C112" s="9">
        <v>33</v>
      </c>
      <c r="D112" s="9" t="s">
        <v>195</v>
      </c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 spans="1:28" hidden="1" x14ac:dyDescent="0.35">
      <c r="A113" t="s">
        <v>142</v>
      </c>
      <c r="B113" s="9"/>
      <c r="C113" s="9">
        <v>34</v>
      </c>
      <c r="D113" s="9" t="s">
        <v>183</v>
      </c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 spans="1:28" hidden="1" x14ac:dyDescent="0.35">
      <c r="A114" t="s">
        <v>143</v>
      </c>
      <c r="B114" s="9"/>
      <c r="C114" s="9">
        <v>35</v>
      </c>
      <c r="D114" s="9" t="s">
        <v>796</v>
      </c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 spans="1:28" hidden="1" x14ac:dyDescent="0.35">
      <c r="A115" t="s">
        <v>144</v>
      </c>
      <c r="B115" s="9"/>
      <c r="C115" s="9">
        <v>36</v>
      </c>
      <c r="D115" s="9" t="s">
        <v>188</v>
      </c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 spans="1:28" hidden="1" x14ac:dyDescent="0.35">
      <c r="A116" t="s">
        <v>145</v>
      </c>
      <c r="B116" s="9"/>
      <c r="C116" s="9">
        <v>37</v>
      </c>
      <c r="D116" s="9" t="s">
        <v>176</v>
      </c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 spans="1:28" hidden="1" x14ac:dyDescent="0.35">
      <c r="A117" t="s">
        <v>146</v>
      </c>
      <c r="B117" s="9"/>
      <c r="C117" s="9">
        <v>38</v>
      </c>
      <c r="D117" s="9" t="s">
        <v>789</v>
      </c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 spans="1:28" hidden="1" x14ac:dyDescent="0.35">
      <c r="A118" t="s">
        <v>147</v>
      </c>
      <c r="B118" s="9"/>
      <c r="C118" s="9">
        <v>101</v>
      </c>
      <c r="D118" s="9" t="s">
        <v>290</v>
      </c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 spans="1:28" hidden="1" x14ac:dyDescent="0.35">
      <c r="A119" t="s">
        <v>148</v>
      </c>
      <c r="B119" s="9"/>
      <c r="C119" s="9">
        <v>102</v>
      </c>
      <c r="D119" s="9" t="s">
        <v>291</v>
      </c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 spans="1:28" hidden="1" x14ac:dyDescent="0.35">
      <c r="A120" t="s">
        <v>149</v>
      </c>
      <c r="B120" s="9"/>
      <c r="C120" s="9">
        <v>103</v>
      </c>
      <c r="D120" s="9" t="s">
        <v>292</v>
      </c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 spans="1:28" hidden="1" x14ac:dyDescent="0.35">
      <c r="A121" t="s">
        <v>150</v>
      </c>
      <c r="B121" s="9"/>
      <c r="C121" s="9">
        <v>104</v>
      </c>
      <c r="D121" s="9" t="s">
        <v>293</v>
      </c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 spans="1:28" hidden="1" x14ac:dyDescent="0.35">
      <c r="A122" t="s">
        <v>151</v>
      </c>
      <c r="B122" s="9"/>
      <c r="C122" s="9">
        <v>105</v>
      </c>
      <c r="D122" s="9" t="s">
        <v>294</v>
      </c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 spans="1:28" hidden="1" x14ac:dyDescent="0.35">
      <c r="A123" t="s">
        <v>152</v>
      </c>
      <c r="B123" s="9"/>
      <c r="C123" s="9">
        <v>106</v>
      </c>
      <c r="D123" s="9" t="s">
        <v>295</v>
      </c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 spans="1:28" hidden="1" x14ac:dyDescent="0.35">
      <c r="A124" t="s">
        <v>153</v>
      </c>
      <c r="B124" s="9"/>
      <c r="C124" s="9">
        <v>107</v>
      </c>
      <c r="D124" s="9" t="s">
        <v>296</v>
      </c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 spans="1:28" hidden="1" x14ac:dyDescent="0.35">
      <c r="A125" t="s">
        <v>154</v>
      </c>
      <c r="B125" s="9"/>
      <c r="C125" s="9">
        <v>108</v>
      </c>
      <c r="D125" s="9" t="s">
        <v>297</v>
      </c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 spans="1:28" hidden="1" x14ac:dyDescent="0.35">
      <c r="A126" t="s">
        <v>155</v>
      </c>
      <c r="B126" s="9"/>
      <c r="C126" s="9">
        <v>109</v>
      </c>
      <c r="D126" s="9" t="s">
        <v>298</v>
      </c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 spans="1:28" hidden="1" x14ac:dyDescent="0.35">
      <c r="A127" t="s">
        <v>156</v>
      </c>
      <c r="B127" s="9"/>
      <c r="C127" s="9">
        <v>110</v>
      </c>
      <c r="D127" s="9" t="s">
        <v>299</v>
      </c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 spans="1:28" hidden="1" x14ac:dyDescent="0.35">
      <c r="A128" t="s">
        <v>157</v>
      </c>
      <c r="B128" s="9"/>
      <c r="C128" s="9">
        <v>111</v>
      </c>
      <c r="D128" s="9" t="s">
        <v>300</v>
      </c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 spans="1:28" hidden="1" x14ac:dyDescent="0.35">
      <c r="A129" t="s">
        <v>158</v>
      </c>
      <c r="B129" s="9"/>
      <c r="C129" s="9">
        <v>201</v>
      </c>
      <c r="D129" s="9" t="s">
        <v>301</v>
      </c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 spans="1:28" hidden="1" x14ac:dyDescent="0.35">
      <c r="A130" t="s">
        <v>159</v>
      </c>
      <c r="B130" s="9"/>
      <c r="C130" s="9">
        <v>202</v>
      </c>
      <c r="D130" s="9" t="s">
        <v>302</v>
      </c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 spans="1:28" hidden="1" x14ac:dyDescent="0.35">
      <c r="A131" t="s">
        <v>160</v>
      </c>
      <c r="B131" s="9"/>
      <c r="C131" s="9">
        <v>203</v>
      </c>
      <c r="D131" s="9" t="s">
        <v>303</v>
      </c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 spans="1:28" hidden="1" x14ac:dyDescent="0.35">
      <c r="A132" t="s">
        <v>161</v>
      </c>
      <c r="B132" s="9"/>
      <c r="C132" s="9">
        <v>204</v>
      </c>
      <c r="D132" s="9" t="s">
        <v>304</v>
      </c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 spans="1:28" hidden="1" x14ac:dyDescent="0.35">
      <c r="A133" t="s">
        <v>162</v>
      </c>
      <c r="B133" s="9"/>
      <c r="C133" s="9">
        <v>205</v>
      </c>
      <c r="D133" s="9" t="s">
        <v>305</v>
      </c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 spans="1:28" hidden="1" x14ac:dyDescent="0.35">
      <c r="A134" t="s">
        <v>163</v>
      </c>
      <c r="B134" s="9"/>
      <c r="C134" s="9">
        <v>206</v>
      </c>
      <c r="D134" s="9" t="s">
        <v>306</v>
      </c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 spans="1:28" hidden="1" x14ac:dyDescent="0.35">
      <c r="A135" t="s">
        <v>164</v>
      </c>
      <c r="B135" s="9"/>
      <c r="C135" s="9">
        <v>207</v>
      </c>
      <c r="D135" s="9" t="s">
        <v>307</v>
      </c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 spans="1:28" hidden="1" x14ac:dyDescent="0.35">
      <c r="A136" t="s">
        <v>165</v>
      </c>
      <c r="B136" s="9"/>
      <c r="C136" s="9">
        <v>208</v>
      </c>
      <c r="D136" s="9" t="s">
        <v>308</v>
      </c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 spans="1:28" hidden="1" x14ac:dyDescent="0.35">
      <c r="A137" t="s">
        <v>166</v>
      </c>
      <c r="B137" s="9"/>
      <c r="C137" s="9">
        <v>209</v>
      </c>
      <c r="D137" s="9" t="s">
        <v>309</v>
      </c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 spans="1:28" hidden="1" x14ac:dyDescent="0.35">
      <c r="A138" t="s">
        <v>167</v>
      </c>
      <c r="B138" s="9"/>
      <c r="C138" s="9">
        <v>210</v>
      </c>
      <c r="D138" s="9" t="s">
        <v>310</v>
      </c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 spans="1:28" hidden="1" x14ac:dyDescent="0.35">
      <c r="A139" t="s">
        <v>168</v>
      </c>
      <c r="B139" s="9"/>
      <c r="C139" s="9">
        <v>211</v>
      </c>
      <c r="D139" s="9" t="s">
        <v>311</v>
      </c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 spans="1:28" hidden="1" x14ac:dyDescent="0.35">
      <c r="A140" t="s">
        <v>169</v>
      </c>
      <c r="B140" s="9"/>
      <c r="C140" s="9">
        <v>212</v>
      </c>
      <c r="D140" s="9" t="s">
        <v>312</v>
      </c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 spans="1:28" hidden="1" x14ac:dyDescent="0.35">
      <c r="A141" t="s">
        <v>170</v>
      </c>
      <c r="B141" s="9"/>
      <c r="C141" s="9">
        <v>213</v>
      </c>
      <c r="D141" s="9" t="s">
        <v>313</v>
      </c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 spans="1:28" hidden="1" x14ac:dyDescent="0.35">
      <c r="A142" t="s">
        <v>171</v>
      </c>
      <c r="B142" s="9"/>
      <c r="C142" s="9">
        <v>214</v>
      </c>
      <c r="D142" s="9" t="s">
        <v>314</v>
      </c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 spans="1:28" hidden="1" x14ac:dyDescent="0.35">
      <c r="A143" t="s">
        <v>172</v>
      </c>
      <c r="B143" s="9"/>
      <c r="C143" s="9">
        <v>215</v>
      </c>
      <c r="D143" s="9" t="s">
        <v>315</v>
      </c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 spans="1:28" hidden="1" x14ac:dyDescent="0.35">
      <c r="A144" t="s">
        <v>173</v>
      </c>
      <c r="B144" s="9"/>
      <c r="C144" s="9">
        <v>216</v>
      </c>
      <c r="D144" s="9" t="s">
        <v>316</v>
      </c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 spans="1:28" hidden="1" x14ac:dyDescent="0.35">
      <c r="A145" t="s">
        <v>174</v>
      </c>
      <c r="B145" s="9"/>
      <c r="C145" s="9">
        <v>217</v>
      </c>
      <c r="D145" s="9" t="s">
        <v>317</v>
      </c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 spans="1:28" hidden="1" x14ac:dyDescent="0.35">
      <c r="A146" t="s">
        <v>175</v>
      </c>
      <c r="B146" s="9"/>
      <c r="C146" s="9">
        <v>218</v>
      </c>
      <c r="D146" s="9" t="s">
        <v>318</v>
      </c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 spans="1:28" hidden="1" x14ac:dyDescent="0.35">
      <c r="A147" t="s">
        <v>176</v>
      </c>
      <c r="B147" s="9"/>
      <c r="C147" s="9">
        <v>219</v>
      </c>
      <c r="D147" s="9" t="s">
        <v>319</v>
      </c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 spans="1:28" hidden="1" x14ac:dyDescent="0.35">
      <c r="A148" t="s">
        <v>177</v>
      </c>
      <c r="B148" s="9"/>
      <c r="C148" s="9">
        <v>220</v>
      </c>
      <c r="D148" s="9" t="s">
        <v>320</v>
      </c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 spans="1:28" hidden="1" x14ac:dyDescent="0.35">
      <c r="A149" t="s">
        <v>178</v>
      </c>
      <c r="B149" s="9"/>
      <c r="C149" s="9">
        <v>221</v>
      </c>
      <c r="D149" s="9" t="s">
        <v>321</v>
      </c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 spans="1:28" hidden="1" x14ac:dyDescent="0.35">
      <c r="A150" t="s">
        <v>179</v>
      </c>
      <c r="B150" s="9"/>
      <c r="C150" s="9">
        <v>222</v>
      </c>
      <c r="D150" s="9" t="s">
        <v>322</v>
      </c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 spans="1:28" hidden="1" x14ac:dyDescent="0.35">
      <c r="A151" t="s">
        <v>180</v>
      </c>
      <c r="B151" s="9"/>
      <c r="C151" s="9">
        <v>223</v>
      </c>
      <c r="D151" s="9" t="s">
        <v>323</v>
      </c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 spans="1:28" hidden="1" x14ac:dyDescent="0.35">
      <c r="A152" t="s">
        <v>181</v>
      </c>
      <c r="B152" s="9"/>
      <c r="C152" s="9">
        <v>224</v>
      </c>
      <c r="D152" s="9" t="s">
        <v>324</v>
      </c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 spans="1:28" hidden="1" x14ac:dyDescent="0.35">
      <c r="A153" t="s">
        <v>182</v>
      </c>
      <c r="B153" s="9"/>
      <c r="C153" s="9">
        <v>225</v>
      </c>
      <c r="D153" s="9" t="s">
        <v>325</v>
      </c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 spans="1:28" hidden="1" x14ac:dyDescent="0.35">
      <c r="A154" t="s">
        <v>183</v>
      </c>
      <c r="B154" s="9"/>
      <c r="C154" s="9">
        <v>226</v>
      </c>
      <c r="D154" s="9" t="s">
        <v>326</v>
      </c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 spans="1:28" hidden="1" x14ac:dyDescent="0.35">
      <c r="A155" t="s">
        <v>184</v>
      </c>
      <c r="B155" s="9"/>
      <c r="C155" s="9">
        <v>227</v>
      </c>
      <c r="D155" s="9" t="s">
        <v>327</v>
      </c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 spans="1:28" hidden="1" x14ac:dyDescent="0.35">
      <c r="A156" t="s">
        <v>185</v>
      </c>
      <c r="B156" s="9"/>
      <c r="C156" s="9">
        <v>228</v>
      </c>
      <c r="D156" s="9" t="s">
        <v>328</v>
      </c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 spans="1:28" hidden="1" x14ac:dyDescent="0.35">
      <c r="A157" t="s">
        <v>186</v>
      </c>
      <c r="B157" s="9"/>
      <c r="C157" s="9">
        <v>229</v>
      </c>
      <c r="D157" s="9" t="s">
        <v>329</v>
      </c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 spans="1:28" hidden="1" x14ac:dyDescent="0.35">
      <c r="A158" t="s">
        <v>187</v>
      </c>
      <c r="B158" s="9"/>
      <c r="C158" s="9">
        <v>230</v>
      </c>
      <c r="D158" s="9" t="s">
        <v>330</v>
      </c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 spans="1:28" hidden="1" x14ac:dyDescent="0.35">
      <c r="A159" t="s">
        <v>188</v>
      </c>
      <c r="B159" s="9"/>
      <c r="C159" s="9">
        <v>231</v>
      </c>
      <c r="D159" s="9" t="s">
        <v>331</v>
      </c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 spans="1:28" hidden="1" x14ac:dyDescent="0.35">
      <c r="A160" t="s">
        <v>189</v>
      </c>
      <c r="B160" s="9"/>
      <c r="C160" s="9">
        <v>232</v>
      </c>
      <c r="D160" s="9" t="s">
        <v>332</v>
      </c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 spans="1:28" hidden="1" x14ac:dyDescent="0.35">
      <c r="A161" t="s">
        <v>190</v>
      </c>
      <c r="B161" s="9"/>
      <c r="C161" s="9">
        <v>233</v>
      </c>
      <c r="D161" s="9" t="s">
        <v>333</v>
      </c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 spans="1:28" hidden="1" x14ac:dyDescent="0.35">
      <c r="A162" t="s">
        <v>191</v>
      </c>
      <c r="B162" s="9"/>
      <c r="C162" s="9">
        <v>234</v>
      </c>
      <c r="D162" s="9" t="s">
        <v>334</v>
      </c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 spans="1:28" hidden="1" x14ac:dyDescent="0.35">
      <c r="A163" t="s">
        <v>192</v>
      </c>
      <c r="B163" s="9"/>
      <c r="C163" s="9">
        <v>235</v>
      </c>
      <c r="D163" s="9" t="s">
        <v>335</v>
      </c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 spans="1:28" hidden="1" x14ac:dyDescent="0.35">
      <c r="A164" t="s">
        <v>193</v>
      </c>
      <c r="B164" s="9"/>
      <c r="C164" s="9">
        <v>236</v>
      </c>
      <c r="D164" s="9" t="s">
        <v>336</v>
      </c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 spans="1:28" hidden="1" x14ac:dyDescent="0.35">
      <c r="A165" t="s">
        <v>194</v>
      </c>
      <c r="B165" s="9"/>
      <c r="C165" s="9">
        <v>237</v>
      </c>
      <c r="D165" s="9" t="s">
        <v>337</v>
      </c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 spans="1:28" hidden="1" x14ac:dyDescent="0.35">
      <c r="A166" t="s">
        <v>195</v>
      </c>
      <c r="B166" s="9"/>
      <c r="C166" s="9">
        <v>238</v>
      </c>
      <c r="D166" s="9" t="s">
        <v>338</v>
      </c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 spans="1:28" hidden="1" x14ac:dyDescent="0.35">
      <c r="A167" t="s">
        <v>196</v>
      </c>
      <c r="B167" s="9"/>
      <c r="C167" s="9">
        <v>239</v>
      </c>
      <c r="D167" s="9" t="s">
        <v>339</v>
      </c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 spans="1:28" hidden="1" x14ac:dyDescent="0.35">
      <c r="A168" t="s">
        <v>197</v>
      </c>
      <c r="B168" s="9"/>
      <c r="C168" s="9">
        <v>240</v>
      </c>
      <c r="D168" s="9" t="s">
        <v>340</v>
      </c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 spans="1:28" hidden="1" x14ac:dyDescent="0.35">
      <c r="A169" t="s">
        <v>198</v>
      </c>
      <c r="B169" s="9"/>
      <c r="C169" s="9">
        <v>241</v>
      </c>
      <c r="D169" s="9" t="s">
        <v>341</v>
      </c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 spans="1:28" hidden="1" x14ac:dyDescent="0.35">
      <c r="A170" t="s">
        <v>199</v>
      </c>
      <c r="B170" s="9"/>
      <c r="C170" s="9">
        <v>242</v>
      </c>
      <c r="D170" s="9" t="s">
        <v>342</v>
      </c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 spans="1:28" hidden="1" x14ac:dyDescent="0.35">
      <c r="A171" t="s">
        <v>200</v>
      </c>
      <c r="B171" s="9"/>
      <c r="C171" s="9">
        <v>243</v>
      </c>
      <c r="D171" s="9" t="s">
        <v>343</v>
      </c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 spans="1:28" hidden="1" x14ac:dyDescent="0.35">
      <c r="A172" t="s">
        <v>201</v>
      </c>
      <c r="B172" s="9"/>
      <c r="C172" s="9">
        <v>244</v>
      </c>
      <c r="D172" s="9" t="s">
        <v>344</v>
      </c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 spans="1:28" hidden="1" x14ac:dyDescent="0.35">
      <c r="A173" t="s">
        <v>789</v>
      </c>
      <c r="B173" s="9"/>
      <c r="C173" s="9">
        <v>245</v>
      </c>
      <c r="D173" s="9" t="s">
        <v>345</v>
      </c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 spans="1:28" hidden="1" x14ac:dyDescent="0.35">
      <c r="A174" t="s">
        <v>790</v>
      </c>
      <c r="B174" s="9"/>
      <c r="C174" s="9">
        <v>246</v>
      </c>
      <c r="D174" s="9" t="s">
        <v>346</v>
      </c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 spans="1:28" hidden="1" x14ac:dyDescent="0.35">
      <c r="A175" t="s">
        <v>791</v>
      </c>
      <c r="B175" s="9"/>
      <c r="C175" s="9">
        <v>247</v>
      </c>
      <c r="D175" s="9" t="s">
        <v>347</v>
      </c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 spans="1:28" hidden="1" x14ac:dyDescent="0.35">
      <c r="A176" t="s">
        <v>792</v>
      </c>
      <c r="B176" s="9"/>
      <c r="C176" s="9">
        <v>248</v>
      </c>
      <c r="D176" s="9" t="s">
        <v>348</v>
      </c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 spans="1:28" hidden="1" x14ac:dyDescent="0.35">
      <c r="A177" t="s">
        <v>793</v>
      </c>
      <c r="B177" s="9"/>
      <c r="C177" s="9">
        <v>249</v>
      </c>
      <c r="D177" s="9" t="s">
        <v>349</v>
      </c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 spans="1:28" hidden="1" x14ac:dyDescent="0.35">
      <c r="A178" t="s">
        <v>794</v>
      </c>
      <c r="B178" s="9"/>
      <c r="C178" s="9">
        <v>250</v>
      </c>
      <c r="D178" s="9" t="s">
        <v>350</v>
      </c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 spans="1:28" hidden="1" x14ac:dyDescent="0.35">
      <c r="A179" t="s">
        <v>795</v>
      </c>
      <c r="B179" s="9"/>
      <c r="C179" s="9">
        <v>251</v>
      </c>
      <c r="D179" s="9" t="s">
        <v>351</v>
      </c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 spans="1:28" hidden="1" x14ac:dyDescent="0.35">
      <c r="A180" t="s">
        <v>796</v>
      </c>
      <c r="B180" s="9"/>
      <c r="C180" s="9">
        <v>252</v>
      </c>
      <c r="D180" s="9" t="s">
        <v>352</v>
      </c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 spans="1:28" hidden="1" x14ac:dyDescent="0.35">
      <c r="A181" t="s">
        <v>797</v>
      </c>
      <c r="B181" s="9"/>
      <c r="C181" s="9">
        <v>253</v>
      </c>
      <c r="D181" s="9" t="s">
        <v>353</v>
      </c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 spans="1:28" hidden="1" x14ac:dyDescent="0.35">
      <c r="A182" t="s">
        <v>798</v>
      </c>
      <c r="B182" s="9"/>
      <c r="C182" s="9">
        <v>254</v>
      </c>
      <c r="D182" s="9" t="s">
        <v>354</v>
      </c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 spans="1:28" hidden="1" x14ac:dyDescent="0.35">
      <c r="A183" t="s">
        <v>799</v>
      </c>
      <c r="B183" s="9"/>
      <c r="C183" s="9">
        <v>255</v>
      </c>
      <c r="D183" s="9" t="s">
        <v>355</v>
      </c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 spans="1:28" hidden="1" x14ac:dyDescent="0.35">
      <c r="A184" t="s">
        <v>800</v>
      </c>
      <c r="B184" s="9"/>
      <c r="C184" s="9">
        <v>256</v>
      </c>
      <c r="D184" s="9" t="s">
        <v>356</v>
      </c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 spans="1:28" hidden="1" x14ac:dyDescent="0.35">
      <c r="A185" t="s">
        <v>202</v>
      </c>
      <c r="B185" s="9"/>
      <c r="C185" s="9">
        <v>257</v>
      </c>
      <c r="D185" s="9" t="s">
        <v>357</v>
      </c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 spans="1:28" hidden="1" x14ac:dyDescent="0.35">
      <c r="A186" t="s">
        <v>203</v>
      </c>
      <c r="B186" s="9"/>
      <c r="C186" s="9">
        <v>258</v>
      </c>
      <c r="D186" s="9" t="s">
        <v>358</v>
      </c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 spans="1:28" hidden="1" x14ac:dyDescent="0.35">
      <c r="A187" t="s">
        <v>204</v>
      </c>
      <c r="B187" s="9"/>
      <c r="C187" s="9">
        <v>259</v>
      </c>
      <c r="D187" s="9" t="s">
        <v>359</v>
      </c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 spans="1:28" hidden="1" x14ac:dyDescent="0.35">
      <c r="A188" t="s">
        <v>205</v>
      </c>
      <c r="B188" s="9"/>
      <c r="C188" s="9">
        <v>260</v>
      </c>
      <c r="D188" s="9" t="s">
        <v>360</v>
      </c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 spans="1:28" hidden="1" x14ac:dyDescent="0.35">
      <c r="A189" t="s">
        <v>206</v>
      </c>
      <c r="B189" s="9"/>
      <c r="C189" s="9">
        <v>261</v>
      </c>
      <c r="D189" s="9" t="s">
        <v>361</v>
      </c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 spans="1:28" hidden="1" x14ac:dyDescent="0.35">
      <c r="A190" t="s">
        <v>207</v>
      </c>
      <c r="B190" s="9"/>
      <c r="C190" s="9">
        <v>262</v>
      </c>
      <c r="D190" s="9" t="s">
        <v>362</v>
      </c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 spans="1:28" hidden="1" x14ac:dyDescent="0.35">
      <c r="A191" t="s">
        <v>208</v>
      </c>
      <c r="B191" s="9"/>
      <c r="C191" s="9">
        <v>263</v>
      </c>
      <c r="D191" s="9" t="s">
        <v>363</v>
      </c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 spans="1:28" hidden="1" x14ac:dyDescent="0.35">
      <c r="A192" t="s">
        <v>209</v>
      </c>
      <c r="B192" s="9"/>
      <c r="C192" s="9">
        <v>264</v>
      </c>
      <c r="D192" s="9" t="s">
        <v>364</v>
      </c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 spans="1:28" hidden="1" x14ac:dyDescent="0.35">
      <c r="A193" t="s">
        <v>210</v>
      </c>
      <c r="B193" s="9"/>
      <c r="C193" s="9">
        <v>265</v>
      </c>
      <c r="D193" s="9" t="s">
        <v>365</v>
      </c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 spans="1:28" hidden="1" x14ac:dyDescent="0.35">
      <c r="A194" t="s">
        <v>211</v>
      </c>
      <c r="B194" s="9"/>
      <c r="C194" s="9">
        <v>266</v>
      </c>
      <c r="D194" s="9" t="s">
        <v>366</v>
      </c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 spans="1:28" hidden="1" x14ac:dyDescent="0.35">
      <c r="A195" t="s">
        <v>212</v>
      </c>
      <c r="B195" s="9"/>
      <c r="C195" s="9">
        <v>267</v>
      </c>
      <c r="D195" s="9" t="s">
        <v>367</v>
      </c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 spans="1:28" hidden="1" x14ac:dyDescent="0.35">
      <c r="A196" t="s">
        <v>213</v>
      </c>
      <c r="B196" s="9"/>
      <c r="C196" s="9">
        <v>268</v>
      </c>
      <c r="D196" s="9" t="s">
        <v>368</v>
      </c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 spans="1:28" hidden="1" x14ac:dyDescent="0.35">
      <c r="A197" t="s">
        <v>214</v>
      </c>
      <c r="B197" s="9"/>
      <c r="C197" s="9">
        <v>269</v>
      </c>
      <c r="D197" s="9" t="s">
        <v>369</v>
      </c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 spans="1:28" hidden="1" x14ac:dyDescent="0.35">
      <c r="A198" t="s">
        <v>215</v>
      </c>
      <c r="B198" s="9"/>
      <c r="C198" s="9">
        <v>270</v>
      </c>
      <c r="D198" s="9" t="s">
        <v>370</v>
      </c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 spans="1:28" hidden="1" x14ac:dyDescent="0.35">
      <c r="A199" t="s">
        <v>216</v>
      </c>
      <c r="B199" s="9"/>
      <c r="C199" s="9">
        <v>271</v>
      </c>
      <c r="D199" s="9" t="s">
        <v>371</v>
      </c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 spans="1:28" hidden="1" x14ac:dyDescent="0.35">
      <c r="A200" t="s">
        <v>217</v>
      </c>
      <c r="B200" s="9"/>
      <c r="C200" s="9">
        <v>272</v>
      </c>
      <c r="D200" s="9" t="s">
        <v>372</v>
      </c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 spans="1:28" hidden="1" x14ac:dyDescent="0.35">
      <c r="A201" t="s">
        <v>801</v>
      </c>
      <c r="B201" s="9"/>
      <c r="C201" s="9">
        <v>273</v>
      </c>
      <c r="D201" s="9" t="s">
        <v>373</v>
      </c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 spans="1:28" hidden="1" x14ac:dyDescent="0.35">
      <c r="A202" t="s">
        <v>802</v>
      </c>
      <c r="B202" s="9"/>
      <c r="C202" s="9">
        <v>274</v>
      </c>
      <c r="D202" s="9" t="s">
        <v>374</v>
      </c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 spans="1:28" hidden="1" x14ac:dyDescent="0.35">
      <c r="A203" t="s">
        <v>218</v>
      </c>
      <c r="B203" s="9"/>
      <c r="C203" s="9">
        <v>275</v>
      </c>
      <c r="D203" s="9" t="s">
        <v>375</v>
      </c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 spans="1:28" hidden="1" x14ac:dyDescent="0.35">
      <c r="A204" t="s">
        <v>219</v>
      </c>
      <c r="B204" s="9"/>
      <c r="C204" s="9">
        <v>276</v>
      </c>
      <c r="D204" s="9" t="s">
        <v>376</v>
      </c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 spans="1:28" hidden="1" x14ac:dyDescent="0.35">
      <c r="A205" t="s">
        <v>220</v>
      </c>
      <c r="B205" s="9"/>
      <c r="C205" s="9">
        <v>277</v>
      </c>
      <c r="D205" s="9" t="s">
        <v>377</v>
      </c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 spans="1:28" hidden="1" x14ac:dyDescent="0.35">
      <c r="A206" t="s">
        <v>221</v>
      </c>
      <c r="B206" s="9"/>
      <c r="C206" s="9">
        <v>278</v>
      </c>
      <c r="D206" s="9" t="s">
        <v>378</v>
      </c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 spans="1:28" hidden="1" x14ac:dyDescent="0.35">
      <c r="A207" t="s">
        <v>222</v>
      </c>
      <c r="B207" s="9"/>
      <c r="C207" s="9">
        <v>279</v>
      </c>
      <c r="D207" s="9" t="s">
        <v>379</v>
      </c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 spans="1:28" hidden="1" x14ac:dyDescent="0.35">
      <c r="A208" t="s">
        <v>223</v>
      </c>
      <c r="B208" s="9"/>
      <c r="C208" s="9">
        <v>280</v>
      </c>
      <c r="D208" s="9" t="s">
        <v>380</v>
      </c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 spans="1:28" hidden="1" x14ac:dyDescent="0.35">
      <c r="A209" t="s">
        <v>224</v>
      </c>
      <c r="B209" s="9"/>
      <c r="C209" s="9">
        <v>281</v>
      </c>
      <c r="D209" s="9" t="s">
        <v>381</v>
      </c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 spans="1:28" hidden="1" x14ac:dyDescent="0.35">
      <c r="A210" t="s">
        <v>225</v>
      </c>
      <c r="B210" s="9"/>
      <c r="C210" s="9">
        <v>282</v>
      </c>
      <c r="D210" s="9" t="s">
        <v>382</v>
      </c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 spans="1:28" hidden="1" x14ac:dyDescent="0.35">
      <c r="A211" t="s">
        <v>226</v>
      </c>
      <c r="B211" s="9"/>
      <c r="C211" s="9">
        <v>283</v>
      </c>
      <c r="D211" s="9" t="s">
        <v>383</v>
      </c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 spans="1:28" hidden="1" x14ac:dyDescent="0.35">
      <c r="A212" t="s">
        <v>227</v>
      </c>
      <c r="B212" s="9"/>
      <c r="C212" s="9">
        <v>284</v>
      </c>
      <c r="D212" s="9" t="s">
        <v>384</v>
      </c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 spans="1:28" hidden="1" x14ac:dyDescent="0.35">
      <c r="A213" t="s">
        <v>228</v>
      </c>
      <c r="B213" s="9"/>
      <c r="C213" s="9">
        <v>285</v>
      </c>
      <c r="D213" s="9" t="s">
        <v>385</v>
      </c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 spans="1:28" hidden="1" x14ac:dyDescent="0.35">
      <c r="A214" t="s">
        <v>229</v>
      </c>
      <c r="B214" s="9"/>
      <c r="C214" s="9">
        <v>286</v>
      </c>
      <c r="D214" s="9" t="s">
        <v>386</v>
      </c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 spans="1:28" hidden="1" x14ac:dyDescent="0.35">
      <c r="A215" t="s">
        <v>230</v>
      </c>
      <c r="B215" s="9"/>
      <c r="C215" s="9">
        <v>287</v>
      </c>
      <c r="D215" s="9" t="s">
        <v>387</v>
      </c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 spans="1:28" hidden="1" x14ac:dyDescent="0.35">
      <c r="A216" t="s">
        <v>231</v>
      </c>
      <c r="B216" s="9"/>
      <c r="C216" s="9">
        <v>301</v>
      </c>
      <c r="D216" s="9" t="s">
        <v>388</v>
      </c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 spans="1:28" hidden="1" x14ac:dyDescent="0.35">
      <c r="A217" t="s">
        <v>232</v>
      </c>
      <c r="B217" s="9"/>
      <c r="C217" s="9">
        <v>302</v>
      </c>
      <c r="D217" s="9" t="s">
        <v>389</v>
      </c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 spans="1:28" hidden="1" x14ac:dyDescent="0.35">
      <c r="A218" t="s">
        <v>233</v>
      </c>
      <c r="B218" s="9"/>
      <c r="C218" s="9">
        <v>303</v>
      </c>
      <c r="D218" s="9" t="s">
        <v>390</v>
      </c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 spans="1:28" hidden="1" x14ac:dyDescent="0.35">
      <c r="A219" t="s">
        <v>234</v>
      </c>
      <c r="B219" s="9"/>
      <c r="C219" s="9">
        <v>304</v>
      </c>
      <c r="D219" s="9" t="s">
        <v>391</v>
      </c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 spans="1:28" hidden="1" x14ac:dyDescent="0.35">
      <c r="A220" t="s">
        <v>235</v>
      </c>
      <c r="B220" s="9"/>
      <c r="C220" s="9">
        <v>305</v>
      </c>
      <c r="D220" s="9" t="s">
        <v>392</v>
      </c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 spans="1:28" hidden="1" x14ac:dyDescent="0.35">
      <c r="A221" t="s">
        <v>236</v>
      </c>
      <c r="B221" s="9"/>
      <c r="C221" s="9">
        <v>306</v>
      </c>
      <c r="D221" s="9" t="s">
        <v>393</v>
      </c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 spans="1:28" hidden="1" x14ac:dyDescent="0.35">
      <c r="A222" t="s">
        <v>237</v>
      </c>
      <c r="B222" s="9"/>
      <c r="C222" s="9">
        <v>307</v>
      </c>
      <c r="D222" s="9" t="s">
        <v>394</v>
      </c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 spans="1:28" hidden="1" x14ac:dyDescent="0.35">
      <c r="A223" t="s">
        <v>238</v>
      </c>
      <c r="B223" s="9"/>
      <c r="C223" s="9">
        <v>308</v>
      </c>
      <c r="D223" s="9" t="s">
        <v>395</v>
      </c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 spans="1:28" hidden="1" x14ac:dyDescent="0.35">
      <c r="A224" t="s">
        <v>239</v>
      </c>
      <c r="B224" s="9"/>
      <c r="C224" s="9">
        <v>309</v>
      </c>
      <c r="D224" s="9" t="s">
        <v>396</v>
      </c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 spans="1:28" hidden="1" x14ac:dyDescent="0.35">
      <c r="A225" t="s">
        <v>240</v>
      </c>
      <c r="B225" s="9"/>
      <c r="C225" s="9">
        <v>310</v>
      </c>
      <c r="D225" s="9" t="s">
        <v>397</v>
      </c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 spans="1:28" hidden="1" x14ac:dyDescent="0.35">
      <c r="A226" t="s">
        <v>241</v>
      </c>
      <c r="B226" s="9"/>
      <c r="C226" s="9">
        <v>311</v>
      </c>
      <c r="D226" s="9" t="s">
        <v>398</v>
      </c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 spans="1:28" hidden="1" x14ac:dyDescent="0.35">
      <c r="A227" t="s">
        <v>242</v>
      </c>
      <c r="B227" s="9"/>
      <c r="C227" s="9">
        <v>312</v>
      </c>
      <c r="D227" s="9" t="s">
        <v>399</v>
      </c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 spans="1:28" hidden="1" x14ac:dyDescent="0.35">
      <c r="A228" t="s">
        <v>243</v>
      </c>
      <c r="B228" s="9"/>
      <c r="C228" s="9">
        <v>313</v>
      </c>
      <c r="D228" s="9" t="s">
        <v>400</v>
      </c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 spans="1:28" hidden="1" x14ac:dyDescent="0.35">
      <c r="A229" t="s">
        <v>244</v>
      </c>
      <c r="B229" s="9"/>
      <c r="C229" s="9">
        <v>314</v>
      </c>
      <c r="D229" s="9" t="s">
        <v>401</v>
      </c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 spans="1:28" hidden="1" x14ac:dyDescent="0.35">
      <c r="A230" t="s">
        <v>245</v>
      </c>
      <c r="B230" s="9"/>
      <c r="C230" s="9">
        <v>315</v>
      </c>
      <c r="D230" s="9" t="s">
        <v>402</v>
      </c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 spans="1:28" hidden="1" x14ac:dyDescent="0.35">
      <c r="A231" t="s">
        <v>246</v>
      </c>
      <c r="B231" s="9"/>
      <c r="C231" s="9">
        <v>316</v>
      </c>
      <c r="D231" s="9" t="s">
        <v>403</v>
      </c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 spans="1:28" hidden="1" x14ac:dyDescent="0.35">
      <c r="A232" t="s">
        <v>247</v>
      </c>
      <c r="B232" s="9"/>
      <c r="C232" s="9">
        <v>401</v>
      </c>
      <c r="D232" s="9" t="s">
        <v>404</v>
      </c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 spans="1:28" hidden="1" x14ac:dyDescent="0.35">
      <c r="A233" t="s">
        <v>248</v>
      </c>
      <c r="B233" s="9"/>
      <c r="C233" s="9">
        <v>402</v>
      </c>
      <c r="D233" s="9" t="s">
        <v>405</v>
      </c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 spans="1:28" hidden="1" x14ac:dyDescent="0.35">
      <c r="A234" t="s">
        <v>249</v>
      </c>
      <c r="B234" s="9"/>
      <c r="C234" s="9">
        <v>403</v>
      </c>
      <c r="D234" s="9" t="s">
        <v>406</v>
      </c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 spans="1:28" hidden="1" x14ac:dyDescent="0.35">
      <c r="A235" t="s">
        <v>250</v>
      </c>
      <c r="B235" s="9"/>
      <c r="C235" s="9">
        <v>404</v>
      </c>
      <c r="D235" s="9" t="s">
        <v>407</v>
      </c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 spans="1:28" hidden="1" x14ac:dyDescent="0.35">
      <c r="A236" t="s">
        <v>251</v>
      </c>
      <c r="B236" s="9"/>
      <c r="C236" s="9">
        <v>405</v>
      </c>
      <c r="D236" s="9" t="s">
        <v>408</v>
      </c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 spans="1:28" hidden="1" x14ac:dyDescent="0.35">
      <c r="A237" t="s">
        <v>252</v>
      </c>
      <c r="B237" s="9"/>
      <c r="C237" s="9">
        <v>406</v>
      </c>
      <c r="D237" s="9" t="s">
        <v>409</v>
      </c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 spans="1:28" hidden="1" x14ac:dyDescent="0.35">
      <c r="A238" t="s">
        <v>253</v>
      </c>
      <c r="B238" s="9"/>
      <c r="C238" s="9">
        <v>407</v>
      </c>
      <c r="D238" s="9" t="s">
        <v>410</v>
      </c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 spans="1:28" hidden="1" x14ac:dyDescent="0.35">
      <c r="A239" t="s">
        <v>254</v>
      </c>
      <c r="B239" s="9"/>
      <c r="C239" s="9">
        <v>501</v>
      </c>
      <c r="D239" s="9" t="s">
        <v>411</v>
      </c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 spans="1:28" hidden="1" x14ac:dyDescent="0.35">
      <c r="A240" t="s">
        <v>255</v>
      </c>
      <c r="B240" s="9"/>
      <c r="C240" s="9">
        <v>502</v>
      </c>
      <c r="D240" s="9" t="s">
        <v>412</v>
      </c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 spans="1:28" hidden="1" x14ac:dyDescent="0.35">
      <c r="A241" t="s">
        <v>256</v>
      </c>
      <c r="B241" s="9"/>
      <c r="C241" s="9">
        <v>503</v>
      </c>
      <c r="D241" s="9" t="s">
        <v>413</v>
      </c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 spans="1:28" hidden="1" x14ac:dyDescent="0.35">
      <c r="A242" t="s">
        <v>257</v>
      </c>
      <c r="B242" s="9"/>
      <c r="C242" s="9">
        <v>504</v>
      </c>
      <c r="D242" s="9" t="s">
        <v>414</v>
      </c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 spans="1:28" hidden="1" x14ac:dyDescent="0.35">
      <c r="A243" t="s">
        <v>258</v>
      </c>
      <c r="B243" s="9"/>
      <c r="C243" s="9">
        <v>505</v>
      </c>
      <c r="D243" s="9" t="s">
        <v>415</v>
      </c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 spans="1:28" hidden="1" x14ac:dyDescent="0.35">
      <c r="A244" t="s">
        <v>259</v>
      </c>
      <c r="B244" s="9"/>
      <c r="C244" s="9">
        <v>506</v>
      </c>
      <c r="D244" s="9" t="s">
        <v>416</v>
      </c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 spans="1:28" hidden="1" x14ac:dyDescent="0.35">
      <c r="A245" t="s">
        <v>260</v>
      </c>
      <c r="B245" s="9"/>
      <c r="C245" s="9">
        <v>507</v>
      </c>
      <c r="D245" s="9" t="s">
        <v>417</v>
      </c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 spans="1:28" hidden="1" x14ac:dyDescent="0.35">
      <c r="A246" t="s">
        <v>261</v>
      </c>
      <c r="B246" s="9"/>
      <c r="C246" s="9">
        <v>508</v>
      </c>
      <c r="D246" s="9" t="s">
        <v>418</v>
      </c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 spans="1:28" hidden="1" x14ac:dyDescent="0.35">
      <c r="A247" t="s">
        <v>262</v>
      </c>
      <c r="B247" s="9"/>
      <c r="C247" s="9">
        <v>509</v>
      </c>
      <c r="D247" s="9" t="s">
        <v>419</v>
      </c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 spans="1:28" hidden="1" x14ac:dyDescent="0.35">
      <c r="A248" t="s">
        <v>263</v>
      </c>
      <c r="B248" s="9"/>
      <c r="C248" s="9">
        <v>510</v>
      </c>
      <c r="D248" s="9" t="s">
        <v>420</v>
      </c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 spans="1:28" hidden="1" x14ac:dyDescent="0.35">
      <c r="A249" t="s">
        <v>264</v>
      </c>
      <c r="B249" s="9"/>
      <c r="C249" s="9">
        <v>511</v>
      </c>
      <c r="D249" s="9" t="s">
        <v>421</v>
      </c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 spans="1:28" hidden="1" x14ac:dyDescent="0.35">
      <c r="A250" s="9" t="s">
        <v>265</v>
      </c>
      <c r="B250" s="9"/>
      <c r="C250" s="9">
        <v>512</v>
      </c>
      <c r="D250" s="9" t="s">
        <v>422</v>
      </c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 spans="1:28" hidden="1" x14ac:dyDescent="0.35">
      <c r="A251" s="9" t="s">
        <v>266</v>
      </c>
      <c r="B251" s="9"/>
      <c r="C251" s="9">
        <v>513</v>
      </c>
      <c r="D251" s="9" t="s">
        <v>423</v>
      </c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 spans="1:28" hidden="1" x14ac:dyDescent="0.35">
      <c r="A252" s="9" t="s">
        <v>267</v>
      </c>
      <c r="B252" s="9"/>
      <c r="C252" s="9">
        <v>514</v>
      </c>
      <c r="D252" s="9" t="s">
        <v>424</v>
      </c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 spans="1:28" hidden="1" x14ac:dyDescent="0.35">
      <c r="A253" s="9" t="s">
        <v>268</v>
      </c>
      <c r="B253" s="9"/>
      <c r="C253" s="9">
        <v>515</v>
      </c>
      <c r="D253" s="9" t="s">
        <v>425</v>
      </c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 spans="1:28" hidden="1" x14ac:dyDescent="0.35">
      <c r="A254" s="9" t="s">
        <v>269</v>
      </c>
      <c r="B254" s="9"/>
      <c r="C254" s="9">
        <v>516</v>
      </c>
      <c r="D254" s="9" t="s">
        <v>426</v>
      </c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 spans="1:28" hidden="1" x14ac:dyDescent="0.35">
      <c r="A255" s="9" t="s">
        <v>270</v>
      </c>
      <c r="B255" s="9"/>
      <c r="C255" s="9">
        <v>517</v>
      </c>
      <c r="D255" s="9" t="s">
        <v>427</v>
      </c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 spans="1:28" hidden="1" x14ac:dyDescent="0.35">
      <c r="A256" s="9" t="s">
        <v>271</v>
      </c>
      <c r="B256" s="9"/>
      <c r="C256" s="9">
        <v>518</v>
      </c>
      <c r="D256" s="9" t="s">
        <v>428</v>
      </c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 spans="1:28" hidden="1" x14ac:dyDescent="0.35">
      <c r="A257" s="9" t="s">
        <v>272</v>
      </c>
      <c r="B257" s="9"/>
      <c r="C257" s="9">
        <v>519</v>
      </c>
      <c r="D257" s="9" t="s">
        <v>429</v>
      </c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 spans="1:28" hidden="1" x14ac:dyDescent="0.35">
      <c r="A258" s="9" t="s">
        <v>273</v>
      </c>
      <c r="B258" s="9"/>
      <c r="C258" s="9">
        <v>520</v>
      </c>
      <c r="D258" s="9" t="s">
        <v>430</v>
      </c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 spans="1:28" hidden="1" x14ac:dyDescent="0.35">
      <c r="A259" s="9" t="s">
        <v>274</v>
      </c>
      <c r="B259" s="9"/>
      <c r="C259" s="9">
        <v>521</v>
      </c>
      <c r="D259" s="9" t="s">
        <v>431</v>
      </c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 spans="1:28" hidden="1" x14ac:dyDescent="0.35">
      <c r="A260" s="9"/>
      <c r="B260" s="9"/>
      <c r="C260" s="9">
        <v>522</v>
      </c>
      <c r="D260" s="9" t="s">
        <v>432</v>
      </c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 spans="1:28" hidden="1" x14ac:dyDescent="0.35">
      <c r="A261" s="9"/>
      <c r="B261" s="9"/>
      <c r="C261" s="9">
        <v>523</v>
      </c>
      <c r="D261" s="9" t="s">
        <v>433</v>
      </c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 spans="1:28" hidden="1" x14ac:dyDescent="0.35">
      <c r="A262" s="9"/>
      <c r="B262" s="9"/>
      <c r="C262" s="9">
        <v>524</v>
      </c>
      <c r="D262" s="9" t="s">
        <v>434</v>
      </c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 spans="1:28" hidden="1" x14ac:dyDescent="0.35">
      <c r="A263" s="9"/>
      <c r="B263" s="9"/>
      <c r="C263" s="9">
        <v>525</v>
      </c>
      <c r="D263" s="9" t="s">
        <v>435</v>
      </c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 spans="1:28" hidden="1" x14ac:dyDescent="0.35">
      <c r="A264" s="9"/>
      <c r="B264" s="9"/>
      <c r="C264" s="9">
        <v>526</v>
      </c>
      <c r="D264" s="9" t="s">
        <v>436</v>
      </c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 spans="1:28" hidden="1" x14ac:dyDescent="0.35">
      <c r="A265" s="9"/>
      <c r="B265" s="9"/>
      <c r="C265" s="9">
        <v>527</v>
      </c>
      <c r="D265" s="9" t="s">
        <v>437</v>
      </c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 spans="1:28" hidden="1" x14ac:dyDescent="0.35">
      <c r="A266" s="9"/>
      <c r="B266" s="9"/>
      <c r="C266" s="9">
        <v>528</v>
      </c>
      <c r="D266" s="9" t="s">
        <v>438</v>
      </c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 spans="1:28" hidden="1" x14ac:dyDescent="0.35">
      <c r="A267" s="9"/>
      <c r="B267" s="9"/>
      <c r="C267" s="9">
        <v>529</v>
      </c>
      <c r="D267" s="9" t="s">
        <v>439</v>
      </c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 spans="1:28" hidden="1" x14ac:dyDescent="0.35">
      <c r="A268" s="9"/>
      <c r="B268" s="9"/>
      <c r="C268" s="9">
        <v>530</v>
      </c>
      <c r="D268" s="9" t="s">
        <v>440</v>
      </c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 spans="1:28" hidden="1" x14ac:dyDescent="0.35">
      <c r="A269" s="9"/>
      <c r="B269" s="9"/>
      <c r="C269" s="9">
        <v>531</v>
      </c>
      <c r="D269" s="9" t="s">
        <v>441</v>
      </c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 spans="1:28" hidden="1" x14ac:dyDescent="0.35">
      <c r="A270" s="9"/>
      <c r="B270" s="9"/>
      <c r="C270" s="9">
        <v>532</v>
      </c>
      <c r="D270" s="9" t="s">
        <v>442</v>
      </c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 spans="1:28" hidden="1" x14ac:dyDescent="0.35">
      <c r="A271" s="9"/>
      <c r="B271" s="9"/>
      <c r="C271" s="9">
        <v>601</v>
      </c>
      <c r="D271" s="9" t="s">
        <v>443</v>
      </c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 spans="1:28" hidden="1" x14ac:dyDescent="0.35">
      <c r="A272" s="9"/>
      <c r="B272" s="9"/>
      <c r="C272" s="9">
        <v>602</v>
      </c>
      <c r="D272" s="9" t="s">
        <v>444</v>
      </c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 spans="1:28" hidden="1" x14ac:dyDescent="0.35">
      <c r="A273" s="9"/>
      <c r="B273" s="9"/>
      <c r="C273" s="9">
        <v>701</v>
      </c>
      <c r="D273" s="9" t="s">
        <v>445</v>
      </c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 spans="1:28" hidden="1" x14ac:dyDescent="0.35">
      <c r="A274" s="9"/>
      <c r="B274" s="9"/>
      <c r="C274" s="9">
        <v>702</v>
      </c>
      <c r="D274" s="9" t="s">
        <v>446</v>
      </c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 spans="1:28" hidden="1" x14ac:dyDescent="0.35">
      <c r="A275" s="9"/>
      <c r="B275" s="9"/>
      <c r="C275" s="9">
        <v>721</v>
      </c>
      <c r="D275" s="9" t="s">
        <v>447</v>
      </c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 spans="1:28" hidden="1" x14ac:dyDescent="0.35">
      <c r="A276" s="9"/>
      <c r="B276" s="9"/>
      <c r="C276" s="9">
        <v>800</v>
      </c>
      <c r="D276" s="9" t="s">
        <v>448</v>
      </c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 spans="1:28" hidden="1" x14ac:dyDescent="0.35">
      <c r="A277" s="9"/>
      <c r="B277" s="9"/>
      <c r="C277" s="9">
        <v>900</v>
      </c>
      <c r="D277" s="9" t="s">
        <v>449</v>
      </c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 spans="1:28" hidden="1" x14ac:dyDescent="0.35">
      <c r="A278" s="9"/>
      <c r="B278" s="9"/>
      <c r="C278" s="9">
        <v>951</v>
      </c>
      <c r="D278" s="9" t="s">
        <v>450</v>
      </c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 spans="1:28" hidden="1" x14ac:dyDescent="0.35">
      <c r="A279" s="9"/>
      <c r="B279" s="9"/>
      <c r="C279" s="9">
        <v>961</v>
      </c>
      <c r="D279" s="9" t="s">
        <v>451</v>
      </c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 spans="1:28" hidden="1" x14ac:dyDescent="0.35">
      <c r="A280" s="9"/>
      <c r="B280" s="9"/>
      <c r="C280" s="9">
        <v>981</v>
      </c>
      <c r="D280" s="9" t="s">
        <v>452</v>
      </c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 spans="1:28" hidden="1" x14ac:dyDescent="0.35">
      <c r="A281" s="9"/>
      <c r="B281" s="9"/>
      <c r="C281" s="9">
        <v>991</v>
      </c>
      <c r="D281" s="9" t="s">
        <v>453</v>
      </c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 spans="1:28" hidden="1" x14ac:dyDescent="0.35">
      <c r="A282" s="9"/>
      <c r="B282" s="9"/>
      <c r="C282" s="9">
        <v>1001</v>
      </c>
      <c r="D282" s="9" t="s">
        <v>454</v>
      </c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 spans="1:28" hidden="1" x14ac:dyDescent="0.35">
      <c r="A283" s="9"/>
      <c r="B283" s="9"/>
      <c r="C283" s="9">
        <v>1002</v>
      </c>
      <c r="D283" s="9" t="s">
        <v>455</v>
      </c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 spans="1:28" hidden="1" x14ac:dyDescent="0.35">
      <c r="A284" s="9"/>
      <c r="B284" s="9"/>
      <c r="C284" s="9">
        <v>1003</v>
      </c>
      <c r="D284" s="9" t="s">
        <v>456</v>
      </c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 spans="1:28" hidden="1" x14ac:dyDescent="0.35">
      <c r="A285" s="9"/>
      <c r="B285" s="9"/>
      <c r="C285" s="9">
        <v>1004</v>
      </c>
      <c r="D285" s="9" t="s">
        <v>457</v>
      </c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 spans="1:28" hidden="1" x14ac:dyDescent="0.35">
      <c r="A286" s="9"/>
      <c r="B286" s="9"/>
      <c r="C286" s="9">
        <v>23512</v>
      </c>
      <c r="D286" s="9" t="s">
        <v>458</v>
      </c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 spans="1:28" hidden="1" x14ac:dyDescent="0.35">
      <c r="A287" s="9"/>
      <c r="B287" s="9"/>
      <c r="C287" s="9">
        <v>23513</v>
      </c>
      <c r="D287" s="9" t="s">
        <v>459</v>
      </c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 spans="1:28" hidden="1" x14ac:dyDescent="0.35">
      <c r="A288" s="9"/>
      <c r="B288" s="9"/>
      <c r="C288" s="9">
        <v>23514</v>
      </c>
      <c r="D288" s="9" t="s">
        <v>460</v>
      </c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 spans="1:28" hidden="1" x14ac:dyDescent="0.35">
      <c r="A289" s="9"/>
      <c r="B289" s="9"/>
      <c r="C289" s="9">
        <v>23515</v>
      </c>
      <c r="D289" s="9" t="s">
        <v>461</v>
      </c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 spans="1:28" hidden="1" x14ac:dyDescent="0.35">
      <c r="A290" s="9"/>
      <c r="B290" s="9"/>
      <c r="C290" s="9">
        <v>23516</v>
      </c>
      <c r="D290" s="9" t="s">
        <v>462</v>
      </c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 spans="1:28" hidden="1" x14ac:dyDescent="0.35">
      <c r="A291" s="9"/>
      <c r="B291" s="9"/>
      <c r="C291" s="9">
        <v>23517</v>
      </c>
      <c r="D291" s="9" t="s">
        <v>463</v>
      </c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 spans="1:28" hidden="1" x14ac:dyDescent="0.35">
      <c r="A292" s="9"/>
      <c r="B292" s="9"/>
      <c r="C292" s="9">
        <v>23518</v>
      </c>
      <c r="D292" s="9" t="s">
        <v>464</v>
      </c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 spans="1:28" hidden="1" x14ac:dyDescent="0.35">
      <c r="A293" s="9"/>
      <c r="B293" s="9"/>
      <c r="C293" s="9">
        <v>23519</v>
      </c>
      <c r="D293" s="9" t="s">
        <v>465</v>
      </c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 spans="1:28" hidden="1" x14ac:dyDescent="0.35">
      <c r="A294" s="9"/>
      <c r="B294" s="9"/>
      <c r="C294" s="9">
        <v>23520</v>
      </c>
      <c r="D294" s="9" t="s">
        <v>466</v>
      </c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 spans="1:28" hidden="1" x14ac:dyDescent="0.35">
      <c r="A295" s="9"/>
      <c r="B295" s="9"/>
      <c r="C295" s="9">
        <v>23522</v>
      </c>
      <c r="D295" s="9" t="s">
        <v>467</v>
      </c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 spans="1:28" hidden="1" x14ac:dyDescent="0.35">
      <c r="A296" s="9"/>
      <c r="B296" s="9"/>
      <c r="C296" s="9">
        <v>23523</v>
      </c>
      <c r="D296" s="9" t="s">
        <v>468</v>
      </c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 spans="1:28" hidden="1" x14ac:dyDescent="0.35">
      <c r="A297" s="9"/>
      <c r="B297" s="9"/>
      <c r="C297" s="9">
        <v>23524</v>
      </c>
      <c r="D297" s="9" t="s">
        <v>469</v>
      </c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 spans="1:28" hidden="1" x14ac:dyDescent="0.35">
      <c r="A298" s="9"/>
      <c r="B298" s="9"/>
      <c r="C298" s="9">
        <v>23526</v>
      </c>
      <c r="D298" s="9" t="s">
        <v>470</v>
      </c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 spans="1:28" hidden="1" x14ac:dyDescent="0.35">
      <c r="A299" s="9"/>
      <c r="B299" s="9"/>
      <c r="C299" s="9">
        <v>23527</v>
      </c>
      <c r="D299" s="9" t="s">
        <v>471</v>
      </c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 spans="1:28" hidden="1" x14ac:dyDescent="0.35">
      <c r="A300" s="9"/>
      <c r="B300" s="9"/>
      <c r="C300" s="9">
        <v>23528</v>
      </c>
      <c r="D300" s="9" t="s">
        <v>472</v>
      </c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 spans="1:28" hidden="1" x14ac:dyDescent="0.35">
      <c r="A301" s="9"/>
      <c r="B301" s="9"/>
      <c r="C301" s="9">
        <v>23530</v>
      </c>
      <c r="D301" s="9" t="s">
        <v>473</v>
      </c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 spans="1:28" hidden="1" x14ac:dyDescent="0.35">
      <c r="A302" s="9"/>
      <c r="B302" s="9"/>
      <c r="C302" s="9">
        <v>23531</v>
      </c>
      <c r="D302" s="9" t="s">
        <v>474</v>
      </c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 spans="1:28" hidden="1" x14ac:dyDescent="0.35">
      <c r="A303" s="9"/>
      <c r="B303" s="9"/>
      <c r="C303" s="9">
        <v>23533</v>
      </c>
      <c r="D303" s="9" t="s">
        <v>475</v>
      </c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 spans="1:28" hidden="1" x14ac:dyDescent="0.35">
      <c r="A304" s="9"/>
      <c r="B304" s="9"/>
      <c r="C304" s="9">
        <v>23534</v>
      </c>
      <c r="D304" s="9" t="s">
        <v>476</v>
      </c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 spans="1:28" hidden="1" x14ac:dyDescent="0.35">
      <c r="A305" s="9"/>
      <c r="B305" s="9"/>
      <c r="C305" s="9">
        <v>23535</v>
      </c>
      <c r="D305" s="9" t="s">
        <v>477</v>
      </c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 spans="1:28" hidden="1" x14ac:dyDescent="0.35">
      <c r="A306" s="9"/>
      <c r="B306" s="9"/>
      <c r="C306" s="9">
        <v>23538</v>
      </c>
      <c r="D306" s="9" t="s">
        <v>478</v>
      </c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 spans="1:28" hidden="1" x14ac:dyDescent="0.35">
      <c r="A307" s="9"/>
      <c r="B307" s="9"/>
      <c r="C307" s="9">
        <v>23540</v>
      </c>
      <c r="D307" s="9" t="s">
        <v>479</v>
      </c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 spans="1:28" hidden="1" x14ac:dyDescent="0.35">
      <c r="A308" s="9"/>
      <c r="B308" s="9"/>
      <c r="C308" s="9">
        <v>23541</v>
      </c>
      <c r="D308" s="9" t="s">
        <v>480</v>
      </c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 spans="1:28" hidden="1" x14ac:dyDescent="0.35">
      <c r="A309" s="9"/>
      <c r="B309" s="9"/>
      <c r="C309" s="9">
        <v>23543</v>
      </c>
      <c r="D309" s="9" t="s">
        <v>481</v>
      </c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 spans="1:28" hidden="1" x14ac:dyDescent="0.35">
      <c r="A310" s="9"/>
      <c r="B310" s="9"/>
      <c r="C310" s="9">
        <v>23545</v>
      </c>
      <c r="D310" s="9" t="s">
        <v>482</v>
      </c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 spans="1:28" hidden="1" x14ac:dyDescent="0.35">
      <c r="A311" s="9"/>
      <c r="B311" s="9"/>
      <c r="C311" s="9">
        <v>23546</v>
      </c>
      <c r="D311" s="9" t="s">
        <v>483</v>
      </c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 spans="1:28" hidden="1" x14ac:dyDescent="0.35">
      <c r="A312" s="9"/>
      <c r="B312" s="9"/>
      <c r="C312" s="9">
        <v>23547</v>
      </c>
      <c r="D312" s="9" t="s">
        <v>484</v>
      </c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 spans="1:28" hidden="1" x14ac:dyDescent="0.35">
      <c r="A313" s="9"/>
      <c r="B313" s="9"/>
      <c r="C313" s="9">
        <v>23548</v>
      </c>
      <c r="D313" s="9" t="s">
        <v>485</v>
      </c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 spans="1:28" hidden="1" x14ac:dyDescent="0.35">
      <c r="A314" s="9"/>
      <c r="B314" s="9"/>
      <c r="C314" s="9">
        <v>23550</v>
      </c>
      <c r="D314" s="9" t="s">
        <v>486</v>
      </c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 spans="1:28" hidden="1" x14ac:dyDescent="0.35">
      <c r="A315" s="9"/>
      <c r="B315" s="9"/>
      <c r="C315" s="9">
        <v>23551</v>
      </c>
      <c r="D315" s="9" t="s">
        <v>487</v>
      </c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 spans="1:28" hidden="1" x14ac:dyDescent="0.35">
      <c r="A316" s="9"/>
      <c r="B316" s="9"/>
      <c r="C316" s="9">
        <v>23552</v>
      </c>
      <c r="D316" s="9" t="s">
        <v>488</v>
      </c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 spans="1:28" hidden="1" x14ac:dyDescent="0.35">
      <c r="A317" s="9"/>
      <c r="B317" s="9"/>
      <c r="C317" s="9">
        <v>23553</v>
      </c>
      <c r="D317" s="9" t="s">
        <v>489</v>
      </c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 spans="1:28" hidden="1" x14ac:dyDescent="0.35">
      <c r="A318" s="9"/>
      <c r="B318" s="9"/>
      <c r="C318" s="9">
        <v>23555</v>
      </c>
      <c r="D318" s="9" t="s">
        <v>490</v>
      </c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 spans="1:28" hidden="1" x14ac:dyDescent="0.35">
      <c r="A319" s="9"/>
      <c r="B319" s="9"/>
      <c r="C319" s="9">
        <v>23557</v>
      </c>
      <c r="D319" s="9" t="s">
        <v>491</v>
      </c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 spans="1:28" hidden="1" x14ac:dyDescent="0.35">
      <c r="A320" s="9"/>
      <c r="B320" s="9"/>
      <c r="C320" s="9">
        <v>23558</v>
      </c>
      <c r="D320" s="9" t="s">
        <v>492</v>
      </c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 spans="1:28" hidden="1" x14ac:dyDescent="0.35">
      <c r="A321" s="9"/>
      <c r="B321" s="9"/>
      <c r="C321" s="9">
        <v>23559</v>
      </c>
      <c r="D321" s="9" t="s">
        <v>493</v>
      </c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 spans="1:28" hidden="1" x14ac:dyDescent="0.35">
      <c r="A322" s="9"/>
      <c r="B322" s="9"/>
      <c r="C322" s="9">
        <v>23560</v>
      </c>
      <c r="D322" s="9" t="s">
        <v>494</v>
      </c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 spans="1:28" hidden="1" x14ac:dyDescent="0.35">
      <c r="A323" s="9"/>
      <c r="B323" s="9"/>
      <c r="C323" s="9">
        <v>23561</v>
      </c>
      <c r="D323" s="9" t="s">
        <v>495</v>
      </c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 spans="1:28" hidden="1" x14ac:dyDescent="0.35">
      <c r="A324" s="9"/>
      <c r="B324" s="9"/>
      <c r="C324" s="9">
        <v>23562</v>
      </c>
      <c r="D324" s="9" t="s">
        <v>496</v>
      </c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 spans="1:28" hidden="1" x14ac:dyDescent="0.35">
      <c r="A325" s="9"/>
      <c r="B325" s="9"/>
      <c r="C325" s="9">
        <v>23563</v>
      </c>
      <c r="D325" s="9" t="s">
        <v>497</v>
      </c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 spans="1:28" hidden="1" x14ac:dyDescent="0.35">
      <c r="A326" s="9"/>
      <c r="B326" s="9"/>
      <c r="C326" s="9">
        <v>23564</v>
      </c>
      <c r="D326" s="9" t="s">
        <v>498</v>
      </c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 spans="1:28" hidden="1" x14ac:dyDescent="0.35">
      <c r="A327" s="9"/>
      <c r="B327" s="9"/>
      <c r="C327" s="9">
        <v>23565</v>
      </c>
      <c r="D327" s="9" t="s">
        <v>499</v>
      </c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 spans="1:28" hidden="1" x14ac:dyDescent="0.35">
      <c r="A328" s="9"/>
      <c r="B328" s="9"/>
      <c r="C328" s="9">
        <v>23566</v>
      </c>
      <c r="D328" s="9" t="s">
        <v>500</v>
      </c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 spans="1:28" hidden="1" x14ac:dyDescent="0.35">
      <c r="A329" s="9"/>
      <c r="B329" s="9"/>
      <c r="C329" s="9">
        <v>23567</v>
      </c>
      <c r="D329" s="9" t="s">
        <v>501</v>
      </c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 spans="1:28" hidden="1" x14ac:dyDescent="0.35">
      <c r="A330" s="9"/>
      <c r="B330" s="9"/>
      <c r="C330" s="9">
        <v>23571</v>
      </c>
      <c r="D330" s="9" t="s">
        <v>502</v>
      </c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 spans="1:28" hidden="1" x14ac:dyDescent="0.35">
      <c r="A331" s="9"/>
      <c r="B331" s="9"/>
      <c r="C331" s="9">
        <v>23572</v>
      </c>
      <c r="D331" s="9" t="s">
        <v>503</v>
      </c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 spans="1:28" hidden="1" x14ac:dyDescent="0.35">
      <c r="A332" s="9"/>
      <c r="B332" s="9"/>
      <c r="C332" s="9">
        <v>23573</v>
      </c>
      <c r="D332" s="9" t="s">
        <v>504</v>
      </c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 spans="1:28" hidden="1" x14ac:dyDescent="0.35">
      <c r="A333" s="9"/>
      <c r="B333" s="9"/>
      <c r="C333" s="9">
        <v>23574</v>
      </c>
      <c r="D333" s="9" t="s">
        <v>505</v>
      </c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 spans="1:28" hidden="1" x14ac:dyDescent="0.35">
      <c r="A334" s="9"/>
      <c r="B334" s="9"/>
      <c r="C334" s="9">
        <v>23575</v>
      </c>
      <c r="D334" s="9" t="s">
        <v>506</v>
      </c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 spans="1:28" hidden="1" x14ac:dyDescent="0.35">
      <c r="A335" s="9"/>
      <c r="B335" s="9"/>
      <c r="C335" s="9">
        <v>23579</v>
      </c>
      <c r="D335" s="9" t="s">
        <v>507</v>
      </c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 spans="1:28" hidden="1" x14ac:dyDescent="0.35">
      <c r="A336" s="9"/>
      <c r="B336" s="9"/>
      <c r="C336" s="9">
        <v>23580</v>
      </c>
      <c r="D336" s="9" t="s">
        <v>508</v>
      </c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 spans="1:28" hidden="1" x14ac:dyDescent="0.35">
      <c r="A337" s="9"/>
      <c r="B337" s="9"/>
      <c r="C337" s="9">
        <v>23582</v>
      </c>
      <c r="D337" s="9" t="s">
        <v>509</v>
      </c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 spans="1:28" hidden="1" x14ac:dyDescent="0.35">
      <c r="A338" s="9"/>
      <c r="B338" s="9"/>
      <c r="C338" s="9">
        <v>23583</v>
      </c>
      <c r="D338" s="9" t="s">
        <v>510</v>
      </c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 spans="1:28" hidden="1" x14ac:dyDescent="0.35">
      <c r="A339" s="9"/>
      <c r="B339" s="9"/>
      <c r="C339" s="9">
        <v>23584</v>
      </c>
      <c r="D339" s="9" t="s">
        <v>511</v>
      </c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 spans="1:28" hidden="1" x14ac:dyDescent="0.35">
      <c r="A340" s="9"/>
      <c r="B340" s="9"/>
      <c r="C340" s="9">
        <v>23585</v>
      </c>
      <c r="D340" s="9" t="s">
        <v>512</v>
      </c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 spans="1:28" hidden="1" x14ac:dyDescent="0.35">
      <c r="A341" s="9"/>
      <c r="B341" s="9"/>
      <c r="C341" s="9">
        <v>23586</v>
      </c>
      <c r="D341" s="9" t="s">
        <v>513</v>
      </c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 spans="1:28" hidden="1" x14ac:dyDescent="0.35">
      <c r="A342" s="9"/>
      <c r="B342" s="9"/>
      <c r="C342" s="9">
        <v>23587</v>
      </c>
      <c r="D342" s="9" t="s">
        <v>514</v>
      </c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 spans="1:28" hidden="1" x14ac:dyDescent="0.35">
      <c r="A343" s="9"/>
      <c r="B343" s="9"/>
      <c r="C343" s="9">
        <v>23588</v>
      </c>
      <c r="D343" s="9" t="s">
        <v>515</v>
      </c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 spans="1:28" hidden="1" x14ac:dyDescent="0.35">
      <c r="A344" s="9"/>
      <c r="B344" s="9"/>
      <c r="C344" s="9">
        <v>23589</v>
      </c>
      <c r="D344" s="9" t="s">
        <v>516</v>
      </c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 spans="1:28" hidden="1" x14ac:dyDescent="0.35">
      <c r="A345" s="9"/>
      <c r="B345" s="9"/>
      <c r="C345" s="9">
        <v>23590</v>
      </c>
      <c r="D345" s="9" t="s">
        <v>517</v>
      </c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 spans="1:28" hidden="1" x14ac:dyDescent="0.35">
      <c r="A346" s="9"/>
      <c r="B346" s="9"/>
      <c r="C346" s="9">
        <v>23591</v>
      </c>
      <c r="D346" s="9" t="s">
        <v>518</v>
      </c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 spans="1:28" hidden="1" x14ac:dyDescent="0.35">
      <c r="A347" s="9"/>
      <c r="B347" s="9"/>
      <c r="C347" s="9">
        <v>23592</v>
      </c>
      <c r="D347" s="9" t="s">
        <v>519</v>
      </c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 spans="1:28" hidden="1" x14ac:dyDescent="0.35">
      <c r="A348" s="9"/>
      <c r="B348" s="9"/>
      <c r="C348" s="9">
        <v>23593</v>
      </c>
      <c r="D348" s="9" t="s">
        <v>520</v>
      </c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 spans="1:28" hidden="1" x14ac:dyDescent="0.35">
      <c r="A349" s="9"/>
      <c r="B349" s="9"/>
      <c r="C349" s="9">
        <v>23595</v>
      </c>
      <c r="D349" s="9" t="s">
        <v>521</v>
      </c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 spans="1:28" hidden="1" x14ac:dyDescent="0.35">
      <c r="A350" s="9"/>
      <c r="B350" s="9"/>
      <c r="C350" s="9">
        <v>23598</v>
      </c>
      <c r="D350" s="9" t="s">
        <v>522</v>
      </c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 spans="1:28" hidden="1" x14ac:dyDescent="0.35">
      <c r="A351" s="9"/>
      <c r="B351" s="9"/>
      <c r="C351" s="9">
        <v>23600</v>
      </c>
      <c r="D351" s="9" t="s">
        <v>523</v>
      </c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 spans="1:28" hidden="1" x14ac:dyDescent="0.35">
      <c r="A352" s="9"/>
      <c r="B352" s="9"/>
      <c r="C352" s="9">
        <v>23601</v>
      </c>
      <c r="D352" s="9" t="s">
        <v>524</v>
      </c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 spans="1:28" hidden="1" x14ac:dyDescent="0.35">
      <c r="A353" s="9"/>
      <c r="B353" s="9"/>
      <c r="C353" s="9">
        <v>23603</v>
      </c>
      <c r="D353" s="9" t="s">
        <v>525</v>
      </c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 spans="1:28" hidden="1" x14ac:dyDescent="0.35">
      <c r="A354" s="9"/>
      <c r="B354" s="9"/>
      <c r="C354" s="9">
        <v>23604</v>
      </c>
      <c r="D354" s="9" t="s">
        <v>526</v>
      </c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 spans="1:28" hidden="1" x14ac:dyDescent="0.35">
      <c r="A355" s="9"/>
      <c r="B355" s="9"/>
      <c r="C355" s="9">
        <v>23606</v>
      </c>
      <c r="D355" s="9" t="s">
        <v>527</v>
      </c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 spans="1:28" hidden="1" x14ac:dyDescent="0.35">
      <c r="A356" s="9"/>
      <c r="B356" s="9"/>
      <c r="C356" s="9">
        <v>23607</v>
      </c>
      <c r="D356" s="9" t="s">
        <v>528</v>
      </c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 spans="1:28" hidden="1" x14ac:dyDescent="0.35">
      <c r="A357" s="9"/>
      <c r="B357" s="9"/>
      <c r="C357" s="9">
        <v>23608</v>
      </c>
      <c r="D357" s="9" t="s">
        <v>529</v>
      </c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 spans="1:28" hidden="1" x14ac:dyDescent="0.35">
      <c r="A358" s="9"/>
      <c r="B358" s="9"/>
      <c r="C358" s="9">
        <v>23609</v>
      </c>
      <c r="D358" s="9" t="s">
        <v>530</v>
      </c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 spans="1:28" hidden="1" x14ac:dyDescent="0.35">
      <c r="A359" s="9"/>
      <c r="B359" s="9"/>
      <c r="C359" s="9">
        <v>23610</v>
      </c>
      <c r="D359" s="9" t="s">
        <v>531</v>
      </c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 spans="1:28" hidden="1" x14ac:dyDescent="0.35">
      <c r="A360" s="9"/>
      <c r="B360" s="9"/>
      <c r="C360" s="9">
        <v>23611</v>
      </c>
      <c r="D360" s="9" t="s">
        <v>532</v>
      </c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 spans="1:28" hidden="1" x14ac:dyDescent="0.35">
      <c r="A361" s="9"/>
      <c r="B361" s="9"/>
      <c r="C361" s="9">
        <v>23612</v>
      </c>
      <c r="D361" s="9" t="s">
        <v>533</v>
      </c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 spans="1:28" hidden="1" x14ac:dyDescent="0.35">
      <c r="A362" s="9"/>
      <c r="B362" s="9"/>
      <c r="C362" s="9">
        <v>23613</v>
      </c>
      <c r="D362" s="9" t="s">
        <v>534</v>
      </c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 spans="1:28" hidden="1" x14ac:dyDescent="0.35">
      <c r="A363" s="9"/>
      <c r="B363" s="9"/>
      <c r="C363" s="9">
        <v>23614</v>
      </c>
      <c r="D363" s="9" t="s">
        <v>535</v>
      </c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 spans="1:28" hidden="1" x14ac:dyDescent="0.35">
      <c r="A364" s="9"/>
      <c r="B364" s="9"/>
      <c r="C364" s="9">
        <v>23616</v>
      </c>
      <c r="D364" s="9" t="s">
        <v>536</v>
      </c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 spans="1:28" hidden="1" x14ac:dyDescent="0.35">
      <c r="A365" s="9"/>
      <c r="B365" s="9"/>
      <c r="C365" s="9">
        <v>23619</v>
      </c>
      <c r="D365" s="9" t="s">
        <v>537</v>
      </c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 spans="1:28" hidden="1" x14ac:dyDescent="0.35">
      <c r="A366" s="9"/>
      <c r="B366" s="9"/>
      <c r="C366" s="9">
        <v>23620</v>
      </c>
      <c r="D366" s="9" t="s">
        <v>538</v>
      </c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 spans="1:28" hidden="1" x14ac:dyDescent="0.35">
      <c r="A367" s="9"/>
      <c r="B367" s="9"/>
      <c r="C367" s="9">
        <v>23621</v>
      </c>
      <c r="D367" s="9" t="s">
        <v>539</v>
      </c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 spans="1:28" hidden="1" x14ac:dyDescent="0.35">
      <c r="A368" s="9"/>
      <c r="B368" s="9"/>
      <c r="C368" s="9">
        <v>23622</v>
      </c>
      <c r="D368" s="9" t="s">
        <v>540</v>
      </c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 spans="1:28" hidden="1" x14ac:dyDescent="0.35">
      <c r="A369" s="9"/>
      <c r="B369" s="9"/>
      <c r="C369" s="9">
        <v>23625</v>
      </c>
      <c r="D369" s="9" t="s">
        <v>541</v>
      </c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 spans="1:28" hidden="1" x14ac:dyDescent="0.35">
      <c r="A370" s="9"/>
      <c r="B370" s="9"/>
      <c r="C370" s="9">
        <v>23626</v>
      </c>
      <c r="D370" s="9" t="s">
        <v>542</v>
      </c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 spans="1:28" hidden="1" x14ac:dyDescent="0.35">
      <c r="A371" s="9"/>
      <c r="B371" s="9"/>
      <c r="C371" s="9">
        <v>23627</v>
      </c>
      <c r="D371" s="9" t="s">
        <v>543</v>
      </c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 spans="1:28" hidden="1" x14ac:dyDescent="0.35">
      <c r="A372" s="9"/>
      <c r="B372" s="9"/>
      <c r="C372" s="9">
        <v>23628</v>
      </c>
      <c r="D372" s="9" t="s">
        <v>544</v>
      </c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 spans="1:28" hidden="1" x14ac:dyDescent="0.35">
      <c r="A373" s="9"/>
      <c r="B373" s="9"/>
      <c r="C373" s="9">
        <v>23629</v>
      </c>
      <c r="D373" s="9" t="s">
        <v>545</v>
      </c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 spans="1:28" hidden="1" x14ac:dyDescent="0.35">
      <c r="A374" s="9"/>
      <c r="B374" s="9"/>
      <c r="C374" s="9">
        <v>23632</v>
      </c>
      <c r="D374" s="9" t="s">
        <v>546</v>
      </c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 spans="1:28" hidden="1" x14ac:dyDescent="0.35">
      <c r="A375" s="9"/>
      <c r="B375" s="9"/>
      <c r="C375" s="9">
        <v>23639</v>
      </c>
      <c r="D375" s="9" t="s">
        <v>547</v>
      </c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 spans="1:28" hidden="1" x14ac:dyDescent="0.35">
      <c r="A376" s="9"/>
      <c r="B376" s="9"/>
      <c r="C376" s="9">
        <v>23640</v>
      </c>
      <c r="D376" s="9" t="s">
        <v>548</v>
      </c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 spans="1:28" hidden="1" x14ac:dyDescent="0.35">
      <c r="A377" s="9"/>
      <c r="B377" s="9"/>
      <c r="C377" s="9">
        <v>23641</v>
      </c>
      <c r="D377" s="9" t="s">
        <v>549</v>
      </c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 spans="1:28" hidden="1" x14ac:dyDescent="0.35">
      <c r="A378" s="9"/>
      <c r="B378" s="9"/>
      <c r="C378" s="9">
        <v>23642</v>
      </c>
      <c r="D378" s="9" t="s">
        <v>550</v>
      </c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 spans="1:28" hidden="1" x14ac:dyDescent="0.35">
      <c r="A379" s="9"/>
      <c r="B379" s="9"/>
      <c r="C379" s="9">
        <v>23644</v>
      </c>
      <c r="D379" s="9" t="s">
        <v>551</v>
      </c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 spans="1:28" hidden="1" x14ac:dyDescent="0.35">
      <c r="A380" s="9"/>
      <c r="B380" s="9"/>
      <c r="C380" s="9">
        <v>23645</v>
      </c>
      <c r="D380" s="9" t="s">
        <v>552</v>
      </c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 spans="1:28" hidden="1" x14ac:dyDescent="0.35">
      <c r="A381" s="9"/>
      <c r="B381" s="9"/>
      <c r="C381" s="9">
        <v>23646</v>
      </c>
      <c r="D381" s="9" t="s">
        <v>553</v>
      </c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 spans="1:28" hidden="1" x14ac:dyDescent="0.35">
      <c r="A382" s="9"/>
      <c r="B382" s="9"/>
      <c r="C382" s="9">
        <v>23647</v>
      </c>
      <c r="D382" s="9" t="s">
        <v>554</v>
      </c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 spans="1:28" hidden="1" x14ac:dyDescent="0.35">
      <c r="A383" s="9"/>
      <c r="B383" s="9"/>
      <c r="C383" s="9">
        <v>23650</v>
      </c>
      <c r="D383" s="9" t="s">
        <v>555</v>
      </c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 spans="1:28" hidden="1" x14ac:dyDescent="0.35">
      <c r="A384" s="9"/>
      <c r="B384" s="9"/>
      <c r="C384" s="9">
        <v>23651</v>
      </c>
      <c r="D384" s="9" t="s">
        <v>556</v>
      </c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 spans="1:28" hidden="1" x14ac:dyDescent="0.35">
      <c r="A385" s="9"/>
      <c r="B385" s="9"/>
      <c r="C385" s="9">
        <v>23652</v>
      </c>
      <c r="D385" s="9" t="s">
        <v>557</v>
      </c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 spans="1:28" hidden="1" x14ac:dyDescent="0.35">
      <c r="A386" s="9"/>
      <c r="B386" s="9"/>
      <c r="C386" s="9">
        <v>23653</v>
      </c>
      <c r="D386" s="9" t="s">
        <v>558</v>
      </c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 spans="1:28" hidden="1" x14ac:dyDescent="0.35">
      <c r="A387" s="9"/>
      <c r="B387" s="9"/>
      <c r="C387" s="9">
        <v>23654</v>
      </c>
      <c r="D387" s="9" t="s">
        <v>559</v>
      </c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 spans="1:28" hidden="1" x14ac:dyDescent="0.35">
      <c r="A388" s="9"/>
      <c r="B388" s="9"/>
      <c r="C388" s="9">
        <v>23655</v>
      </c>
      <c r="D388" s="9" t="s">
        <v>560</v>
      </c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 spans="1:28" hidden="1" x14ac:dyDescent="0.35">
      <c r="A389" s="9"/>
      <c r="B389" s="9"/>
      <c r="C389" s="9">
        <v>23656</v>
      </c>
      <c r="D389" s="9" t="s">
        <v>561</v>
      </c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 spans="1:28" hidden="1" x14ac:dyDescent="0.35">
      <c r="A390" s="9"/>
      <c r="B390" s="9"/>
      <c r="C390" s="9">
        <v>23657</v>
      </c>
      <c r="D390" s="9" t="s">
        <v>562</v>
      </c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 spans="1:28" hidden="1" x14ac:dyDescent="0.35">
      <c r="A391" s="9"/>
      <c r="B391" s="9"/>
      <c r="C391" s="9">
        <v>23659</v>
      </c>
      <c r="D391" s="9" t="s">
        <v>563</v>
      </c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 spans="1:28" hidden="1" x14ac:dyDescent="0.35">
      <c r="A392" s="9"/>
      <c r="B392" s="9"/>
      <c r="C392" s="9">
        <v>23660</v>
      </c>
      <c r="D392" s="9" t="s">
        <v>564</v>
      </c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 spans="1:28" hidden="1" x14ac:dyDescent="0.35">
      <c r="A393" s="9"/>
      <c r="B393" s="9"/>
      <c r="C393" s="9">
        <v>23663</v>
      </c>
      <c r="D393" s="9" t="s">
        <v>565</v>
      </c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 spans="1:28" hidden="1" x14ac:dyDescent="0.35">
      <c r="A394" s="9"/>
      <c r="B394" s="9"/>
      <c r="C394" s="9">
        <v>23687</v>
      </c>
      <c r="D394" s="9" t="s">
        <v>566</v>
      </c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 spans="1:28" hidden="1" x14ac:dyDescent="0.35">
      <c r="A395" s="9"/>
      <c r="B395" s="9"/>
      <c r="C395" s="9">
        <v>23688</v>
      </c>
      <c r="D395" s="9" t="s">
        <v>567</v>
      </c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 spans="1:28" hidden="1" x14ac:dyDescent="0.35">
      <c r="A396" s="9"/>
      <c r="B396" s="9"/>
      <c r="C396" s="9">
        <v>23689</v>
      </c>
      <c r="D396" s="9" t="s">
        <v>568</v>
      </c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 spans="1:28" hidden="1" x14ac:dyDescent="0.35">
      <c r="A397" s="9"/>
      <c r="B397" s="9"/>
      <c r="C397" s="9">
        <v>23690</v>
      </c>
      <c r="D397" s="9" t="s">
        <v>569</v>
      </c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 spans="1:28" hidden="1" x14ac:dyDescent="0.35">
      <c r="A398" s="9"/>
      <c r="B398" s="9"/>
      <c r="C398" s="9">
        <v>23691</v>
      </c>
      <c r="D398" s="9" t="s">
        <v>570</v>
      </c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 spans="1:28" hidden="1" x14ac:dyDescent="0.35">
      <c r="A399" s="9"/>
      <c r="B399" s="9"/>
      <c r="C399" s="9">
        <v>23692</v>
      </c>
      <c r="D399" s="9" t="s">
        <v>571</v>
      </c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 spans="1:28" hidden="1" x14ac:dyDescent="0.35">
      <c r="A400" s="9"/>
      <c r="B400" s="9"/>
      <c r="C400" s="9">
        <v>23693</v>
      </c>
      <c r="D400" s="9" t="s">
        <v>572</v>
      </c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 spans="1:28" hidden="1" x14ac:dyDescent="0.35">
      <c r="A401" s="9"/>
      <c r="B401" s="9"/>
      <c r="C401" s="9">
        <v>23694</v>
      </c>
      <c r="D401" s="9" t="s">
        <v>573</v>
      </c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 spans="1:28" hidden="1" x14ac:dyDescent="0.35">
      <c r="A402" s="9"/>
      <c r="B402" s="9"/>
      <c r="C402" s="9">
        <v>23695</v>
      </c>
      <c r="D402" s="9" t="s">
        <v>574</v>
      </c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 spans="1:28" hidden="1" x14ac:dyDescent="0.35">
      <c r="A403" s="9"/>
      <c r="B403" s="9"/>
      <c r="C403" s="9">
        <v>23696</v>
      </c>
      <c r="D403" s="9" t="s">
        <v>575</v>
      </c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 spans="1:28" hidden="1" x14ac:dyDescent="0.35">
      <c r="A404" s="9"/>
      <c r="B404" s="9"/>
      <c r="C404" s="9">
        <v>23697</v>
      </c>
      <c r="D404" s="9" t="s">
        <v>576</v>
      </c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 spans="1:28" hidden="1" x14ac:dyDescent="0.35">
      <c r="A405" s="9"/>
      <c r="B405" s="9"/>
      <c r="C405" s="9">
        <v>23698</v>
      </c>
      <c r="D405" s="9" t="s">
        <v>577</v>
      </c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 spans="1:28" hidden="1" x14ac:dyDescent="0.35">
      <c r="A406" s="9"/>
      <c r="B406" s="9"/>
      <c r="C406" s="9">
        <v>23699</v>
      </c>
      <c r="D406" s="9" t="s">
        <v>578</v>
      </c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 spans="1:28" hidden="1" x14ac:dyDescent="0.35">
      <c r="A407" s="9"/>
      <c r="B407" s="9"/>
      <c r="C407" s="9">
        <v>23700</v>
      </c>
      <c r="D407" s="9" t="s">
        <v>579</v>
      </c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 spans="1:28" hidden="1" x14ac:dyDescent="0.35">
      <c r="A408" s="9"/>
      <c r="B408" s="9"/>
      <c r="C408" s="9">
        <v>23701</v>
      </c>
      <c r="D408" s="9" t="s">
        <v>580</v>
      </c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 spans="1:28" hidden="1" x14ac:dyDescent="0.35">
      <c r="A409" s="9"/>
      <c r="B409" s="9"/>
      <c r="C409" s="9">
        <v>23702</v>
      </c>
      <c r="D409" s="9" t="s">
        <v>581</v>
      </c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 spans="1:28" hidden="1" x14ac:dyDescent="0.35">
      <c r="A410" s="9"/>
      <c r="B410" s="9"/>
      <c r="C410" s="9">
        <v>23703</v>
      </c>
      <c r="D410" s="9" t="s">
        <v>582</v>
      </c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 spans="1:28" hidden="1" x14ac:dyDescent="0.35">
      <c r="A411" s="9"/>
      <c r="B411" s="9"/>
      <c r="C411" s="9">
        <v>23704</v>
      </c>
      <c r="D411" s="9" t="s">
        <v>583</v>
      </c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 spans="1:28" hidden="1" x14ac:dyDescent="0.35">
      <c r="A412" s="9"/>
      <c r="B412" s="9"/>
      <c r="C412" s="9">
        <v>23705</v>
      </c>
      <c r="D412" s="9" t="s">
        <v>584</v>
      </c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 spans="1:28" hidden="1" x14ac:dyDescent="0.35">
      <c r="A413" s="9"/>
      <c r="B413" s="9"/>
      <c r="C413" s="9">
        <v>23706</v>
      </c>
      <c r="D413" s="9" t="s">
        <v>585</v>
      </c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 spans="1:28" hidden="1" x14ac:dyDescent="0.35">
      <c r="A414" s="9"/>
      <c r="B414" s="9"/>
      <c r="C414" s="9">
        <v>23707</v>
      </c>
      <c r="D414" s="9" t="s">
        <v>586</v>
      </c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 spans="1:28" hidden="1" x14ac:dyDescent="0.35">
      <c r="A415" s="9"/>
      <c r="B415" s="9"/>
      <c r="C415" s="9">
        <v>23708</v>
      </c>
      <c r="D415" s="9" t="s">
        <v>587</v>
      </c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 spans="1:28" hidden="1" x14ac:dyDescent="0.35">
      <c r="A416" s="9"/>
      <c r="B416" s="9"/>
      <c r="C416" s="9">
        <v>23709</v>
      </c>
      <c r="D416" s="9" t="s">
        <v>588</v>
      </c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 spans="1:28" hidden="1" x14ac:dyDescent="0.35">
      <c r="A417" s="9"/>
      <c r="B417" s="9"/>
      <c r="C417" s="9">
        <v>23710</v>
      </c>
      <c r="D417" s="9" t="s">
        <v>589</v>
      </c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 spans="1:28" hidden="1" x14ac:dyDescent="0.35">
      <c r="A418" s="9"/>
      <c r="B418" s="9"/>
      <c r="C418" s="9">
        <v>23711</v>
      </c>
      <c r="D418" s="9" t="s">
        <v>590</v>
      </c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 spans="1:28" hidden="1" x14ac:dyDescent="0.35">
      <c r="A419" s="9"/>
      <c r="B419" s="9"/>
      <c r="C419" s="9">
        <v>23712</v>
      </c>
      <c r="D419" s="9" t="s">
        <v>591</v>
      </c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 spans="1:28" hidden="1" x14ac:dyDescent="0.35">
      <c r="A420" s="9"/>
      <c r="B420" s="9"/>
      <c r="C420" s="9">
        <v>23713</v>
      </c>
      <c r="D420" s="9" t="s">
        <v>592</v>
      </c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 spans="1:28" hidden="1" x14ac:dyDescent="0.35">
      <c r="A421" s="9"/>
      <c r="B421" s="9"/>
      <c r="C421" s="9">
        <v>23714</v>
      </c>
      <c r="D421" s="9" t="s">
        <v>593</v>
      </c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 spans="1:28" hidden="1" x14ac:dyDescent="0.35">
      <c r="A422" s="9"/>
      <c r="B422" s="9"/>
      <c r="C422" s="9">
        <v>23715</v>
      </c>
      <c r="D422" s="9" t="s">
        <v>594</v>
      </c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 spans="1:28" hidden="1" x14ac:dyDescent="0.35">
      <c r="A423" s="9"/>
      <c r="B423" s="9"/>
      <c r="C423" s="9">
        <v>23716</v>
      </c>
      <c r="D423" s="9" t="s">
        <v>595</v>
      </c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 spans="1:28" hidden="1" x14ac:dyDescent="0.35">
      <c r="A424" s="9"/>
      <c r="B424" s="9"/>
      <c r="C424" s="9">
        <v>23717</v>
      </c>
      <c r="D424" s="9" t="s">
        <v>596</v>
      </c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 spans="1:28" hidden="1" x14ac:dyDescent="0.35">
      <c r="A425" s="9"/>
      <c r="B425" s="9"/>
      <c r="C425" s="9">
        <v>23718</v>
      </c>
      <c r="D425" s="9" t="s">
        <v>597</v>
      </c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 spans="1:28" hidden="1" x14ac:dyDescent="0.35">
      <c r="A426" s="9"/>
      <c r="B426" s="9"/>
      <c r="C426" s="9">
        <v>23719</v>
      </c>
      <c r="D426" s="9" t="s">
        <v>598</v>
      </c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 spans="1:28" hidden="1" x14ac:dyDescent="0.35">
      <c r="A427" s="9"/>
      <c r="B427" s="9"/>
      <c r="C427" s="9">
        <v>23720</v>
      </c>
      <c r="D427" s="9" t="s">
        <v>599</v>
      </c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 spans="1:28" hidden="1" x14ac:dyDescent="0.35">
      <c r="A428" s="9"/>
      <c r="B428" s="9"/>
      <c r="C428" s="9">
        <v>23721</v>
      </c>
      <c r="D428" s="9" t="s">
        <v>600</v>
      </c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 spans="1:28" hidden="1" x14ac:dyDescent="0.35">
      <c r="A429" s="9"/>
      <c r="B429" s="9"/>
      <c r="C429" s="9">
        <v>23722</v>
      </c>
      <c r="D429" s="9" t="s">
        <v>601</v>
      </c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 spans="1:28" hidden="1" x14ac:dyDescent="0.35">
      <c r="A430" s="9"/>
      <c r="B430" s="9"/>
      <c r="C430" s="9">
        <v>23729</v>
      </c>
      <c r="D430" s="9" t="s">
        <v>602</v>
      </c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 spans="1:28" hidden="1" x14ac:dyDescent="0.35">
      <c r="A431" s="9"/>
      <c r="B431" s="9"/>
      <c r="C431" s="9">
        <v>23743</v>
      </c>
      <c r="D431" s="9" t="s">
        <v>603</v>
      </c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 spans="1:28" hidden="1" x14ac:dyDescent="0.35">
      <c r="A432" s="9"/>
      <c r="B432" s="9"/>
      <c r="C432" s="9">
        <v>23744</v>
      </c>
      <c r="D432" s="9" t="s">
        <v>604</v>
      </c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 spans="1:28" hidden="1" x14ac:dyDescent="0.35">
      <c r="A433" s="9"/>
      <c r="B433" s="9"/>
      <c r="C433" s="9">
        <v>23754</v>
      </c>
      <c r="D433" s="9" t="s">
        <v>605</v>
      </c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 spans="1:28" hidden="1" x14ac:dyDescent="0.35">
      <c r="A434" s="9"/>
      <c r="B434" s="9"/>
      <c r="C434" s="9">
        <v>23756</v>
      </c>
      <c r="D434" s="9" t="s">
        <v>606</v>
      </c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 spans="1:28" hidden="1" x14ac:dyDescent="0.35">
      <c r="A435" s="9"/>
      <c r="B435" s="9"/>
      <c r="C435" s="9">
        <v>23757</v>
      </c>
      <c r="D435" s="9" t="s">
        <v>607</v>
      </c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 spans="1:28" hidden="1" x14ac:dyDescent="0.35">
      <c r="A436" s="9"/>
      <c r="B436" s="9"/>
      <c r="C436" s="9">
        <v>23758</v>
      </c>
      <c r="D436" s="9" t="s">
        <v>608</v>
      </c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 spans="1:28" hidden="1" x14ac:dyDescent="0.35">
      <c r="A437" s="9"/>
      <c r="B437" s="9"/>
      <c r="C437" s="9">
        <v>23759</v>
      </c>
      <c r="D437" s="9" t="s">
        <v>609</v>
      </c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 spans="1:28" hidden="1" x14ac:dyDescent="0.35">
      <c r="A438" s="9"/>
      <c r="B438" s="9"/>
      <c r="C438" s="9">
        <v>23760</v>
      </c>
      <c r="D438" s="9" t="s">
        <v>610</v>
      </c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 spans="1:28" hidden="1" x14ac:dyDescent="0.35">
      <c r="A439" s="9"/>
      <c r="B439" s="9"/>
      <c r="C439" s="9">
        <v>23765</v>
      </c>
      <c r="D439" s="9" t="s">
        <v>611</v>
      </c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 spans="1:28" hidden="1" x14ac:dyDescent="0.35">
      <c r="A440" s="9"/>
      <c r="B440" s="9"/>
      <c r="C440" s="9">
        <v>23766</v>
      </c>
      <c r="D440" s="9" t="s">
        <v>612</v>
      </c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 spans="1:28" hidden="1" x14ac:dyDescent="0.35">
      <c r="A441" s="9"/>
      <c r="B441" s="9"/>
      <c r="C441" s="9">
        <v>23767</v>
      </c>
      <c r="D441" s="9" t="s">
        <v>613</v>
      </c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 spans="1:28" hidden="1" x14ac:dyDescent="0.35">
      <c r="A442" s="9"/>
      <c r="B442" s="9"/>
      <c r="C442" s="9">
        <v>23768</v>
      </c>
      <c r="D442" s="9" t="s">
        <v>614</v>
      </c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 spans="1:28" hidden="1" x14ac:dyDescent="0.35">
      <c r="A443" s="9"/>
      <c r="B443" s="9"/>
      <c r="C443" s="9">
        <v>23769</v>
      </c>
      <c r="D443" s="9" t="s">
        <v>615</v>
      </c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 spans="1:28" hidden="1" x14ac:dyDescent="0.35">
      <c r="A444" s="9"/>
      <c r="B444" s="9"/>
      <c r="C444" s="9">
        <v>23770</v>
      </c>
      <c r="D444" s="9" t="s">
        <v>616</v>
      </c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 spans="1:28" hidden="1" x14ac:dyDescent="0.35">
      <c r="A445" s="9"/>
      <c r="B445" s="9"/>
      <c r="C445" s="9">
        <v>23776</v>
      </c>
      <c r="D445" s="9" t="s">
        <v>617</v>
      </c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 spans="1:28" hidden="1" x14ac:dyDescent="0.35">
      <c r="A446" s="9"/>
      <c r="B446" s="9"/>
      <c r="C446" s="9">
        <v>23777</v>
      </c>
      <c r="D446" s="9" t="s">
        <v>618</v>
      </c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 spans="1:28" hidden="1" x14ac:dyDescent="0.35">
      <c r="A447" s="9"/>
      <c r="B447" s="9"/>
      <c r="C447" s="9">
        <v>23778</v>
      </c>
      <c r="D447" s="9" t="s">
        <v>619</v>
      </c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 spans="1:28" hidden="1" x14ac:dyDescent="0.35">
      <c r="A448" s="9"/>
      <c r="B448" s="9"/>
      <c r="C448" s="9">
        <v>23779</v>
      </c>
      <c r="D448" s="9" t="s">
        <v>620</v>
      </c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 spans="1:28" hidden="1" x14ac:dyDescent="0.35">
      <c r="A449" s="9"/>
      <c r="B449" s="9"/>
      <c r="C449" s="9">
        <v>23780</v>
      </c>
      <c r="D449" s="9" t="s">
        <v>621</v>
      </c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 spans="1:28" hidden="1" x14ac:dyDescent="0.35">
      <c r="A450" s="9"/>
      <c r="B450" s="9"/>
      <c r="C450" s="9">
        <v>23780</v>
      </c>
      <c r="D450" s="9" t="s">
        <v>622</v>
      </c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 spans="1:28" hidden="1" x14ac:dyDescent="0.35">
      <c r="A451" s="9"/>
      <c r="B451" s="9"/>
      <c r="C451" s="9">
        <v>23781</v>
      </c>
      <c r="D451" s="9" t="s">
        <v>623</v>
      </c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 spans="1:28" hidden="1" x14ac:dyDescent="0.35">
      <c r="A452" s="9"/>
      <c r="B452" s="9"/>
      <c r="C452" s="9">
        <v>23783</v>
      </c>
      <c r="D452" s="9" t="s">
        <v>624</v>
      </c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 spans="1:28" hidden="1" x14ac:dyDescent="0.35">
      <c r="A453" s="9"/>
      <c r="B453" s="9"/>
      <c r="C453" s="9">
        <v>23786</v>
      </c>
      <c r="D453" s="9" t="s">
        <v>625</v>
      </c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 spans="1:28" hidden="1" x14ac:dyDescent="0.35">
      <c r="A454" s="9"/>
      <c r="B454" s="9"/>
      <c r="C454" s="9">
        <v>23790</v>
      </c>
      <c r="D454" s="9" t="s">
        <v>626</v>
      </c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 spans="1:28" hidden="1" x14ac:dyDescent="0.35">
      <c r="A455" s="9"/>
      <c r="B455" s="9"/>
      <c r="C455" s="9">
        <v>23791</v>
      </c>
      <c r="D455" s="9" t="s">
        <v>627</v>
      </c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 spans="1:28" hidden="1" x14ac:dyDescent="0.35">
      <c r="A456" s="9"/>
      <c r="B456" s="9"/>
      <c r="C456" s="9">
        <v>23792</v>
      </c>
      <c r="D456" s="9" t="s">
        <v>628</v>
      </c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 spans="1:28" hidden="1" x14ac:dyDescent="0.35">
      <c r="A457" s="9"/>
      <c r="B457" s="9"/>
      <c r="C457" s="9">
        <v>23793</v>
      </c>
      <c r="D457" s="9" t="s">
        <v>629</v>
      </c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 spans="1:28" hidden="1" x14ac:dyDescent="0.35">
      <c r="A458" s="9"/>
      <c r="B458" s="9"/>
      <c r="C458" s="9">
        <v>23794</v>
      </c>
      <c r="D458" s="9" t="s">
        <v>630</v>
      </c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 spans="1:28" hidden="1" x14ac:dyDescent="0.35">
      <c r="A459" s="9"/>
      <c r="B459" s="9"/>
      <c r="C459" s="9">
        <v>23796</v>
      </c>
      <c r="D459" s="9" t="s">
        <v>631</v>
      </c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 spans="1:28" hidden="1" x14ac:dyDescent="0.35">
      <c r="A460" s="9"/>
      <c r="B460" s="9"/>
      <c r="C460" s="9">
        <v>23797</v>
      </c>
      <c r="D460" s="9" t="s">
        <v>632</v>
      </c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 spans="1:28" hidden="1" x14ac:dyDescent="0.35">
      <c r="A461" s="9"/>
      <c r="B461" s="9"/>
      <c r="C461" s="9">
        <v>23798</v>
      </c>
      <c r="D461" s="9" t="s">
        <v>633</v>
      </c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 spans="1:28" hidden="1" x14ac:dyDescent="0.35">
      <c r="A462" s="9"/>
      <c r="B462" s="9"/>
      <c r="C462" s="9">
        <v>23799</v>
      </c>
      <c r="D462" s="9" t="s">
        <v>634</v>
      </c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 spans="1:28" hidden="1" x14ac:dyDescent="0.35">
      <c r="A463" s="9"/>
      <c r="B463" s="9"/>
      <c r="C463" s="9">
        <v>23800</v>
      </c>
      <c r="D463" s="9" t="s">
        <v>635</v>
      </c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 spans="1:28" hidden="1" x14ac:dyDescent="0.35">
      <c r="A464" s="9"/>
      <c r="B464" s="9"/>
      <c r="C464" s="9">
        <v>23801</v>
      </c>
      <c r="D464" s="9" t="s">
        <v>636</v>
      </c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 spans="1:28" hidden="1" x14ac:dyDescent="0.35">
      <c r="A465" s="9"/>
      <c r="B465" s="9"/>
      <c r="C465" s="9">
        <v>23802</v>
      </c>
      <c r="D465" s="9" t="s">
        <v>637</v>
      </c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 spans="1:28" hidden="1" x14ac:dyDescent="0.35">
      <c r="A466" s="9"/>
      <c r="B466" s="9"/>
      <c r="C466" s="9">
        <v>23803</v>
      </c>
      <c r="D466" s="9" t="s">
        <v>638</v>
      </c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 spans="1:28" hidden="1" x14ac:dyDescent="0.35">
      <c r="A467" s="9"/>
      <c r="B467" s="9"/>
      <c r="C467" s="9">
        <v>23805</v>
      </c>
      <c r="D467" s="9" t="s">
        <v>639</v>
      </c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 spans="1:28" hidden="1" x14ac:dyDescent="0.35">
      <c r="A468" s="9"/>
      <c r="B468" s="9"/>
      <c r="C468" s="9">
        <v>23807</v>
      </c>
      <c r="D468" s="9" t="s">
        <v>640</v>
      </c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 spans="1:28" hidden="1" x14ac:dyDescent="0.35">
      <c r="A469" s="9"/>
      <c r="B469" s="9"/>
      <c r="C469" s="9">
        <v>23808</v>
      </c>
      <c r="D469" s="9" t="s">
        <v>641</v>
      </c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 spans="1:28" hidden="1" x14ac:dyDescent="0.35">
      <c r="A470" s="9"/>
      <c r="B470" s="9"/>
      <c r="C470" s="9">
        <v>23810</v>
      </c>
      <c r="D470" s="9" t="s">
        <v>642</v>
      </c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 spans="1:28" hidden="1" x14ac:dyDescent="0.35">
      <c r="A471" s="9"/>
      <c r="B471" s="9"/>
      <c r="C471" s="9">
        <v>23811</v>
      </c>
      <c r="D471" s="9" t="s">
        <v>643</v>
      </c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 spans="1:28" hidden="1" x14ac:dyDescent="0.35">
      <c r="A472" s="9"/>
      <c r="B472" s="9"/>
      <c r="C472" s="9">
        <v>23856</v>
      </c>
      <c r="D472" s="9" t="s">
        <v>644</v>
      </c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 spans="1:28" hidden="1" x14ac:dyDescent="0.35">
      <c r="A473" s="9"/>
      <c r="B473" s="9"/>
      <c r="C473" s="9">
        <v>23857</v>
      </c>
      <c r="D473" s="9" t="s">
        <v>645</v>
      </c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 spans="1:28" hidden="1" x14ac:dyDescent="0.35">
      <c r="A474" s="9"/>
      <c r="B474" s="9"/>
      <c r="C474" s="9">
        <v>23858</v>
      </c>
      <c r="D474" s="9" t="s">
        <v>646</v>
      </c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 spans="1:28" hidden="1" x14ac:dyDescent="0.35">
      <c r="A475" s="9"/>
      <c r="B475" s="9"/>
      <c r="C475" s="9">
        <v>23895</v>
      </c>
      <c r="D475" s="9" t="s">
        <v>647</v>
      </c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 spans="1:28" hidden="1" x14ac:dyDescent="0.35">
      <c r="A476" s="9"/>
      <c r="B476" s="9"/>
      <c r="C476" s="9">
        <v>23900</v>
      </c>
      <c r="D476" s="9" t="s">
        <v>648</v>
      </c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 spans="1:28" hidden="1" x14ac:dyDescent="0.35">
      <c r="A477" s="9"/>
      <c r="B477" s="9"/>
      <c r="C477" s="9">
        <v>23901</v>
      </c>
      <c r="D477" s="9" t="s">
        <v>649</v>
      </c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 spans="1:28" hidden="1" x14ac:dyDescent="0.35">
      <c r="A478" s="9"/>
      <c r="B478" s="9"/>
      <c r="C478" s="9">
        <v>23902</v>
      </c>
      <c r="D478" s="9" t="s">
        <v>650</v>
      </c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 spans="1:28" hidden="1" x14ac:dyDescent="0.35">
      <c r="A479" s="9"/>
      <c r="B479" s="9"/>
      <c r="C479" s="9">
        <v>23903</v>
      </c>
      <c r="D479" s="9" t="s">
        <v>651</v>
      </c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 spans="1:28" hidden="1" x14ac:dyDescent="0.35">
      <c r="A480" s="9"/>
      <c r="B480" s="9"/>
      <c r="C480" s="9">
        <v>23913</v>
      </c>
      <c r="D480" s="9" t="s">
        <v>652</v>
      </c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 spans="1:28" hidden="1" x14ac:dyDescent="0.35">
      <c r="A481" s="9"/>
      <c r="B481" s="9"/>
      <c r="C481" s="9">
        <v>23914</v>
      </c>
      <c r="D481" s="9" t="s">
        <v>653</v>
      </c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 spans="1:28" hidden="1" x14ac:dyDescent="0.35">
      <c r="A482" s="9"/>
      <c r="B482" s="9"/>
      <c r="C482" s="9">
        <v>23915</v>
      </c>
      <c r="D482" s="9" t="s">
        <v>654</v>
      </c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 spans="1:28" hidden="1" x14ac:dyDescent="0.35">
      <c r="A483" s="9"/>
      <c r="B483" s="9"/>
      <c r="C483" s="9">
        <v>23982</v>
      </c>
      <c r="D483" s="9" t="s">
        <v>655</v>
      </c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 spans="1:28" hidden="1" x14ac:dyDescent="0.35">
      <c r="A484" s="9"/>
      <c r="B484" s="9"/>
      <c r="C484" s="9">
        <v>23983</v>
      </c>
      <c r="D484" s="9" t="s">
        <v>656</v>
      </c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 spans="1:28" hidden="1" x14ac:dyDescent="0.35">
      <c r="A485" s="9"/>
      <c r="B485" s="9"/>
      <c r="C485" s="9">
        <v>23985</v>
      </c>
      <c r="D485" s="9" t="s">
        <v>657</v>
      </c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 spans="1:28" hidden="1" x14ac:dyDescent="0.35">
      <c r="A486" s="9"/>
      <c r="B486" s="9"/>
      <c r="C486" s="9">
        <v>23986</v>
      </c>
      <c r="D486" s="9" t="s">
        <v>658</v>
      </c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 spans="1:28" hidden="1" x14ac:dyDescent="0.35">
      <c r="A487" s="9"/>
      <c r="B487" s="9"/>
      <c r="C487" s="9">
        <v>23987</v>
      </c>
      <c r="D487" s="9" t="s">
        <v>659</v>
      </c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 spans="1:28" hidden="1" x14ac:dyDescent="0.35">
      <c r="A488" s="9"/>
      <c r="B488" s="9"/>
      <c r="C488" s="9">
        <v>23988</v>
      </c>
      <c r="D488" s="9" t="s">
        <v>660</v>
      </c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 spans="1:28" hidden="1" x14ac:dyDescent="0.35">
      <c r="A489" s="9"/>
      <c r="B489" s="9"/>
      <c r="C489" s="9">
        <v>23990</v>
      </c>
      <c r="D489" s="9" t="s">
        <v>661</v>
      </c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 spans="1:28" hidden="1" x14ac:dyDescent="0.35">
      <c r="A490" s="9"/>
      <c r="B490" s="9"/>
      <c r="C490" s="9">
        <v>24000</v>
      </c>
      <c r="D490" s="9" t="s">
        <v>662</v>
      </c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 spans="1:28" hidden="1" x14ac:dyDescent="0.35">
      <c r="A491" s="9"/>
      <c r="B491" s="9"/>
      <c r="C491" s="9">
        <v>24008</v>
      </c>
      <c r="D491" s="9" t="s">
        <v>663</v>
      </c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 spans="1:28" hidden="1" x14ac:dyDescent="0.35">
      <c r="A492" s="9"/>
      <c r="B492" s="9"/>
      <c r="C492" s="9">
        <v>24010</v>
      </c>
      <c r="D492" s="9" t="s">
        <v>664</v>
      </c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 spans="1:28" hidden="1" x14ac:dyDescent="0.35">
      <c r="A493" s="9"/>
      <c r="B493" s="9"/>
      <c r="C493" s="9">
        <v>24011</v>
      </c>
      <c r="D493" s="9" t="s">
        <v>665</v>
      </c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 spans="1:28" hidden="1" x14ac:dyDescent="0.35">
      <c r="A494" s="9"/>
      <c r="B494" s="9"/>
      <c r="C494" s="9">
        <v>24013</v>
      </c>
      <c r="D494" s="9" t="s">
        <v>666</v>
      </c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 spans="1:28" hidden="1" x14ac:dyDescent="0.35">
      <c r="A495" s="9"/>
      <c r="B495" s="9"/>
      <c r="C495" s="9">
        <v>24014</v>
      </c>
      <c r="D495" s="9" t="s">
        <v>667</v>
      </c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 spans="1:28" hidden="1" x14ac:dyDescent="0.35">
      <c r="A496" s="9"/>
      <c r="B496" s="9"/>
      <c r="C496" s="9">
        <v>24015</v>
      </c>
      <c r="D496" s="9" t="s">
        <v>668</v>
      </c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 spans="1:28" hidden="1" x14ac:dyDescent="0.35">
      <c r="A497" s="9"/>
      <c r="B497" s="9"/>
      <c r="C497" s="9">
        <v>24016</v>
      </c>
      <c r="D497" s="9" t="s">
        <v>669</v>
      </c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 spans="1:28" hidden="1" x14ac:dyDescent="0.35">
      <c r="A498" s="9"/>
      <c r="B498" s="9"/>
      <c r="C498" s="9">
        <v>24017</v>
      </c>
      <c r="D498" s="9" t="s">
        <v>670</v>
      </c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 spans="1:28" hidden="1" x14ac:dyDescent="0.35">
      <c r="A499" s="9"/>
      <c r="B499" s="9"/>
      <c r="C499" s="9">
        <v>24018</v>
      </c>
      <c r="D499" s="9" t="s">
        <v>671</v>
      </c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 spans="1:28" hidden="1" x14ac:dyDescent="0.35">
      <c r="A500" s="9"/>
      <c r="B500" s="9"/>
      <c r="C500" s="9">
        <v>24019</v>
      </c>
      <c r="D500" s="9" t="s">
        <v>672</v>
      </c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 spans="1:28" hidden="1" x14ac:dyDescent="0.35">
      <c r="A501" s="9"/>
      <c r="B501" s="9"/>
      <c r="C501" s="9">
        <v>24020</v>
      </c>
      <c r="D501" s="9" t="s">
        <v>673</v>
      </c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 spans="1:28" hidden="1" x14ac:dyDescent="0.35">
      <c r="A502" s="9"/>
      <c r="B502" s="9"/>
      <c r="C502" s="9">
        <v>24021</v>
      </c>
      <c r="D502" s="9" t="s">
        <v>674</v>
      </c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 spans="1:28" hidden="1" x14ac:dyDescent="0.35">
      <c r="A503" s="9"/>
      <c r="B503" s="9"/>
      <c r="C503" s="9">
        <v>24023</v>
      </c>
      <c r="D503" s="9" t="s">
        <v>675</v>
      </c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 spans="1:28" hidden="1" x14ac:dyDescent="0.35">
      <c r="A504" s="9"/>
      <c r="B504" s="9"/>
      <c r="C504" s="9">
        <v>24024</v>
      </c>
      <c r="D504" s="9" t="s">
        <v>676</v>
      </c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 spans="1:28" hidden="1" x14ac:dyDescent="0.35">
      <c r="A505" s="9"/>
      <c r="B505" s="9"/>
      <c r="C505" s="9">
        <v>24026</v>
      </c>
      <c r="D505" s="9" t="s">
        <v>677</v>
      </c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 spans="1:28" hidden="1" x14ac:dyDescent="0.35">
      <c r="A506" s="9"/>
      <c r="B506" s="9"/>
      <c r="C506" s="9">
        <v>24028</v>
      </c>
      <c r="D506" s="9" t="s">
        <v>678</v>
      </c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 spans="1:28" hidden="1" x14ac:dyDescent="0.35">
      <c r="A507" s="9"/>
      <c r="B507" s="9"/>
      <c r="C507" s="9">
        <v>24039</v>
      </c>
      <c r="D507" s="9" t="s">
        <v>679</v>
      </c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 spans="1:28" hidden="1" x14ac:dyDescent="0.35">
      <c r="A508" s="9"/>
      <c r="B508" s="9"/>
      <c r="C508" s="9">
        <v>24041</v>
      </c>
      <c r="D508" s="9" t="s">
        <v>680</v>
      </c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 spans="1:28" hidden="1" x14ac:dyDescent="0.35">
      <c r="A509" s="9"/>
      <c r="B509" s="9"/>
      <c r="C509" s="9">
        <v>24042</v>
      </c>
      <c r="D509" s="9" t="s">
        <v>681</v>
      </c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 spans="1:28" hidden="1" x14ac:dyDescent="0.35">
      <c r="A510" s="9"/>
      <c r="B510" s="9"/>
      <c r="C510" s="9">
        <v>24043</v>
      </c>
      <c r="D510" s="9" t="s">
        <v>682</v>
      </c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 spans="1:28" hidden="1" x14ac:dyDescent="0.35">
      <c r="A511" s="9"/>
      <c r="B511" s="9"/>
      <c r="C511" s="9">
        <v>24044</v>
      </c>
      <c r="D511" s="9" t="s">
        <v>683</v>
      </c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 spans="1:28" hidden="1" x14ac:dyDescent="0.35">
      <c r="A512" s="9"/>
      <c r="B512" s="9"/>
      <c r="C512" s="9">
        <v>24046</v>
      </c>
      <c r="D512" s="9" t="s">
        <v>684</v>
      </c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 spans="1:28" hidden="1" x14ac:dyDescent="0.35">
      <c r="A513" s="9"/>
      <c r="B513" s="9"/>
      <c r="C513" s="9">
        <v>24047</v>
      </c>
      <c r="D513" s="9" t="s">
        <v>685</v>
      </c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 spans="1:28" hidden="1" x14ac:dyDescent="0.35">
      <c r="A514" s="9"/>
      <c r="B514" s="9"/>
      <c r="C514" s="9">
        <v>24048</v>
      </c>
      <c r="D514" s="9" t="s">
        <v>686</v>
      </c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 spans="1:28" hidden="1" x14ac:dyDescent="0.35">
      <c r="A515" s="9"/>
      <c r="B515" s="9"/>
      <c r="C515" s="9">
        <v>24049</v>
      </c>
      <c r="D515" s="9" t="s">
        <v>687</v>
      </c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 spans="1:28" hidden="1" x14ac:dyDescent="0.35">
      <c r="A516" s="9"/>
      <c r="B516" s="9"/>
      <c r="C516" s="9">
        <v>24050</v>
      </c>
      <c r="D516" s="9" t="s">
        <v>688</v>
      </c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 spans="1:28" hidden="1" x14ac:dyDescent="0.35">
      <c r="A517" s="9"/>
      <c r="B517" s="9"/>
      <c r="C517" s="9">
        <v>24051</v>
      </c>
      <c r="D517" s="9" t="s">
        <v>689</v>
      </c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 spans="1:28" hidden="1" x14ac:dyDescent="0.35">
      <c r="A518" s="9"/>
      <c r="B518" s="9"/>
      <c r="C518" s="9">
        <v>24053</v>
      </c>
      <c r="D518" s="9" t="s">
        <v>690</v>
      </c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 spans="1:28" hidden="1" x14ac:dyDescent="0.35">
      <c r="A519" s="9"/>
      <c r="B519" s="9"/>
      <c r="C519" s="9">
        <v>24054</v>
      </c>
      <c r="D519" s="9" t="s">
        <v>691</v>
      </c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 spans="1:28" hidden="1" x14ac:dyDescent="0.35">
      <c r="A520" s="9"/>
      <c r="B520" s="9"/>
      <c r="C520" s="9">
        <v>24056</v>
      </c>
      <c r="D520" s="9" t="s">
        <v>692</v>
      </c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 spans="1:28" hidden="1" x14ac:dyDescent="0.35">
      <c r="A521" s="9"/>
      <c r="B521" s="9"/>
      <c r="C521" s="9">
        <v>24057</v>
      </c>
      <c r="D521" s="9" t="s">
        <v>693</v>
      </c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 spans="1:28" hidden="1" x14ac:dyDescent="0.35">
      <c r="A522" s="9"/>
      <c r="B522" s="9"/>
      <c r="C522" s="9">
        <v>24058</v>
      </c>
      <c r="D522" s="9" t="s">
        <v>694</v>
      </c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 spans="1:28" hidden="1" x14ac:dyDescent="0.35">
      <c r="A523" s="9"/>
      <c r="B523" s="9"/>
      <c r="C523" s="9">
        <v>24059</v>
      </c>
      <c r="D523" s="9" t="s">
        <v>695</v>
      </c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 spans="1:28" hidden="1" x14ac:dyDescent="0.35">
      <c r="A524" s="9"/>
      <c r="B524" s="9"/>
      <c r="C524" s="9">
        <v>24060</v>
      </c>
      <c r="D524" s="9" t="s">
        <v>696</v>
      </c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 spans="1:28" hidden="1" x14ac:dyDescent="0.35">
      <c r="A525" s="9"/>
      <c r="B525" s="9"/>
      <c r="C525" s="9">
        <v>24062</v>
      </c>
      <c r="D525" s="9" t="s">
        <v>697</v>
      </c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 spans="1:28" hidden="1" x14ac:dyDescent="0.35">
      <c r="A526" s="9"/>
      <c r="B526" s="9"/>
      <c r="C526" s="9">
        <v>24063</v>
      </c>
      <c r="D526" s="9" t="s">
        <v>698</v>
      </c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 spans="1:28" hidden="1" x14ac:dyDescent="0.35">
      <c r="A527" s="9"/>
      <c r="B527" s="9"/>
      <c r="C527" s="9">
        <v>24065</v>
      </c>
      <c r="D527" s="9" t="s">
        <v>699</v>
      </c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 spans="1:28" hidden="1" x14ac:dyDescent="0.35">
      <c r="A528" s="9"/>
      <c r="B528" s="9"/>
      <c r="C528" s="9">
        <v>24077</v>
      </c>
      <c r="D528" s="9" t="s">
        <v>700</v>
      </c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 spans="1:28" hidden="1" x14ac:dyDescent="0.35">
      <c r="A529" s="9"/>
      <c r="B529" s="9"/>
      <c r="C529" s="9">
        <v>24078</v>
      </c>
      <c r="D529" s="9" t="s">
        <v>701</v>
      </c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 spans="1:28" hidden="1" x14ac:dyDescent="0.35">
      <c r="A530" s="9"/>
      <c r="B530" s="9"/>
      <c r="C530" s="9">
        <v>24079</v>
      </c>
      <c r="D530" s="9" t="s">
        <v>702</v>
      </c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 spans="1:28" hidden="1" x14ac:dyDescent="0.35">
      <c r="A531" s="9"/>
      <c r="B531" s="9"/>
      <c r="C531" s="9">
        <v>24080</v>
      </c>
      <c r="D531" s="9" t="s">
        <v>703</v>
      </c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 spans="1:28" hidden="1" x14ac:dyDescent="0.35">
      <c r="A532" s="9"/>
      <c r="B532" s="9"/>
      <c r="C532" s="9">
        <v>24084</v>
      </c>
      <c r="D532" s="9" t="s">
        <v>704</v>
      </c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 spans="1:28" hidden="1" x14ac:dyDescent="0.35">
      <c r="A533" s="9"/>
      <c r="B533" s="9"/>
      <c r="C533" s="9">
        <v>24094</v>
      </c>
      <c r="D533" s="9" t="s">
        <v>705</v>
      </c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 spans="1:28" hidden="1" x14ac:dyDescent="0.35">
      <c r="A534" s="9"/>
      <c r="B534" s="9"/>
      <c r="C534" s="9">
        <v>24095</v>
      </c>
      <c r="D534" s="9" t="s">
        <v>706</v>
      </c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 spans="1:28" hidden="1" x14ac:dyDescent="0.35">
      <c r="A535" s="9"/>
      <c r="B535" s="9"/>
      <c r="C535" s="9">
        <v>24096</v>
      </c>
      <c r="D535" s="9" t="s">
        <v>707</v>
      </c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 spans="1:28" hidden="1" x14ac:dyDescent="0.35">
      <c r="A536" s="9"/>
      <c r="B536" s="9"/>
      <c r="C536" s="9">
        <v>24097</v>
      </c>
      <c r="D536" s="9" t="s">
        <v>708</v>
      </c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 spans="1:28" hidden="1" x14ac:dyDescent="0.35">
      <c r="A537" s="9"/>
      <c r="B537" s="9"/>
      <c r="C537" s="9">
        <v>24098</v>
      </c>
      <c r="D537" s="9" t="s">
        <v>709</v>
      </c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 spans="1:28" hidden="1" x14ac:dyDescent="0.35">
      <c r="A538" s="9"/>
      <c r="B538" s="9"/>
      <c r="C538" s="9">
        <v>24099</v>
      </c>
      <c r="D538" s="9" t="s">
        <v>710</v>
      </c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 spans="1:28" hidden="1" x14ac:dyDescent="0.35">
      <c r="A539" s="9"/>
      <c r="B539" s="9"/>
      <c r="C539" s="9">
        <v>24100</v>
      </c>
      <c r="D539" s="9" t="s">
        <v>711</v>
      </c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 spans="1:28" hidden="1" x14ac:dyDescent="0.35">
      <c r="A540" s="9"/>
      <c r="B540" s="9"/>
      <c r="C540" s="9">
        <v>24101</v>
      </c>
      <c r="D540" s="9" t="s">
        <v>712</v>
      </c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 spans="1:28" hidden="1" x14ac:dyDescent="0.35">
      <c r="A541" s="9"/>
      <c r="B541" s="9"/>
      <c r="C541" s="9">
        <v>24102</v>
      </c>
      <c r="D541" s="9" t="s">
        <v>713</v>
      </c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 spans="1:28" hidden="1" x14ac:dyDescent="0.35">
      <c r="A542" s="9"/>
      <c r="B542" s="9"/>
      <c r="C542" s="9">
        <v>24103</v>
      </c>
      <c r="D542" s="9" t="s">
        <v>714</v>
      </c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 spans="1:28" hidden="1" x14ac:dyDescent="0.35">
      <c r="A543" s="9"/>
      <c r="B543" s="9"/>
      <c r="C543" s="9">
        <v>24104</v>
      </c>
      <c r="D543" s="9" t="s">
        <v>715</v>
      </c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 spans="1:28" hidden="1" x14ac:dyDescent="0.35">
      <c r="A544" s="9"/>
      <c r="B544" s="9"/>
      <c r="C544" s="9">
        <v>24105</v>
      </c>
      <c r="D544" s="9" t="s">
        <v>716</v>
      </c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 spans="1:28" hidden="1" x14ac:dyDescent="0.35">
      <c r="A545" s="9"/>
      <c r="B545" s="9"/>
      <c r="C545" s="9">
        <v>24106</v>
      </c>
      <c r="D545" s="9" t="s">
        <v>717</v>
      </c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 spans="1:28" hidden="1" x14ac:dyDescent="0.35">
      <c r="A546" s="9"/>
      <c r="B546" s="9"/>
      <c r="C546" s="9">
        <v>24107</v>
      </c>
      <c r="D546" s="9" t="s">
        <v>718</v>
      </c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 spans="1:28" hidden="1" x14ac:dyDescent="0.35">
      <c r="A547" s="9"/>
      <c r="B547" s="9"/>
      <c r="C547" s="9">
        <v>24108</v>
      </c>
      <c r="D547" s="9" t="s">
        <v>719</v>
      </c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 spans="1:28" hidden="1" x14ac:dyDescent="0.35">
      <c r="A548" s="9"/>
      <c r="B548" s="9"/>
      <c r="C548" s="9">
        <v>24109</v>
      </c>
      <c r="D548" s="9" t="s">
        <v>720</v>
      </c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 spans="1:28" hidden="1" x14ac:dyDescent="0.35">
      <c r="A549" s="9"/>
      <c r="B549" s="9"/>
      <c r="C549" s="9">
        <v>24110</v>
      </c>
      <c r="D549" s="9" t="s">
        <v>721</v>
      </c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 spans="1:28" hidden="1" x14ac:dyDescent="0.35">
      <c r="A550" s="9"/>
      <c r="B550" s="9"/>
      <c r="C550" s="9">
        <v>24111</v>
      </c>
      <c r="D550" s="9" t="s">
        <v>722</v>
      </c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 spans="1:28" hidden="1" x14ac:dyDescent="0.35">
      <c r="A551" s="9"/>
      <c r="B551" s="9"/>
      <c r="C551" s="9">
        <v>24112</v>
      </c>
      <c r="D551" s="9" t="s">
        <v>723</v>
      </c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 spans="1:28" hidden="1" x14ac:dyDescent="0.35">
      <c r="A552" s="9"/>
      <c r="B552" s="9"/>
      <c r="C552" s="9">
        <v>24113</v>
      </c>
      <c r="D552" s="9" t="s">
        <v>724</v>
      </c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 spans="1:28" hidden="1" x14ac:dyDescent="0.35">
      <c r="A553" s="9"/>
      <c r="B553" s="9"/>
      <c r="C553" s="9">
        <v>24114</v>
      </c>
      <c r="D553" s="9" t="s">
        <v>725</v>
      </c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 spans="1:28" hidden="1" x14ac:dyDescent="0.35">
      <c r="A554" s="9"/>
      <c r="B554" s="9"/>
      <c r="C554" s="9">
        <v>24115</v>
      </c>
      <c r="D554" s="9" t="s">
        <v>726</v>
      </c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 spans="1:28" hidden="1" x14ac:dyDescent="0.35">
      <c r="A555" s="9"/>
      <c r="B555" s="9"/>
      <c r="C555" s="9">
        <v>24116</v>
      </c>
      <c r="D555" s="9" t="s">
        <v>727</v>
      </c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 spans="1:28" hidden="1" x14ac:dyDescent="0.35">
      <c r="A556" s="9"/>
      <c r="B556" s="9"/>
      <c r="C556" s="9">
        <v>24117</v>
      </c>
      <c r="D556" s="9" t="s">
        <v>728</v>
      </c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 spans="1:28" hidden="1" x14ac:dyDescent="0.35">
      <c r="A557" s="9"/>
      <c r="B557" s="9"/>
      <c r="C557" s="9">
        <v>24118</v>
      </c>
      <c r="D557" s="9" t="s">
        <v>729</v>
      </c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 spans="1:28" hidden="1" x14ac:dyDescent="0.35">
      <c r="A558" s="9"/>
      <c r="B558" s="9"/>
      <c r="C558" s="9">
        <v>24119</v>
      </c>
      <c r="D558" s="9" t="s">
        <v>730</v>
      </c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 spans="1:28" hidden="1" x14ac:dyDescent="0.35">
      <c r="A559" s="9"/>
      <c r="B559" s="9"/>
      <c r="C559" s="9">
        <v>24120</v>
      </c>
      <c r="D559" s="9" t="s">
        <v>731</v>
      </c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 spans="1:28" hidden="1" x14ac:dyDescent="0.35">
      <c r="A560" s="9"/>
      <c r="B560" s="9"/>
      <c r="C560" s="9">
        <v>24121</v>
      </c>
      <c r="D560" s="9" t="s">
        <v>732</v>
      </c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 spans="1:28" hidden="1" x14ac:dyDescent="0.35">
      <c r="A561" s="9"/>
      <c r="B561" s="9"/>
      <c r="C561" s="9">
        <v>24122</v>
      </c>
      <c r="D561" s="9" t="s">
        <v>733</v>
      </c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 spans="1:28" hidden="1" x14ac:dyDescent="0.35">
      <c r="A562" s="9"/>
      <c r="B562" s="9"/>
      <c r="C562" s="9">
        <v>24123</v>
      </c>
      <c r="D562" s="9" t="s">
        <v>734</v>
      </c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 spans="1:28" hidden="1" x14ac:dyDescent="0.35">
      <c r="A563" s="9"/>
      <c r="B563" s="9"/>
      <c r="C563" s="9">
        <v>24124</v>
      </c>
      <c r="D563" s="9" t="s">
        <v>735</v>
      </c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 spans="1:28" hidden="1" x14ac:dyDescent="0.35">
      <c r="A564" s="9"/>
      <c r="B564" s="9"/>
      <c r="C564" s="9">
        <v>24125</v>
      </c>
      <c r="D564" s="9" t="s">
        <v>736</v>
      </c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 spans="1:28" hidden="1" x14ac:dyDescent="0.35">
      <c r="A565" s="9"/>
      <c r="B565" s="9"/>
      <c r="C565" s="9">
        <v>24126</v>
      </c>
      <c r="D565" s="9" t="s">
        <v>737</v>
      </c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 spans="1:28" hidden="1" x14ac:dyDescent="0.35">
      <c r="A566" s="9"/>
      <c r="B566" s="9"/>
      <c r="C566" s="9">
        <v>24127</v>
      </c>
      <c r="D566" s="9" t="s">
        <v>738</v>
      </c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 spans="1:28" hidden="1" x14ac:dyDescent="0.35">
      <c r="A567" s="9"/>
      <c r="B567" s="9"/>
      <c r="C567" s="9">
        <v>24128</v>
      </c>
      <c r="D567" s="9" t="s">
        <v>739</v>
      </c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 spans="1:28" hidden="1" x14ac:dyDescent="0.35">
      <c r="A568" s="9"/>
      <c r="B568" s="9"/>
      <c r="C568" s="9">
        <v>24129</v>
      </c>
      <c r="D568" s="9" t="s">
        <v>740</v>
      </c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 spans="1:28" hidden="1" x14ac:dyDescent="0.35">
      <c r="A569" s="9"/>
      <c r="B569" s="9"/>
      <c r="C569" s="9">
        <v>24130</v>
      </c>
      <c r="D569" s="9" t="s">
        <v>741</v>
      </c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 spans="1:28" hidden="1" x14ac:dyDescent="0.35">
      <c r="A570" s="9"/>
      <c r="B570" s="9"/>
      <c r="C570" s="9">
        <v>24131</v>
      </c>
      <c r="D570" s="9" t="s">
        <v>742</v>
      </c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 spans="1:28" hidden="1" x14ac:dyDescent="0.35">
      <c r="A571" s="9"/>
      <c r="B571" s="9"/>
      <c r="C571" s="9">
        <v>24132</v>
      </c>
      <c r="D571" s="9" t="s">
        <v>743</v>
      </c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 spans="1:28" hidden="1" x14ac:dyDescent="0.35">
      <c r="A572" s="9"/>
      <c r="B572" s="9"/>
      <c r="C572" s="9">
        <v>24133</v>
      </c>
      <c r="D572" s="9" t="s">
        <v>744</v>
      </c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 spans="1:28" hidden="1" x14ac:dyDescent="0.35">
      <c r="A573" s="9"/>
      <c r="B573" s="9"/>
      <c r="C573" s="9">
        <v>24134</v>
      </c>
      <c r="D573" s="9" t="s">
        <v>745</v>
      </c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 spans="1:28" hidden="1" x14ac:dyDescent="0.35">
      <c r="A574" s="9"/>
      <c r="B574" s="9"/>
      <c r="C574" s="9">
        <v>24135</v>
      </c>
      <c r="D574" s="9" t="s">
        <v>746</v>
      </c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 spans="1:28" hidden="1" x14ac:dyDescent="0.35">
      <c r="A575" s="9"/>
      <c r="B575" s="9"/>
      <c r="C575" s="9">
        <v>24136</v>
      </c>
      <c r="D575" s="9" t="s">
        <v>747</v>
      </c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 spans="1:28" hidden="1" x14ac:dyDescent="0.35">
      <c r="A576" s="9"/>
      <c r="B576" s="9"/>
      <c r="C576" s="9">
        <v>24137</v>
      </c>
      <c r="D576" s="9" t="s">
        <v>748</v>
      </c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 spans="1:28" hidden="1" x14ac:dyDescent="0.35">
      <c r="A577" s="9"/>
      <c r="B577" s="9"/>
      <c r="C577" s="9">
        <v>24138</v>
      </c>
      <c r="D577" s="9" t="s">
        <v>749</v>
      </c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 spans="1:28" hidden="1" x14ac:dyDescent="0.35">
      <c r="A578" s="9"/>
      <c r="B578" s="9"/>
      <c r="C578" s="9">
        <v>24139</v>
      </c>
      <c r="D578" s="9" t="s">
        <v>750</v>
      </c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 spans="1:28" hidden="1" x14ac:dyDescent="0.35">
      <c r="A579" s="9"/>
      <c r="B579" s="9"/>
      <c r="C579" s="9">
        <v>24147</v>
      </c>
      <c r="D579" s="9" t="s">
        <v>751</v>
      </c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 spans="1:28" hidden="1" x14ac:dyDescent="0.35">
      <c r="A580" s="9"/>
      <c r="B580" s="9"/>
      <c r="C580" s="9">
        <v>24167</v>
      </c>
      <c r="D580" s="9" t="s">
        <v>787</v>
      </c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 spans="1:28" hidden="1" x14ac:dyDescent="0.35">
      <c r="A581" s="9"/>
      <c r="B581" s="9"/>
      <c r="C581" s="9">
        <v>24225</v>
      </c>
      <c r="D581" s="9" t="s">
        <v>752</v>
      </c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 spans="1:28" hidden="1" x14ac:dyDescent="0.35">
      <c r="A582" s="9"/>
      <c r="B582" s="9"/>
      <c r="C582" s="9">
        <v>24226</v>
      </c>
      <c r="D582" s="9" t="s">
        <v>753</v>
      </c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 spans="1:28" hidden="1" x14ac:dyDescent="0.35">
      <c r="A583" s="9"/>
      <c r="B583" s="9"/>
      <c r="C583" s="9">
        <v>24227</v>
      </c>
      <c r="D583" s="9" t="s">
        <v>754</v>
      </c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 spans="1:28" hidden="1" x14ac:dyDescent="0.35">
      <c r="A584" s="9"/>
      <c r="B584" s="9"/>
      <c r="C584" s="9">
        <v>24228</v>
      </c>
      <c r="D584" s="9" t="s">
        <v>755</v>
      </c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 spans="1:28" hidden="1" x14ac:dyDescent="0.35">
      <c r="A585" s="9"/>
      <c r="B585" s="9"/>
      <c r="C585" s="9">
        <v>24229</v>
      </c>
      <c r="D585" s="9" t="s">
        <v>756</v>
      </c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 spans="1:28" hidden="1" x14ac:dyDescent="0.35">
      <c r="A586" s="9"/>
      <c r="B586" s="9"/>
      <c r="C586" s="9">
        <v>24230</v>
      </c>
      <c r="D586" s="9" t="s">
        <v>757</v>
      </c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 spans="1:28" hidden="1" x14ac:dyDescent="0.35">
      <c r="A587" s="9"/>
      <c r="B587" s="9"/>
      <c r="C587" s="9">
        <v>24231</v>
      </c>
      <c r="D587" s="9" t="s">
        <v>758</v>
      </c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 spans="1:28" hidden="1" x14ac:dyDescent="0.35">
      <c r="A588" s="9"/>
      <c r="B588" s="9"/>
      <c r="C588" s="9">
        <v>24232</v>
      </c>
      <c r="D588" s="9" t="s">
        <v>759</v>
      </c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 spans="1:28" hidden="1" x14ac:dyDescent="0.35">
      <c r="A589" s="9"/>
      <c r="B589" s="9"/>
      <c r="C589" s="9">
        <v>24233</v>
      </c>
      <c r="D589" s="9" t="s">
        <v>760</v>
      </c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 spans="1:28" hidden="1" x14ac:dyDescent="0.35">
      <c r="A590" s="9"/>
      <c r="B590" s="9"/>
      <c r="C590" s="9">
        <v>24234</v>
      </c>
      <c r="D590" s="9" t="s">
        <v>761</v>
      </c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 spans="1:28" hidden="1" x14ac:dyDescent="0.35">
      <c r="A591" s="9"/>
      <c r="B591" s="9"/>
      <c r="C591" s="9">
        <v>24235</v>
      </c>
      <c r="D591" s="9" t="s">
        <v>762</v>
      </c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 spans="1:28" hidden="1" x14ac:dyDescent="0.35">
      <c r="A592" s="9"/>
      <c r="B592" s="9"/>
      <c r="C592" s="9">
        <v>24236</v>
      </c>
      <c r="D592" s="9" t="s">
        <v>763</v>
      </c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 spans="1:28" hidden="1" x14ac:dyDescent="0.35">
      <c r="A593" s="9"/>
      <c r="B593" s="9"/>
      <c r="C593" s="9">
        <v>24237</v>
      </c>
      <c r="D593" s="9" t="s">
        <v>764</v>
      </c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 spans="1:28" hidden="1" x14ac:dyDescent="0.35">
      <c r="A594" s="9"/>
      <c r="B594" s="9"/>
      <c r="C594" s="9">
        <v>24238</v>
      </c>
      <c r="D594" s="9" t="s">
        <v>765</v>
      </c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 spans="1:28" hidden="1" x14ac:dyDescent="0.35">
      <c r="A595" s="9"/>
      <c r="B595" s="9"/>
      <c r="C595" s="9">
        <v>24239</v>
      </c>
      <c r="D595" s="9" t="s">
        <v>766</v>
      </c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 spans="1:28" hidden="1" x14ac:dyDescent="0.35">
      <c r="A596" s="9"/>
      <c r="B596" s="9"/>
      <c r="C596" s="9">
        <v>24240</v>
      </c>
      <c r="D596" s="9" t="s">
        <v>767</v>
      </c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 spans="1:28" hidden="1" x14ac:dyDescent="0.35">
      <c r="A597" s="9"/>
      <c r="B597" s="9"/>
      <c r="C597" s="9">
        <v>24241</v>
      </c>
      <c r="D597" s="9" t="s">
        <v>768</v>
      </c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 spans="1:28" hidden="1" x14ac:dyDescent="0.35">
      <c r="A598" s="9"/>
      <c r="B598" s="9"/>
      <c r="C598" s="9">
        <v>24242</v>
      </c>
      <c r="D598" s="9" t="s">
        <v>769</v>
      </c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 spans="1:28" hidden="1" x14ac:dyDescent="0.35">
      <c r="A599" s="9"/>
      <c r="B599" s="9"/>
      <c r="C599" s="9">
        <v>24243</v>
      </c>
      <c r="D599" s="9" t="s">
        <v>770</v>
      </c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 spans="1:28" hidden="1" x14ac:dyDescent="0.35">
      <c r="A600" s="9"/>
      <c r="B600" s="9"/>
      <c r="C600" s="9">
        <v>24244</v>
      </c>
      <c r="D600" s="9" t="s">
        <v>810</v>
      </c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 spans="1:28" hidden="1" x14ac:dyDescent="0.35">
      <c r="A601" s="9"/>
      <c r="B601" s="9"/>
      <c r="C601" s="9">
        <v>24245</v>
      </c>
      <c r="D601" s="9" t="s">
        <v>771</v>
      </c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 spans="1:28" hidden="1" x14ac:dyDescent="0.35">
      <c r="A602" s="9"/>
      <c r="B602" s="9"/>
      <c r="C602" s="9">
        <v>24246</v>
      </c>
      <c r="D602" s="9" t="s">
        <v>772</v>
      </c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 spans="1:28" hidden="1" x14ac:dyDescent="0.35">
      <c r="A603" s="9"/>
      <c r="B603" s="9"/>
      <c r="C603" s="9">
        <v>24247</v>
      </c>
      <c r="D603" s="9" t="s">
        <v>773</v>
      </c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 spans="1:28" hidden="1" x14ac:dyDescent="0.35">
      <c r="A604" s="9"/>
      <c r="B604" s="9"/>
      <c r="C604" s="9">
        <v>24248</v>
      </c>
      <c r="D604" s="9" t="s">
        <v>811</v>
      </c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 spans="1:28" hidden="1" x14ac:dyDescent="0.35">
      <c r="A605" s="9"/>
      <c r="B605" s="9"/>
      <c r="C605" s="9">
        <v>24249</v>
      </c>
      <c r="D605" s="9" t="s">
        <v>774</v>
      </c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 spans="1:28" hidden="1" x14ac:dyDescent="0.35">
      <c r="A606" s="9"/>
      <c r="B606" s="9"/>
      <c r="C606" s="9">
        <v>24250</v>
      </c>
      <c r="D606" s="9" t="s">
        <v>775</v>
      </c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 spans="1:28" hidden="1" x14ac:dyDescent="0.35">
      <c r="A607" s="9"/>
      <c r="B607" s="9"/>
      <c r="C607" s="9">
        <v>24251</v>
      </c>
      <c r="D607" s="9" t="s">
        <v>776</v>
      </c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 spans="1:28" hidden="1" x14ac:dyDescent="0.35">
      <c r="A608" s="9"/>
      <c r="B608" s="9"/>
      <c r="C608" s="9">
        <v>24252</v>
      </c>
      <c r="D608" s="9" t="s">
        <v>777</v>
      </c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 spans="1:28" hidden="1" x14ac:dyDescent="0.35">
      <c r="A609" s="9"/>
      <c r="B609" s="9"/>
      <c r="C609" s="9">
        <v>24253</v>
      </c>
      <c r="D609" s="9" t="s">
        <v>779</v>
      </c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 spans="1:28" hidden="1" x14ac:dyDescent="0.35">
      <c r="A610" s="9"/>
      <c r="B610" s="9"/>
      <c r="C610" s="9">
        <v>24254</v>
      </c>
      <c r="D610" s="9" t="s">
        <v>778</v>
      </c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 spans="1:28" hidden="1" x14ac:dyDescent="0.35">
      <c r="A611" s="9"/>
      <c r="B611" s="9"/>
      <c r="C611" s="9">
        <v>24255</v>
      </c>
      <c r="D611" s="9" t="s">
        <v>780</v>
      </c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 spans="1:28" hidden="1" x14ac:dyDescent="0.35">
      <c r="A612" s="9"/>
      <c r="B612" s="9"/>
      <c r="C612" s="9">
        <v>24256</v>
      </c>
      <c r="D612" s="9" t="s">
        <v>812</v>
      </c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 spans="1:28" hidden="1" x14ac:dyDescent="0.35">
      <c r="A613" s="9"/>
      <c r="B613" s="9"/>
      <c r="C613" s="9">
        <v>24257</v>
      </c>
      <c r="D613" s="9" t="s">
        <v>781</v>
      </c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 spans="1:28" hidden="1" x14ac:dyDescent="0.35">
      <c r="A614" s="9"/>
      <c r="B614" s="9"/>
      <c r="C614" s="9">
        <v>24258</v>
      </c>
      <c r="D614" s="9" t="s">
        <v>782</v>
      </c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 spans="1:28" hidden="1" x14ac:dyDescent="0.35">
      <c r="A615" s="9"/>
      <c r="B615" s="9"/>
      <c r="C615" s="9">
        <v>24259</v>
      </c>
      <c r="D615" s="9" t="s">
        <v>783</v>
      </c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 spans="1:28" hidden="1" x14ac:dyDescent="0.35">
      <c r="A616" s="9"/>
      <c r="B616" s="9"/>
      <c r="C616" s="9">
        <v>24260</v>
      </c>
      <c r="D616" s="9" t="s">
        <v>784</v>
      </c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 spans="1:28" hidden="1" x14ac:dyDescent="0.35">
      <c r="A617" s="9"/>
      <c r="B617" s="9"/>
      <c r="C617" s="9">
        <v>24261</v>
      </c>
      <c r="D617" s="9" t="s">
        <v>785</v>
      </c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 spans="1:28" hidden="1" x14ac:dyDescent="0.35">
      <c r="A618" s="9"/>
      <c r="B618" s="9"/>
      <c r="C618" s="9">
        <v>999999</v>
      </c>
      <c r="D618" s="9" t="s">
        <v>788</v>
      </c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 spans="1:28" hidden="1" x14ac:dyDescent="0.3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 spans="1:28" hidden="1" x14ac:dyDescent="0.3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 spans="1:28" hidden="1" x14ac:dyDescent="0.3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 spans="1:28" hidden="1" x14ac:dyDescent="0.3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 spans="1:28" hidden="1" x14ac:dyDescent="0.3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 spans="1:28" hidden="1" x14ac:dyDescent="0.3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 spans="1:28" hidden="1" x14ac:dyDescent="0.3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 spans="1:28" hidden="1" x14ac:dyDescent="0.3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 spans="1:28" hidden="1" x14ac:dyDescent="0.3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 spans="1:28" hidden="1" x14ac:dyDescent="0.3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 spans="1:28" hidden="1" x14ac:dyDescent="0.3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 spans="1:28" hidden="1" x14ac:dyDescent="0.3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 spans="1:28" hidden="1" x14ac:dyDescent="0.3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 spans="1:28" hidden="1" x14ac:dyDescent="0.3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 spans="1:28" hidden="1" x14ac:dyDescent="0.3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 spans="1:28" hidden="1" x14ac:dyDescent="0.3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 spans="1:28" hidden="1" x14ac:dyDescent="0.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 spans="1:28" hidden="1" x14ac:dyDescent="0.3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 spans="1:28" hidden="1" x14ac:dyDescent="0.3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 spans="1:28" hidden="1" x14ac:dyDescent="0.3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 spans="1:28" hidden="1" x14ac:dyDescent="0.3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 spans="1:28" hidden="1" x14ac:dyDescent="0.3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 spans="1:28" hidden="1" x14ac:dyDescent="0.3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 spans="1:28" hidden="1" x14ac:dyDescent="0.3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 spans="1:28" hidden="1" x14ac:dyDescent="0.3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 spans="1:28" hidden="1" x14ac:dyDescent="0.3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 spans="1:28" hidden="1" x14ac:dyDescent="0.3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 spans="1:28" hidden="1" x14ac:dyDescent="0.3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 spans="1:28" hidden="1" x14ac:dyDescent="0.3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 spans="1:28" hidden="1" x14ac:dyDescent="0.3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 spans="1:28" hidden="1" x14ac:dyDescent="0.3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 spans="1:28" hidden="1" x14ac:dyDescent="0.3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 spans="1:28" hidden="1" x14ac:dyDescent="0.3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 spans="1:28" hidden="1" x14ac:dyDescent="0.3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 spans="1:28" hidden="1" x14ac:dyDescent="0.3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 spans="1:28" hidden="1" x14ac:dyDescent="0.3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 spans="1:28" hidden="1" x14ac:dyDescent="0.3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 spans="1:28" hidden="1" x14ac:dyDescent="0.3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 spans="1:28" hidden="1" x14ac:dyDescent="0.3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 spans="1:28" hidden="1" x14ac:dyDescent="0.3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 spans="1:28" hidden="1" x14ac:dyDescent="0.3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 spans="1:28" hidden="1" x14ac:dyDescent="0.3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 spans="1:28" hidden="1" x14ac:dyDescent="0.3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 spans="1:28" hidden="1" x14ac:dyDescent="0.3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 spans="1:28" hidden="1" x14ac:dyDescent="0.3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 spans="1:28" hidden="1" x14ac:dyDescent="0.3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 spans="1:28" hidden="1" x14ac:dyDescent="0.3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 spans="1:28" hidden="1" x14ac:dyDescent="0.3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 spans="1:28" hidden="1" x14ac:dyDescent="0.3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 spans="1:28" hidden="1" x14ac:dyDescent="0.3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 spans="1:28" hidden="1" x14ac:dyDescent="0.3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 spans="1:28" hidden="1" x14ac:dyDescent="0.3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 spans="1:28" hidden="1" x14ac:dyDescent="0.3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 spans="1:28" hidden="1" x14ac:dyDescent="0.3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 spans="1:28" hidden="1" x14ac:dyDescent="0.3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 spans="1:28" hidden="1" x14ac:dyDescent="0.3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 spans="1:28" hidden="1" x14ac:dyDescent="0.3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 spans="1:28" hidden="1" x14ac:dyDescent="0.3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 spans="1:28" hidden="1" x14ac:dyDescent="0.3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 spans="1:28" hidden="1" x14ac:dyDescent="0.3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 spans="1:28" hidden="1" x14ac:dyDescent="0.3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 spans="1:28" hidden="1" x14ac:dyDescent="0.3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 spans="1:28" hidden="1" x14ac:dyDescent="0.3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 spans="1:28" hidden="1" x14ac:dyDescent="0.3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 spans="1:28" hidden="1" x14ac:dyDescent="0.3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 spans="1:28" hidden="1" x14ac:dyDescent="0.3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 spans="1:28" hidden="1" x14ac:dyDescent="0.3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 spans="1:28" hidden="1" x14ac:dyDescent="0.3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 spans="1:28" hidden="1" x14ac:dyDescent="0.3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 spans="1:28" hidden="1" x14ac:dyDescent="0.3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 spans="1:28" hidden="1" x14ac:dyDescent="0.3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 spans="1:28" hidden="1" x14ac:dyDescent="0.3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 spans="1:28" hidden="1" x14ac:dyDescent="0.3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 spans="1:28" hidden="1" x14ac:dyDescent="0.3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 spans="1:28" hidden="1" x14ac:dyDescent="0.3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 spans="1:28" hidden="1" x14ac:dyDescent="0.3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 spans="1:28" hidden="1" x14ac:dyDescent="0.3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 spans="1:28" hidden="1" x14ac:dyDescent="0.3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 spans="1:28" hidden="1" x14ac:dyDescent="0.3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 spans="1:28" hidden="1" x14ac:dyDescent="0.3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 spans="1:28" hidden="1" x14ac:dyDescent="0.3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 spans="1:28" hidden="1" x14ac:dyDescent="0.3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 spans="1:28" x14ac:dyDescent="0.3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 spans="1:28" x14ac:dyDescent="0.3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 spans="1:28" x14ac:dyDescent="0.3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 spans="1:28" x14ac:dyDescent="0.3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 spans="1:28" x14ac:dyDescent="0.3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 spans="1:28" x14ac:dyDescent="0.3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 spans="1:28" x14ac:dyDescent="0.3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 spans="1:28" x14ac:dyDescent="0.3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 spans="1:28" x14ac:dyDescent="0.3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 spans="1:28" x14ac:dyDescent="0.3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 spans="1:28" x14ac:dyDescent="0.3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 spans="1:28" x14ac:dyDescent="0.3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 spans="1:28" x14ac:dyDescent="0.3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 spans="1:28" x14ac:dyDescent="0.3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 spans="1:28" x14ac:dyDescent="0.3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 spans="1:28" x14ac:dyDescent="0.3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1201" hidden="1" x14ac:dyDescent="0.35"/>
    <row r="1202" hidden="1" x14ac:dyDescent="0.35"/>
    <row r="1203" hidden="1" x14ac:dyDescent="0.35"/>
    <row r="1204" hidden="1" x14ac:dyDescent="0.35"/>
    <row r="1205" hidden="1" x14ac:dyDescent="0.35"/>
    <row r="1206" hidden="1" x14ac:dyDescent="0.35"/>
    <row r="1207" hidden="1" x14ac:dyDescent="0.35"/>
    <row r="1208" hidden="1" x14ac:dyDescent="0.35"/>
    <row r="1209" hidden="1" x14ac:dyDescent="0.35"/>
    <row r="1210" hidden="1" x14ac:dyDescent="0.35"/>
    <row r="1211" hidden="1" x14ac:dyDescent="0.35"/>
    <row r="1212" hidden="1" x14ac:dyDescent="0.35"/>
    <row r="1213" hidden="1" x14ac:dyDescent="0.35"/>
    <row r="1214" hidden="1" x14ac:dyDescent="0.35"/>
    <row r="1215" hidden="1" x14ac:dyDescent="0.35"/>
    <row r="1216" hidden="1" x14ac:dyDescent="0.35"/>
    <row r="1217" hidden="1" x14ac:dyDescent="0.35"/>
    <row r="1218" hidden="1" x14ac:dyDescent="0.35"/>
    <row r="1219" hidden="1" x14ac:dyDescent="0.35"/>
    <row r="1220" hidden="1" x14ac:dyDescent="0.35"/>
    <row r="1221" hidden="1" x14ac:dyDescent="0.35"/>
    <row r="1222" hidden="1" x14ac:dyDescent="0.35"/>
    <row r="1223" hidden="1" x14ac:dyDescent="0.35"/>
    <row r="1224" hidden="1" x14ac:dyDescent="0.35"/>
    <row r="1225" hidden="1" x14ac:dyDescent="0.35"/>
    <row r="1226" hidden="1" x14ac:dyDescent="0.35"/>
    <row r="1227" hidden="1" x14ac:dyDescent="0.35"/>
    <row r="1228" hidden="1" x14ac:dyDescent="0.35"/>
    <row r="1229" hidden="1" x14ac:dyDescent="0.35"/>
    <row r="1230" hidden="1" x14ac:dyDescent="0.35"/>
    <row r="1231" hidden="1" x14ac:dyDescent="0.35"/>
    <row r="1232" hidden="1" x14ac:dyDescent="0.35"/>
    <row r="1233" hidden="1" x14ac:dyDescent="0.35"/>
    <row r="1234" hidden="1" x14ac:dyDescent="0.35"/>
    <row r="1235" hidden="1" x14ac:dyDescent="0.35"/>
    <row r="1236" hidden="1" x14ac:dyDescent="0.35"/>
    <row r="1237" hidden="1" x14ac:dyDescent="0.35"/>
    <row r="1238" hidden="1" x14ac:dyDescent="0.35"/>
    <row r="1239" hidden="1" x14ac:dyDescent="0.35"/>
    <row r="1240" hidden="1" x14ac:dyDescent="0.35"/>
    <row r="1241" hidden="1" x14ac:dyDescent="0.35"/>
    <row r="1242" hidden="1" x14ac:dyDescent="0.35"/>
    <row r="1243" hidden="1" x14ac:dyDescent="0.35"/>
    <row r="1244" hidden="1" x14ac:dyDescent="0.35"/>
    <row r="1245" hidden="1" x14ac:dyDescent="0.35"/>
    <row r="1246" hidden="1" x14ac:dyDescent="0.35"/>
    <row r="1247" hidden="1" x14ac:dyDescent="0.35"/>
    <row r="1248" hidden="1" x14ac:dyDescent="0.35"/>
    <row r="1249" hidden="1" x14ac:dyDescent="0.35"/>
    <row r="1250" hidden="1" x14ac:dyDescent="0.35"/>
    <row r="1251" hidden="1" x14ac:dyDescent="0.35"/>
  </sheetData>
  <mergeCells count="1">
    <mergeCell ref="F33:X41"/>
  </mergeCells>
  <phoneticPr fontId="26" type="noConversion"/>
  <dataValidations count="3">
    <dataValidation type="list" allowBlank="1" showInputMessage="1" showErrorMessage="1" errorTitle="Mitigated Units" error="NYC mitigated units must enter Y._x000a_All other units must enter N." sqref="C17:C24" xr:uid="{B06A6FE4-BAC1-4239-9CBF-56F45612BA51}">
      <formula1>$B$80:$B$81</formula1>
    </dataValidation>
    <dataValidation type="list" allowBlank="1" showInputMessage="1" showErrorMessage="1" errorTitle="Registrant Name" error="You have entered your Registrant Name incorrectly" sqref="E11" xr:uid="{D4520520-0C56-417B-8906-C3C01B80503F}">
      <formula1>$A$80:$A$300</formula1>
    </dataValidation>
    <dataValidation type="list" allowBlank="1" showInputMessage="1" showErrorMessage="1" errorTitle="PTID Number" error="Please enter the PTID number provided in the list." sqref="D17:D24" xr:uid="{62A3EA21-37A8-455E-B7A2-124E9595C442}">
      <formula1>$C$80:$C$700</formula1>
    </dataValidation>
  </dataValidations>
  <pageMargins left="0.75" right="0.75" top="1" bottom="1" header="0.5" footer="0.5"/>
  <pageSetup scale="65" orientation="landscape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7171" r:id="rId4" name="CommandButton3">
          <controlPr autoLine="0" r:id="rId5">
            <anchor moveWithCells="1">
              <from>
                <xdr:col>12</xdr:col>
                <xdr:colOff>400050</xdr:colOff>
                <xdr:row>9</xdr:row>
                <xdr:rowOff>119063</xdr:rowOff>
              </from>
              <to>
                <xdr:col>23</xdr:col>
                <xdr:colOff>190500</xdr:colOff>
                <xdr:row>11</xdr:row>
                <xdr:rowOff>80963</xdr:rowOff>
              </to>
            </anchor>
          </controlPr>
        </control>
      </mc:Choice>
      <mc:Fallback>
        <control shapeId="7171" r:id="rId4" name="CommandButton3"/>
      </mc:Fallback>
    </mc:AlternateContent>
    <mc:AlternateContent xmlns:mc="http://schemas.openxmlformats.org/markup-compatibility/2006">
      <mc:Choice Requires="x14">
        <control shapeId="7170" r:id="rId6" name="CommandButton2">
          <controlPr defaultSize="0" autoLine="0" r:id="rId7">
            <anchor moveWithCells="1">
              <from>
                <xdr:col>10</xdr:col>
                <xdr:colOff>500063</xdr:colOff>
                <xdr:row>9</xdr:row>
                <xdr:rowOff>66675</xdr:rowOff>
              </from>
              <to>
                <xdr:col>12</xdr:col>
                <xdr:colOff>185738</xdr:colOff>
                <xdr:row>12</xdr:row>
                <xdr:rowOff>14288</xdr:rowOff>
              </to>
            </anchor>
          </controlPr>
        </control>
      </mc:Choice>
      <mc:Fallback>
        <control shapeId="7170" r:id="rId6" name="CommandButton2"/>
      </mc:Fallback>
    </mc:AlternateContent>
    <mc:AlternateContent xmlns:mc="http://schemas.openxmlformats.org/markup-compatibility/2006">
      <mc:Choice Requires="x14">
        <control shapeId="7169" r:id="rId8" name="CommandButton1">
          <controlPr defaultSize="0" autoLine="0" r:id="rId9">
            <anchor moveWithCells="1">
              <from>
                <xdr:col>8</xdr:col>
                <xdr:colOff>438150</xdr:colOff>
                <xdr:row>9</xdr:row>
                <xdr:rowOff>66675</xdr:rowOff>
              </from>
              <to>
                <xdr:col>10</xdr:col>
                <xdr:colOff>190500</xdr:colOff>
                <xdr:row>12</xdr:row>
                <xdr:rowOff>14288</xdr:rowOff>
              </to>
            </anchor>
          </controlPr>
        </control>
      </mc:Choice>
      <mc:Fallback>
        <control shapeId="7169" r:id="rId8" name="CommandButton1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46B14-26CC-4E19-AFF8-3AAA84D77F1D}">
  <sheetPr codeName="Sheet8">
    <pageSetUpPr fitToPage="1"/>
  </sheetPr>
  <dimension ref="A1:X1251"/>
  <sheetViews>
    <sheetView showGridLines="0" showOutlineSymbols="0" topLeftCell="A3" zoomScale="75" workbookViewId="0">
      <selection activeCell="C73" sqref="C73"/>
    </sheetView>
  </sheetViews>
  <sheetFormatPr defaultRowHeight="12.75" x14ac:dyDescent="0.35"/>
  <cols>
    <col min="1" max="1" width="5.3984375" customWidth="1"/>
    <col min="2" max="2" width="27.1328125" customWidth="1"/>
    <col min="3" max="3" width="10.86328125" bestFit="1" customWidth="1"/>
    <col min="4" max="4" width="20.86328125" customWidth="1"/>
    <col min="5" max="5" width="17.1328125" bestFit="1" customWidth="1"/>
    <col min="6" max="6" width="20.1328125" bestFit="1" customWidth="1"/>
    <col min="7" max="7" width="15" bestFit="1" customWidth="1"/>
    <col min="14" max="14" width="7.86328125" customWidth="1"/>
    <col min="15" max="23" width="9.1328125" hidden="1" customWidth="1"/>
    <col min="25" max="26" width="0" hidden="1" customWidth="1"/>
  </cols>
  <sheetData>
    <row r="1" spans="1:24" hidden="1" x14ac:dyDescent="0.35"/>
    <row r="2" spans="1:24" hidden="1" x14ac:dyDescent="0.35"/>
    <row r="3" spans="1:24" ht="19.899999999999999" x14ac:dyDescent="0.5">
      <c r="A3" s="140"/>
      <c r="B3" s="141"/>
      <c r="C3" s="141"/>
      <c r="D3" s="142" t="s">
        <v>37</v>
      </c>
      <c r="E3" s="143"/>
      <c r="F3" s="143"/>
      <c r="G3" s="143"/>
      <c r="H3" s="143"/>
      <c r="I3" s="144" t="s">
        <v>9</v>
      </c>
      <c r="J3" s="143"/>
      <c r="K3" s="143"/>
      <c r="L3" s="143"/>
      <c r="M3" s="143"/>
      <c r="N3" s="145"/>
      <c r="O3" s="145"/>
      <c r="P3" s="145"/>
      <c r="Q3" s="145"/>
      <c r="R3" s="145"/>
      <c r="S3" s="146"/>
      <c r="T3" s="146"/>
      <c r="U3" s="146"/>
      <c r="V3" s="146"/>
      <c r="W3" s="146"/>
      <c r="X3" s="147"/>
    </row>
    <row r="4" spans="1:24" ht="15" x14ac:dyDescent="0.4">
      <c r="A4" s="148"/>
      <c r="B4" s="149"/>
      <c r="C4" s="149"/>
      <c r="D4" s="150" t="s">
        <v>38</v>
      </c>
      <c r="E4" s="26"/>
      <c r="F4" s="26"/>
      <c r="G4" s="26"/>
      <c r="H4" s="151"/>
      <c r="I4" s="104" t="s">
        <v>288</v>
      </c>
      <c r="J4" s="26"/>
      <c r="K4" s="26"/>
      <c r="L4" s="26"/>
      <c r="M4" s="26"/>
      <c r="N4" s="26"/>
      <c r="O4" s="26"/>
      <c r="P4" s="26"/>
      <c r="Q4" s="26"/>
      <c r="R4" s="26"/>
      <c r="S4" s="9"/>
      <c r="T4" s="9"/>
      <c r="U4" s="9"/>
      <c r="V4" s="9"/>
      <c r="W4" s="9"/>
      <c r="X4" s="152"/>
    </row>
    <row r="5" spans="1:24" ht="13.15" x14ac:dyDescent="0.4">
      <c r="A5" s="153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9"/>
      <c r="T5" s="9"/>
      <c r="U5" s="9"/>
      <c r="V5" s="9"/>
      <c r="W5" s="9"/>
      <c r="X5" s="152"/>
    </row>
    <row r="6" spans="1:24" ht="15" x14ac:dyDescent="0.4">
      <c r="A6" s="153"/>
      <c r="B6" s="26"/>
      <c r="C6" s="26"/>
      <c r="D6" s="154"/>
      <c r="E6" s="154"/>
      <c r="F6" s="154"/>
      <c r="G6" s="154"/>
      <c r="H6" s="154"/>
      <c r="I6" s="154" t="s">
        <v>7</v>
      </c>
      <c r="J6" s="154"/>
      <c r="K6" s="154"/>
      <c r="L6" s="154"/>
      <c r="M6" s="154"/>
      <c r="N6" s="26"/>
      <c r="O6" s="26"/>
      <c r="P6" s="26"/>
      <c r="Q6" s="26"/>
      <c r="R6" s="26"/>
      <c r="S6" s="9"/>
      <c r="T6" s="9"/>
      <c r="U6" s="9"/>
      <c r="V6" s="9"/>
      <c r="W6" s="9"/>
      <c r="X6" s="152"/>
    </row>
    <row r="7" spans="1:24" ht="15" x14ac:dyDescent="0.4">
      <c r="A7" s="153"/>
      <c r="B7" s="26"/>
      <c r="C7" s="26"/>
      <c r="D7" s="154"/>
      <c r="E7" s="154"/>
      <c r="F7" s="154"/>
      <c r="G7" s="154"/>
      <c r="H7" s="86" t="s">
        <v>103</v>
      </c>
      <c r="I7" s="154"/>
      <c r="J7" s="154"/>
      <c r="K7" s="154"/>
      <c r="L7" s="154"/>
      <c r="M7" s="154"/>
      <c r="N7" s="26"/>
      <c r="O7" s="26"/>
      <c r="P7" s="26"/>
      <c r="Q7" s="26"/>
      <c r="R7" s="26"/>
      <c r="S7" s="9"/>
      <c r="T7" s="9"/>
      <c r="U7" s="9"/>
      <c r="V7" s="9"/>
      <c r="W7" s="9"/>
      <c r="X7" s="152"/>
    </row>
    <row r="8" spans="1:24" ht="13.15" x14ac:dyDescent="0.4">
      <c r="A8" s="153"/>
      <c r="B8" s="26"/>
      <c r="C8" s="26"/>
      <c r="D8" s="28" t="s">
        <v>27</v>
      </c>
      <c r="E8" s="21" t="s">
        <v>278</v>
      </c>
      <c r="F8" s="9"/>
      <c r="G8" s="21">
        <v>1</v>
      </c>
      <c r="H8" s="26"/>
      <c r="I8" s="26"/>
      <c r="J8" s="26"/>
      <c r="K8" s="28" t="s">
        <v>25</v>
      </c>
      <c r="L8" s="26"/>
      <c r="M8" s="87">
        <f>+'Feb OPP'!M8</f>
        <v>36526</v>
      </c>
      <c r="N8" s="22"/>
      <c r="O8" s="26"/>
      <c r="P8" s="26"/>
      <c r="Q8" s="26"/>
      <c r="R8" s="26"/>
      <c r="S8" s="9"/>
      <c r="T8" s="9"/>
      <c r="U8" s="9"/>
      <c r="V8" s="9"/>
      <c r="W8" s="9"/>
      <c r="X8" s="152"/>
    </row>
    <row r="9" spans="1:24" ht="13.15" x14ac:dyDescent="0.4">
      <c r="A9" s="153"/>
      <c r="B9" s="26"/>
      <c r="C9" s="26"/>
      <c r="D9" s="75"/>
      <c r="E9" s="28"/>
      <c r="F9" s="26"/>
      <c r="G9" s="24" t="s">
        <v>104</v>
      </c>
      <c r="H9" s="26"/>
      <c r="I9" s="26"/>
      <c r="J9" s="26"/>
      <c r="K9" s="28" t="s">
        <v>26</v>
      </c>
      <c r="L9" s="26"/>
      <c r="M9" s="90">
        <f>+'Feb OPP'!M9</f>
        <v>0.625</v>
      </c>
      <c r="N9" s="25"/>
      <c r="O9" s="26"/>
      <c r="P9" s="26"/>
      <c r="Q9" s="26"/>
      <c r="R9" s="26"/>
      <c r="S9" s="9"/>
      <c r="T9" s="9"/>
      <c r="U9" s="9"/>
      <c r="V9" s="9"/>
      <c r="W9" s="9"/>
      <c r="X9" s="152"/>
    </row>
    <row r="10" spans="1:24" ht="13.15" x14ac:dyDescent="0.4">
      <c r="A10" s="153"/>
      <c r="B10" s="26"/>
      <c r="C10" s="26"/>
      <c r="D10" s="75"/>
      <c r="E10" s="28"/>
      <c r="F10" s="26"/>
      <c r="G10" s="26"/>
      <c r="H10" s="26"/>
      <c r="I10" s="26"/>
      <c r="J10" s="28"/>
      <c r="K10" s="26"/>
      <c r="L10" s="26"/>
      <c r="M10" s="26"/>
      <c r="N10" s="26"/>
      <c r="O10" s="26"/>
      <c r="P10" s="26"/>
      <c r="Q10" s="26"/>
      <c r="R10" s="26"/>
      <c r="S10" s="9"/>
      <c r="T10" s="155"/>
      <c r="U10" s="155"/>
      <c r="V10" s="155"/>
      <c r="W10" s="9"/>
      <c r="X10" s="152"/>
    </row>
    <row r="11" spans="1:24" ht="13.15" x14ac:dyDescent="0.4">
      <c r="A11" s="153"/>
      <c r="B11" s="26"/>
      <c r="C11" s="26"/>
      <c r="D11" s="28" t="s">
        <v>20</v>
      </c>
      <c r="E11" s="27"/>
      <c r="F11" s="9"/>
      <c r="G11" s="28"/>
      <c r="H11" s="26"/>
      <c r="I11" s="26"/>
      <c r="J11" s="26"/>
      <c r="K11" s="28"/>
      <c r="L11" s="26"/>
      <c r="M11" s="28"/>
      <c r="N11" s="156"/>
      <c r="O11" s="156"/>
      <c r="P11" s="156"/>
      <c r="Q11" s="156"/>
      <c r="R11" s="156"/>
      <c r="S11" s="155"/>
      <c r="T11" s="9"/>
      <c r="U11" s="9"/>
      <c r="V11" s="9"/>
      <c r="W11" s="9"/>
      <c r="X11" s="152"/>
    </row>
    <row r="12" spans="1:24" ht="13.15" x14ac:dyDescent="0.4">
      <c r="A12" s="153"/>
      <c r="B12" s="26"/>
      <c r="C12" s="26"/>
      <c r="D12" s="26"/>
      <c r="E12" s="26"/>
      <c r="F12" s="26"/>
      <c r="G12" s="26"/>
      <c r="H12" s="26"/>
      <c r="I12" s="26"/>
      <c r="J12" s="28"/>
      <c r="K12" s="86"/>
      <c r="L12" s="26"/>
      <c r="M12" s="28"/>
      <c r="N12" s="26"/>
      <c r="O12" s="26"/>
      <c r="P12" s="26"/>
      <c r="Q12" s="26"/>
      <c r="R12" s="26"/>
      <c r="S12" s="9"/>
      <c r="T12" s="155"/>
      <c r="U12" s="9"/>
      <c r="V12" s="9"/>
      <c r="W12" s="9"/>
      <c r="X12" s="152"/>
    </row>
    <row r="13" spans="1:24" ht="13.5" thickBot="1" x14ac:dyDescent="0.45">
      <c r="A13" s="153"/>
      <c r="B13" s="26"/>
      <c r="C13" s="26"/>
      <c r="D13" s="26"/>
      <c r="E13" s="104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9"/>
      <c r="T13" s="9"/>
      <c r="U13" s="9"/>
      <c r="V13" s="9"/>
      <c r="W13" s="9"/>
      <c r="X13" s="152"/>
    </row>
    <row r="14" spans="1:24" ht="13.15" x14ac:dyDescent="0.4">
      <c r="A14" s="39"/>
      <c r="B14" s="41" t="s">
        <v>43</v>
      </c>
      <c r="C14" s="41"/>
      <c r="D14" s="40"/>
      <c r="E14" s="41"/>
      <c r="F14" s="41" t="s">
        <v>33</v>
      </c>
      <c r="G14" s="42" t="s">
        <v>31</v>
      </c>
      <c r="H14" s="52" t="s">
        <v>46</v>
      </c>
      <c r="I14" s="43"/>
      <c r="J14" s="44"/>
      <c r="K14" s="43"/>
      <c r="L14" s="43"/>
      <c r="M14" s="43"/>
      <c r="N14" s="45"/>
      <c r="O14" s="26"/>
      <c r="P14" s="26"/>
      <c r="Q14" s="26"/>
      <c r="R14" s="26"/>
      <c r="S14" s="9"/>
      <c r="T14" s="9"/>
      <c r="U14" s="9"/>
      <c r="V14" s="9"/>
      <c r="W14" s="9"/>
      <c r="X14" s="152"/>
    </row>
    <row r="15" spans="1:24" ht="13.15" x14ac:dyDescent="0.4">
      <c r="A15" s="46" t="s">
        <v>39</v>
      </c>
      <c r="B15" s="30" t="s">
        <v>44</v>
      </c>
      <c r="C15" s="30" t="s">
        <v>2</v>
      </c>
      <c r="D15" s="30" t="s">
        <v>41</v>
      </c>
      <c r="E15" s="30" t="s">
        <v>40</v>
      </c>
      <c r="F15" s="36" t="s">
        <v>53</v>
      </c>
      <c r="G15" s="37" t="s">
        <v>35</v>
      </c>
      <c r="H15" s="29" t="s">
        <v>2</v>
      </c>
      <c r="I15" s="29" t="s">
        <v>3</v>
      </c>
      <c r="J15" s="29" t="s">
        <v>28</v>
      </c>
      <c r="K15" s="29" t="s">
        <v>4</v>
      </c>
      <c r="L15" s="29" t="s">
        <v>29</v>
      </c>
      <c r="M15" s="29" t="s">
        <v>5</v>
      </c>
      <c r="N15" s="47" t="s">
        <v>30</v>
      </c>
      <c r="O15" s="104"/>
      <c r="P15" s="104"/>
      <c r="Q15" s="104"/>
      <c r="R15" s="104"/>
      <c r="S15" s="9"/>
      <c r="T15" s="9"/>
      <c r="U15" s="9"/>
      <c r="V15" s="9"/>
      <c r="W15" s="9"/>
      <c r="X15" s="152"/>
    </row>
    <row r="16" spans="1:24" ht="13.5" thickBot="1" x14ac:dyDescent="0.45">
      <c r="A16" s="48"/>
      <c r="B16" s="31"/>
      <c r="C16" s="32" t="s">
        <v>105</v>
      </c>
      <c r="D16" s="31"/>
      <c r="E16" s="31"/>
      <c r="F16" s="38" t="s">
        <v>48</v>
      </c>
      <c r="G16" s="51" t="s">
        <v>36</v>
      </c>
      <c r="H16" s="31"/>
      <c r="I16" s="31"/>
      <c r="J16" s="31"/>
      <c r="K16" s="31"/>
      <c r="L16" s="32"/>
      <c r="M16" s="32"/>
      <c r="N16" s="49"/>
      <c r="O16" s="104"/>
      <c r="P16" s="104"/>
      <c r="Q16" s="104"/>
      <c r="R16" s="104"/>
      <c r="S16" s="9"/>
      <c r="T16" s="9"/>
      <c r="U16" s="9"/>
      <c r="V16" s="9"/>
      <c r="W16" s="9"/>
      <c r="X16" s="152"/>
    </row>
    <row r="17" spans="1:24" s="34" customFormat="1" ht="13.15" x14ac:dyDescent="0.4">
      <c r="A17" s="158">
        <v>1</v>
      </c>
      <c r="B17" s="85" t="str">
        <f t="shared" ref="B17:B24" si="0">IF(D17=0," ",+$E$11)</f>
        <v xml:space="preserve"> </v>
      </c>
      <c r="C17" s="35" t="s">
        <v>106</v>
      </c>
      <c r="D17" s="80"/>
      <c r="E17" s="85" t="str">
        <f>IF(ISERROR(VLOOKUP(D17,$C$80:$D$700,2)),"",VLOOKUP(D17,$C$80:$D$700,2))</f>
        <v/>
      </c>
      <c r="F17" s="81"/>
      <c r="G17" s="81"/>
      <c r="H17" s="58">
        <v>0</v>
      </c>
      <c r="I17" s="58">
        <v>0</v>
      </c>
      <c r="J17" s="58">
        <v>0</v>
      </c>
      <c r="K17" s="58">
        <v>0</v>
      </c>
      <c r="L17" s="58">
        <v>0</v>
      </c>
      <c r="M17" s="58">
        <v>0</v>
      </c>
      <c r="N17" s="58">
        <v>0</v>
      </c>
      <c r="O17" s="53" t="str">
        <f>+$E$8</f>
        <v>March</v>
      </c>
      <c r="P17" s="53">
        <f>+$G$8</f>
        <v>1</v>
      </c>
      <c r="Q17" s="105">
        <f>+$M$8</f>
        <v>36526</v>
      </c>
      <c r="R17" s="107">
        <f>+$M$9</f>
        <v>0.625</v>
      </c>
      <c r="S17" s="175">
        <f t="shared" ref="S17:S24" si="1">IF(AND(OR(H17=0,H17=1),OR(I17=0,I17=1),OR(J17=0,J17=1),OR(K17=0,K17=1),OR(L17=0,L17=1),OR(N17=0,N17=1),OR(M17=0,M17=1)),0,1)</f>
        <v>0</v>
      </c>
      <c r="T17" s="175">
        <f t="shared" ref="T17:T24" si="2">IF(L17+N17&gt;0,1,0)</f>
        <v>0</v>
      </c>
      <c r="U17" s="54">
        <f t="shared" ref="U17:U24" si="3">IF(SUM(H17:N17)&gt;1,1,0)</f>
        <v>0</v>
      </c>
      <c r="V17" s="54">
        <f t="shared" ref="V17:V24" si="4">IF(AND(G17&gt;0,SUM(H17:N17)=0),1,0)</f>
        <v>0</v>
      </c>
      <c r="W17" s="175">
        <f t="shared" ref="W17:W24" si="5">IF(H17&gt;0,1,0)</f>
        <v>0</v>
      </c>
      <c r="X17" s="176"/>
    </row>
    <row r="18" spans="1:24" s="34" customFormat="1" ht="13.15" x14ac:dyDescent="0.4">
      <c r="A18" s="158">
        <f>COUNT($A$17:A17)+1</f>
        <v>2</v>
      </c>
      <c r="B18" s="85" t="str">
        <f t="shared" si="0"/>
        <v xml:space="preserve"> </v>
      </c>
      <c r="C18" s="35" t="s">
        <v>106</v>
      </c>
      <c r="D18" s="80"/>
      <c r="E18" s="85" t="str">
        <f t="shared" ref="E18:E24" si="6">IF(ISERROR(VLOOKUP(D18,$C$80:$D$700,2)),"",VLOOKUP(D18,$C$80:$D$700,2))</f>
        <v/>
      </c>
      <c r="F18" s="81"/>
      <c r="G18" s="81"/>
      <c r="H18" s="58">
        <v>0</v>
      </c>
      <c r="I18" s="58">
        <v>0</v>
      </c>
      <c r="J18" s="58">
        <v>0</v>
      </c>
      <c r="K18" s="58">
        <v>0</v>
      </c>
      <c r="L18" s="58">
        <v>0</v>
      </c>
      <c r="M18" s="58">
        <v>0</v>
      </c>
      <c r="N18" s="58">
        <v>0</v>
      </c>
      <c r="O18" s="53" t="str">
        <f t="shared" ref="O18:O24" si="7">+$E$8</f>
        <v>March</v>
      </c>
      <c r="P18" s="53">
        <f t="shared" ref="P18:P24" si="8">+$G$8</f>
        <v>1</v>
      </c>
      <c r="Q18" s="105">
        <f t="shared" ref="Q18:Q24" si="9">+$M$8</f>
        <v>36526</v>
      </c>
      <c r="R18" s="107">
        <f t="shared" ref="R18:R24" si="10">+$M$9</f>
        <v>0.625</v>
      </c>
      <c r="S18" s="175">
        <f t="shared" si="1"/>
        <v>0</v>
      </c>
      <c r="T18" s="175">
        <f t="shared" si="2"/>
        <v>0</v>
      </c>
      <c r="U18" s="54">
        <f t="shared" si="3"/>
        <v>0</v>
      </c>
      <c r="V18" s="54">
        <f t="shared" si="4"/>
        <v>0</v>
      </c>
      <c r="W18" s="175">
        <f t="shared" si="5"/>
        <v>0</v>
      </c>
      <c r="X18" s="176"/>
    </row>
    <row r="19" spans="1:24" s="34" customFormat="1" ht="13.15" x14ac:dyDescent="0.4">
      <c r="A19" s="158">
        <f>COUNT($A$17:A18)+1</f>
        <v>3</v>
      </c>
      <c r="B19" s="85" t="str">
        <f t="shared" si="0"/>
        <v xml:space="preserve"> </v>
      </c>
      <c r="C19" s="35" t="s">
        <v>106</v>
      </c>
      <c r="D19" s="80"/>
      <c r="E19" s="85" t="str">
        <f t="shared" si="6"/>
        <v/>
      </c>
      <c r="F19" s="81"/>
      <c r="G19" s="81"/>
      <c r="H19" s="58">
        <v>0</v>
      </c>
      <c r="I19" s="58">
        <v>0</v>
      </c>
      <c r="J19" s="58">
        <v>0</v>
      </c>
      <c r="K19" s="58">
        <v>0</v>
      </c>
      <c r="L19" s="58">
        <v>0</v>
      </c>
      <c r="M19" s="58">
        <v>0</v>
      </c>
      <c r="N19" s="58">
        <v>0</v>
      </c>
      <c r="O19" s="53" t="str">
        <f t="shared" si="7"/>
        <v>March</v>
      </c>
      <c r="P19" s="53">
        <f t="shared" si="8"/>
        <v>1</v>
      </c>
      <c r="Q19" s="105">
        <f t="shared" si="9"/>
        <v>36526</v>
      </c>
      <c r="R19" s="107">
        <f t="shared" si="10"/>
        <v>0.625</v>
      </c>
      <c r="S19" s="175">
        <f>IF(AND(OR(H19=0,H19=1),OR(I19=0,I19=1),OR(J19=0,J19=1),OR(K19=0,K19=1),OR(L19=0,L19=1),OR(N19=0,N19=1),OR(M19=0,M19=1)),0,1)</f>
        <v>0</v>
      </c>
      <c r="T19" s="175">
        <f>IF(L19+N19&gt;0,1,0)</f>
        <v>0</v>
      </c>
      <c r="U19" s="54">
        <f>IF(SUM(H19:N19)&gt;1,1,0)</f>
        <v>0</v>
      </c>
      <c r="V19" s="54">
        <f>IF(AND(G19&gt;0,SUM(H19:N19)=0),1,0)</f>
        <v>0</v>
      </c>
      <c r="W19" s="175">
        <f>IF(H19&gt;0,1,0)</f>
        <v>0</v>
      </c>
      <c r="X19" s="176"/>
    </row>
    <row r="20" spans="1:24" s="34" customFormat="1" ht="22.9" ph="1" x14ac:dyDescent="0.4">
      <c r="A20" s="158">
        <f>COUNT($A$17:A19)+1</f>
        <v>4</v>
      </c>
      <c r="B20" s="85" t="str">
        <f t="shared" si="0"/>
        <v xml:space="preserve"> </v>
      </c>
      <c r="C20" s="35" t="s">
        <v>106</v>
      </c>
      <c r="D20" s="80"/>
      <c r="E20" s="85" t="str">
        <f t="shared" si="6"/>
        <v/>
      </c>
      <c r="F20" s="81"/>
      <c r="G20" s="81"/>
      <c r="H20" s="58">
        <v>0</v>
      </c>
      <c r="I20" s="58">
        <v>0</v>
      </c>
      <c r="J20" s="58">
        <v>0</v>
      </c>
      <c r="K20" s="58">
        <v>0</v>
      </c>
      <c r="L20" s="58">
        <v>0</v>
      </c>
      <c r="M20" s="58">
        <v>0</v>
      </c>
      <c r="N20" s="58">
        <v>0</v>
      </c>
      <c r="O20" s="53" t="str">
        <f t="shared" si="7"/>
        <v>March</v>
      </c>
      <c r="P20" s="53">
        <f t="shared" si="8"/>
        <v>1</v>
      </c>
      <c r="Q20" s="105">
        <f t="shared" si="9"/>
        <v>36526</v>
      </c>
      <c r="R20" s="107">
        <f t="shared" si="10"/>
        <v>0.625</v>
      </c>
      <c r="S20" s="175">
        <f t="shared" si="1"/>
        <v>0</v>
      </c>
      <c r="T20" s="175">
        <f t="shared" si="2"/>
        <v>0</v>
      </c>
      <c r="U20" s="54">
        <f t="shared" si="3"/>
        <v>0</v>
      </c>
      <c r="V20" s="54">
        <f t="shared" si="4"/>
        <v>0</v>
      </c>
      <c r="W20" s="175">
        <f t="shared" si="5"/>
        <v>0</v>
      </c>
      <c r="X20" s="176"/>
    </row>
    <row r="21" spans="1:24" s="34" customFormat="1" ht="13.15" x14ac:dyDescent="0.4">
      <c r="A21" s="158">
        <f>COUNT($A$17:A20)+1</f>
        <v>5</v>
      </c>
      <c r="B21" s="85" t="str">
        <f t="shared" si="0"/>
        <v xml:space="preserve"> </v>
      </c>
      <c r="C21" s="35" t="s">
        <v>106</v>
      </c>
      <c r="D21" s="80"/>
      <c r="E21" s="85" t="str">
        <f t="shared" si="6"/>
        <v/>
      </c>
      <c r="F21" s="81"/>
      <c r="G21" s="81"/>
      <c r="H21" s="58">
        <v>0</v>
      </c>
      <c r="I21" s="58">
        <v>0</v>
      </c>
      <c r="J21" s="58">
        <v>0</v>
      </c>
      <c r="K21" s="58">
        <v>0</v>
      </c>
      <c r="L21" s="58">
        <v>0</v>
      </c>
      <c r="M21" s="58">
        <v>0</v>
      </c>
      <c r="N21" s="58">
        <v>0</v>
      </c>
      <c r="O21" s="53" t="str">
        <f t="shared" si="7"/>
        <v>March</v>
      </c>
      <c r="P21" s="53">
        <f t="shared" si="8"/>
        <v>1</v>
      </c>
      <c r="Q21" s="105">
        <f t="shared" si="9"/>
        <v>36526</v>
      </c>
      <c r="R21" s="107">
        <f t="shared" si="10"/>
        <v>0.625</v>
      </c>
      <c r="S21" s="175">
        <f t="shared" si="1"/>
        <v>0</v>
      </c>
      <c r="T21" s="175">
        <f t="shared" si="2"/>
        <v>0</v>
      </c>
      <c r="U21" s="54">
        <f t="shared" si="3"/>
        <v>0</v>
      </c>
      <c r="V21" s="54">
        <f t="shared" si="4"/>
        <v>0</v>
      </c>
      <c r="W21" s="175">
        <f t="shared" si="5"/>
        <v>0</v>
      </c>
      <c r="X21" s="176"/>
    </row>
    <row r="22" spans="1:24" s="34" customFormat="1" ht="13.15" x14ac:dyDescent="0.4">
      <c r="A22" s="158">
        <f>COUNT($A$17:A21)+1</f>
        <v>6</v>
      </c>
      <c r="B22" s="85" t="str">
        <f t="shared" si="0"/>
        <v xml:space="preserve"> </v>
      </c>
      <c r="C22" s="35" t="s">
        <v>106</v>
      </c>
      <c r="D22" s="80"/>
      <c r="E22" s="85" t="str">
        <f t="shared" si="6"/>
        <v/>
      </c>
      <c r="F22" s="81"/>
      <c r="G22" s="81"/>
      <c r="H22" s="58">
        <v>0</v>
      </c>
      <c r="I22" s="58">
        <v>0</v>
      </c>
      <c r="J22" s="58">
        <v>0</v>
      </c>
      <c r="K22" s="58">
        <v>0</v>
      </c>
      <c r="L22" s="58">
        <v>0</v>
      </c>
      <c r="M22" s="58">
        <v>0</v>
      </c>
      <c r="N22" s="58">
        <v>0</v>
      </c>
      <c r="O22" s="53" t="str">
        <f t="shared" si="7"/>
        <v>March</v>
      </c>
      <c r="P22" s="53">
        <f t="shared" si="8"/>
        <v>1</v>
      </c>
      <c r="Q22" s="105">
        <f t="shared" si="9"/>
        <v>36526</v>
      </c>
      <c r="R22" s="107">
        <f t="shared" si="10"/>
        <v>0.625</v>
      </c>
      <c r="S22" s="175">
        <f t="shared" si="1"/>
        <v>0</v>
      </c>
      <c r="T22" s="175">
        <f t="shared" si="2"/>
        <v>0</v>
      </c>
      <c r="U22" s="54">
        <f t="shared" si="3"/>
        <v>0</v>
      </c>
      <c r="V22" s="54">
        <f t="shared" si="4"/>
        <v>0</v>
      </c>
      <c r="W22" s="175">
        <f t="shared" si="5"/>
        <v>0</v>
      </c>
      <c r="X22" s="176"/>
    </row>
    <row r="23" spans="1:24" ht="13.15" x14ac:dyDescent="0.4">
      <c r="A23" s="158">
        <f>COUNT($A$17:A22)+1</f>
        <v>7</v>
      </c>
      <c r="B23" s="85" t="str">
        <f t="shared" si="0"/>
        <v xml:space="preserve"> </v>
      </c>
      <c r="C23" s="35" t="s">
        <v>106</v>
      </c>
      <c r="D23" s="78"/>
      <c r="E23" s="85" t="str">
        <f t="shared" si="6"/>
        <v/>
      </c>
      <c r="F23" s="79"/>
      <c r="G23" s="79"/>
      <c r="H23" s="58">
        <v>0</v>
      </c>
      <c r="I23" s="58">
        <v>0</v>
      </c>
      <c r="J23" s="58">
        <v>0</v>
      </c>
      <c r="K23" s="58">
        <v>0</v>
      </c>
      <c r="L23" s="58">
        <v>0</v>
      </c>
      <c r="M23" s="58">
        <v>0</v>
      </c>
      <c r="N23" s="58">
        <v>0</v>
      </c>
      <c r="O23" s="53" t="str">
        <f t="shared" si="7"/>
        <v>March</v>
      </c>
      <c r="P23" s="53">
        <f t="shared" si="8"/>
        <v>1</v>
      </c>
      <c r="Q23" s="105">
        <f t="shared" si="9"/>
        <v>36526</v>
      </c>
      <c r="R23" s="107">
        <f t="shared" si="10"/>
        <v>0.625</v>
      </c>
      <c r="S23" s="160">
        <f t="shared" si="1"/>
        <v>0</v>
      </c>
      <c r="T23" s="160">
        <f t="shared" si="2"/>
        <v>0</v>
      </c>
      <c r="U23" s="9">
        <f t="shared" si="3"/>
        <v>0</v>
      </c>
      <c r="V23" s="9">
        <f t="shared" si="4"/>
        <v>0</v>
      </c>
      <c r="W23" s="160">
        <f t="shared" si="5"/>
        <v>0</v>
      </c>
      <c r="X23" s="152"/>
    </row>
    <row r="24" spans="1:24" ht="13.15" x14ac:dyDescent="0.4">
      <c r="A24" s="158">
        <f>COUNT($A$17:A23)+1</f>
        <v>8</v>
      </c>
      <c r="B24" s="85" t="str">
        <f t="shared" si="0"/>
        <v xml:space="preserve"> </v>
      </c>
      <c r="C24" s="103" t="s">
        <v>106</v>
      </c>
      <c r="D24" s="82"/>
      <c r="E24" s="85" t="str">
        <f t="shared" si="6"/>
        <v/>
      </c>
      <c r="F24" s="83"/>
      <c r="G24" s="83"/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53" t="str">
        <f t="shared" si="7"/>
        <v>March</v>
      </c>
      <c r="P24" s="53">
        <f t="shared" si="8"/>
        <v>1</v>
      </c>
      <c r="Q24" s="105">
        <f t="shared" si="9"/>
        <v>36526</v>
      </c>
      <c r="R24" s="107">
        <f t="shared" si="10"/>
        <v>0.625</v>
      </c>
      <c r="S24" s="159">
        <f t="shared" si="1"/>
        <v>0</v>
      </c>
      <c r="T24" s="159">
        <f t="shared" si="2"/>
        <v>0</v>
      </c>
      <c r="U24" s="60">
        <f t="shared" si="3"/>
        <v>0</v>
      </c>
      <c r="V24" s="60">
        <f t="shared" si="4"/>
        <v>0</v>
      </c>
      <c r="W24" s="159">
        <f t="shared" si="5"/>
        <v>0</v>
      </c>
      <c r="X24" s="152"/>
    </row>
    <row r="25" spans="1:24" ht="15.4" x14ac:dyDescent="0.4">
      <c r="A25" s="153"/>
      <c r="B25" s="26"/>
      <c r="C25" s="26"/>
      <c r="D25" s="26"/>
      <c r="E25" s="26"/>
      <c r="F25" s="26"/>
      <c r="G25" s="26"/>
      <c r="H25" s="161"/>
      <c r="I25" s="162" t="str">
        <f>IF(T25+S25+U25+V25&gt;0,"WARNING:","")</f>
        <v/>
      </c>
      <c r="J25" s="163" t="str">
        <f>IF(S25&gt;0,"Values above must be 1's or 0's",IF(T25&gt;0,"NE and Ontario are not participating. These must be 0's",IF(U25&gt;0,"Choose one location only",IF(V25&gt;0,"You must select a location",""))))</f>
        <v/>
      </c>
      <c r="K25" s="164"/>
      <c r="L25" s="164"/>
      <c r="M25" s="164"/>
      <c r="N25" s="165"/>
      <c r="O25" s="165"/>
      <c r="P25" s="165"/>
      <c r="Q25" s="165"/>
      <c r="R25" s="165"/>
      <c r="S25" s="9">
        <f>SUM(S17:S24)</f>
        <v>0</v>
      </c>
      <c r="T25" s="9">
        <f>SUM(T17:T24)</f>
        <v>0</v>
      </c>
      <c r="U25" s="9">
        <f>SUM(U17:U24)</f>
        <v>0</v>
      </c>
      <c r="V25" s="9">
        <f>SUM(V17:V24)</f>
        <v>0</v>
      </c>
      <c r="W25" s="9">
        <f>SUM(W17:W24)</f>
        <v>0</v>
      </c>
      <c r="X25" s="152"/>
    </row>
    <row r="26" spans="1:24" ht="13.15" x14ac:dyDescent="0.4">
      <c r="A26" s="166" t="s">
        <v>32</v>
      </c>
      <c r="B26" s="26"/>
      <c r="C26" s="26"/>
      <c r="D26" s="26"/>
      <c r="E26" s="26"/>
      <c r="F26" s="26"/>
      <c r="G26" s="26"/>
      <c r="H26" s="9"/>
      <c r="I26" s="9"/>
      <c r="J26" s="167"/>
      <c r="K26" s="167"/>
      <c r="L26" s="167"/>
      <c r="M26" s="167"/>
      <c r="N26" s="167"/>
      <c r="O26" s="167"/>
      <c r="P26" s="167"/>
      <c r="Q26" s="167"/>
      <c r="R26" s="167"/>
      <c r="S26" s="9"/>
      <c r="T26" s="9"/>
      <c r="U26" s="9"/>
      <c r="V26" s="9"/>
      <c r="W26" s="9"/>
      <c r="X26" s="152"/>
    </row>
    <row r="27" spans="1:24" ht="13.15" x14ac:dyDescent="0.4">
      <c r="A27" s="168" t="s">
        <v>45</v>
      </c>
      <c r="B27" s="26"/>
      <c r="C27" s="26"/>
      <c r="D27" s="26"/>
      <c r="E27" s="26"/>
      <c r="F27" s="26"/>
      <c r="G27" s="26"/>
      <c r="H27" s="9"/>
      <c r="I27" s="9"/>
      <c r="J27" s="26"/>
      <c r="K27" s="26"/>
      <c r="L27" s="26"/>
      <c r="M27" s="26"/>
      <c r="N27" s="26"/>
      <c r="O27" s="26"/>
      <c r="P27" s="26"/>
      <c r="Q27" s="26"/>
      <c r="R27" s="26"/>
      <c r="S27" s="9"/>
      <c r="T27" s="9"/>
      <c r="U27" s="9"/>
      <c r="V27" s="9"/>
      <c r="W27" s="9"/>
      <c r="X27" s="152"/>
    </row>
    <row r="28" spans="1:24" ht="13.15" x14ac:dyDescent="0.4">
      <c r="A28" s="169"/>
      <c r="B28" s="28" t="s">
        <v>73</v>
      </c>
      <c r="C28" s="28"/>
      <c r="D28" s="26"/>
      <c r="E28" s="26"/>
      <c r="F28" s="26"/>
      <c r="G28" s="26"/>
      <c r="H28" s="9"/>
      <c r="I28" s="9"/>
      <c r="J28" s="26"/>
      <c r="K28" s="26"/>
      <c r="L28" s="26"/>
      <c r="M28" s="26"/>
      <c r="N28" s="26"/>
      <c r="O28" s="26"/>
      <c r="P28" s="26"/>
      <c r="Q28" s="26"/>
      <c r="R28" s="26"/>
      <c r="S28" s="9"/>
      <c r="T28" s="9"/>
      <c r="U28" s="9"/>
      <c r="V28" s="9"/>
      <c r="W28" s="9"/>
      <c r="X28" s="152"/>
    </row>
    <row r="29" spans="1:24" ht="13.15" x14ac:dyDescent="0.4">
      <c r="A29" s="170"/>
      <c r="B29" s="171" t="s">
        <v>75</v>
      </c>
      <c r="C29" s="171"/>
      <c r="D29" s="172"/>
      <c r="E29" s="172"/>
      <c r="F29" s="172"/>
      <c r="G29" s="172"/>
      <c r="H29" s="9"/>
      <c r="I29" s="9"/>
      <c r="J29" s="172"/>
      <c r="K29" s="172"/>
      <c r="L29" s="172"/>
      <c r="M29" s="172"/>
      <c r="N29" s="172"/>
      <c r="O29" s="172"/>
      <c r="P29" s="172"/>
      <c r="Q29" s="172"/>
      <c r="R29" s="172"/>
      <c r="S29" s="54"/>
      <c r="T29" s="54"/>
      <c r="U29" s="54"/>
      <c r="V29" s="54"/>
      <c r="W29" s="54"/>
      <c r="X29" s="152"/>
    </row>
    <row r="30" spans="1:24" ht="13.15" hidden="1" x14ac:dyDescent="0.4">
      <c r="A30" s="153"/>
      <c r="B30" s="26"/>
      <c r="C30" s="26"/>
      <c r="D30" s="26" t="s">
        <v>15</v>
      </c>
      <c r="E30" s="26"/>
      <c r="F30" s="22"/>
      <c r="G30" s="22"/>
      <c r="H30" s="22"/>
      <c r="I30" s="22"/>
      <c r="J30" s="26"/>
      <c r="K30" s="26" t="s">
        <v>34</v>
      </c>
      <c r="L30" s="26"/>
      <c r="M30" s="22"/>
      <c r="N30" s="22"/>
      <c r="O30" s="26"/>
      <c r="P30" s="26"/>
      <c r="Q30" s="26"/>
      <c r="R30" s="26"/>
      <c r="S30" s="9"/>
      <c r="T30" s="9"/>
      <c r="U30" s="9"/>
      <c r="V30" s="9"/>
      <c r="W30" s="9"/>
      <c r="X30" s="152"/>
    </row>
    <row r="31" spans="1:24" ht="13.15" x14ac:dyDescent="0.4">
      <c r="A31" s="153"/>
      <c r="B31" s="26"/>
      <c r="C31" s="26"/>
      <c r="D31" s="26"/>
      <c r="E31" s="26"/>
      <c r="F31" s="26"/>
      <c r="G31" s="26"/>
      <c r="H31" s="26"/>
      <c r="I31" s="26"/>
      <c r="J31" s="26"/>
      <c r="K31" s="173"/>
      <c r="L31" s="26"/>
      <c r="M31" s="26"/>
      <c r="N31" s="26"/>
      <c r="O31" s="26"/>
      <c r="P31" s="26"/>
      <c r="Q31" s="26"/>
      <c r="R31" s="26"/>
      <c r="S31" s="9"/>
      <c r="T31" s="9"/>
      <c r="U31" s="9"/>
      <c r="V31" s="9"/>
      <c r="W31" s="9"/>
      <c r="X31" s="152"/>
    </row>
    <row r="32" spans="1:24" ht="13.5" thickBot="1" x14ac:dyDescent="0.45">
      <c r="A32" s="153"/>
      <c r="B32" s="26" t="s">
        <v>49</v>
      </c>
      <c r="C32" s="55" t="str">
        <f>+'Feb OPP'!C32</f>
        <v>Your Name Goes Here</v>
      </c>
      <c r="D32" s="55"/>
      <c r="E32" s="55"/>
      <c r="I32" s="26"/>
      <c r="J32" s="26" t="s">
        <v>34</v>
      </c>
      <c r="K32" s="26"/>
      <c r="L32" s="22" t="str">
        <f>+'Feb OPP'!L32</f>
        <v>Your Phone # Here</v>
      </c>
      <c r="M32" s="22"/>
      <c r="N32" s="22"/>
      <c r="O32" s="26"/>
      <c r="P32" s="26"/>
      <c r="Q32" s="26"/>
      <c r="R32" s="26"/>
      <c r="S32" s="9"/>
      <c r="T32" s="9"/>
      <c r="U32" s="9"/>
      <c r="V32" s="9"/>
      <c r="W32" s="9"/>
      <c r="X32" s="152"/>
    </row>
    <row r="33" spans="1:24" ht="13.15" x14ac:dyDescent="0.4">
      <c r="A33" s="153"/>
      <c r="B33" s="26"/>
      <c r="C33" s="26"/>
      <c r="D33" s="26"/>
      <c r="E33" s="26"/>
      <c r="F33" s="192" t="s">
        <v>786</v>
      </c>
      <c r="G33" s="192"/>
      <c r="H33" s="192"/>
      <c r="I33" s="192"/>
      <c r="J33" s="192"/>
      <c r="K33" s="192"/>
      <c r="L33" s="192"/>
      <c r="M33" s="192"/>
      <c r="N33" s="192"/>
      <c r="O33" s="192"/>
      <c r="P33" s="192"/>
      <c r="Q33" s="192"/>
      <c r="R33" s="192"/>
      <c r="S33" s="192"/>
      <c r="T33" s="192"/>
      <c r="U33" s="192"/>
      <c r="V33" s="192"/>
      <c r="W33" s="192"/>
      <c r="X33" s="193"/>
    </row>
    <row r="34" spans="1:24" ht="13.15" x14ac:dyDescent="0.4">
      <c r="A34" s="153"/>
      <c r="B34" s="26" t="s">
        <v>17</v>
      </c>
      <c r="C34" s="22" t="str">
        <f>+'Feb OPP'!C34</f>
        <v>Company</v>
      </c>
      <c r="D34" s="22"/>
      <c r="E34" s="22"/>
      <c r="F34" s="192"/>
      <c r="G34" s="192"/>
      <c r="H34" s="192"/>
      <c r="I34" s="192"/>
      <c r="J34" s="192"/>
      <c r="K34" s="192"/>
      <c r="L34" s="192"/>
      <c r="M34" s="192"/>
      <c r="N34" s="192"/>
      <c r="O34" s="192"/>
      <c r="P34" s="192"/>
      <c r="Q34" s="192"/>
      <c r="R34" s="192"/>
      <c r="S34" s="192"/>
      <c r="T34" s="192"/>
      <c r="U34" s="192"/>
      <c r="V34" s="192"/>
      <c r="W34" s="192"/>
      <c r="X34" s="193"/>
    </row>
    <row r="35" spans="1:24" ht="13.15" x14ac:dyDescent="0.4">
      <c r="A35" s="153"/>
      <c r="B35" s="26" t="s">
        <v>16</v>
      </c>
      <c r="C35" s="22" t="str">
        <f>+'Feb OPP'!C35</f>
        <v>Address 1</v>
      </c>
      <c r="D35" s="22"/>
      <c r="E35" s="2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3"/>
    </row>
    <row r="36" spans="1:24" ht="13.15" x14ac:dyDescent="0.4">
      <c r="A36" s="153"/>
      <c r="B36" s="26"/>
      <c r="C36" s="22" t="str">
        <f>+'Feb OPP'!C36</f>
        <v>Address 2</v>
      </c>
      <c r="D36" s="25"/>
      <c r="E36" s="25"/>
      <c r="F36" s="192"/>
      <c r="G36" s="192"/>
      <c r="H36" s="192"/>
      <c r="I36" s="192"/>
      <c r="J36" s="192"/>
      <c r="K36" s="192"/>
      <c r="L36" s="192"/>
      <c r="M36" s="192"/>
      <c r="N36" s="192"/>
      <c r="O36" s="192"/>
      <c r="P36" s="192"/>
      <c r="Q36" s="192"/>
      <c r="R36" s="192"/>
      <c r="S36" s="192"/>
      <c r="T36" s="192"/>
      <c r="U36" s="192"/>
      <c r="V36" s="192"/>
      <c r="W36" s="192"/>
      <c r="X36" s="193"/>
    </row>
    <row r="37" spans="1:24" ht="13.15" x14ac:dyDescent="0.4">
      <c r="A37" s="153"/>
      <c r="B37" s="26"/>
      <c r="C37" s="22" t="str">
        <f>+'Feb OPP'!C37</f>
        <v>Address 3</v>
      </c>
      <c r="D37" s="25"/>
      <c r="E37" s="25"/>
      <c r="F37" s="192"/>
      <c r="G37" s="192"/>
      <c r="H37" s="192"/>
      <c r="I37" s="192"/>
      <c r="J37" s="192"/>
      <c r="K37" s="192"/>
      <c r="L37" s="192"/>
      <c r="M37" s="192"/>
      <c r="N37" s="192"/>
      <c r="O37" s="192"/>
      <c r="P37" s="192"/>
      <c r="Q37" s="192"/>
      <c r="R37" s="192"/>
      <c r="S37" s="192"/>
      <c r="T37" s="192"/>
      <c r="U37" s="192"/>
      <c r="V37" s="192"/>
      <c r="W37" s="192"/>
      <c r="X37" s="193"/>
    </row>
    <row r="38" spans="1:24" ht="13.15" x14ac:dyDescent="0.4">
      <c r="A38" s="153"/>
      <c r="B38" s="26"/>
      <c r="C38" s="25" t="str">
        <f>+'Feb OPP'!C38</f>
        <v>City, State Zip</v>
      </c>
      <c r="D38" s="25"/>
      <c r="E38" s="25"/>
      <c r="F38" s="192"/>
      <c r="G38" s="192"/>
      <c r="H38" s="192"/>
      <c r="I38" s="192"/>
      <c r="J38" s="192"/>
      <c r="K38" s="192"/>
      <c r="L38" s="192"/>
      <c r="M38" s="192"/>
      <c r="N38" s="192"/>
      <c r="O38" s="192"/>
      <c r="P38" s="192"/>
      <c r="Q38" s="192"/>
      <c r="R38" s="192"/>
      <c r="S38" s="192"/>
      <c r="T38" s="192"/>
      <c r="U38" s="192"/>
      <c r="V38" s="192"/>
      <c r="W38" s="192"/>
      <c r="X38" s="193"/>
    </row>
    <row r="39" spans="1:24" ht="13.15" x14ac:dyDescent="0.4">
      <c r="A39" s="153"/>
      <c r="B39" s="26"/>
      <c r="C39" s="26"/>
      <c r="D39" s="26"/>
      <c r="E39" s="26"/>
      <c r="F39" s="192"/>
      <c r="G39" s="192"/>
      <c r="H39" s="192"/>
      <c r="I39" s="192"/>
      <c r="J39" s="192"/>
      <c r="K39" s="192"/>
      <c r="L39" s="192"/>
      <c r="M39" s="192"/>
      <c r="N39" s="192"/>
      <c r="O39" s="192"/>
      <c r="P39" s="192"/>
      <c r="Q39" s="192"/>
      <c r="R39" s="192"/>
      <c r="S39" s="192"/>
      <c r="T39" s="192"/>
      <c r="U39" s="192"/>
      <c r="V39" s="192"/>
      <c r="W39" s="192"/>
      <c r="X39" s="193"/>
    </row>
    <row r="40" spans="1:24" ht="13.15" x14ac:dyDescent="0.4">
      <c r="A40" s="153"/>
      <c r="B40" s="26" t="s">
        <v>19</v>
      </c>
      <c r="C40" s="22" t="str">
        <f>+'Feb OPP'!C40</f>
        <v>your @ address here</v>
      </c>
      <c r="D40" s="22"/>
      <c r="E40" s="22"/>
      <c r="F40" s="192"/>
      <c r="G40" s="192"/>
      <c r="H40" s="192"/>
      <c r="I40" s="192"/>
      <c r="J40" s="192"/>
      <c r="K40" s="192"/>
      <c r="L40" s="192"/>
      <c r="M40" s="192"/>
      <c r="N40" s="192"/>
      <c r="O40" s="192"/>
      <c r="P40" s="192"/>
      <c r="Q40" s="192"/>
      <c r="R40" s="192"/>
      <c r="S40" s="192"/>
      <c r="T40" s="192"/>
      <c r="U40" s="192"/>
      <c r="V40" s="192"/>
      <c r="W40" s="192"/>
      <c r="X40" s="193"/>
    </row>
    <row r="41" spans="1:24" ht="13.15" thickBot="1" x14ac:dyDescent="0.4">
      <c r="A41" s="174"/>
      <c r="B41" s="139"/>
      <c r="C41" s="139"/>
      <c r="D41" s="139"/>
      <c r="E41" s="139"/>
      <c r="F41" s="194"/>
      <c r="G41" s="194"/>
      <c r="H41" s="194"/>
      <c r="I41" s="194"/>
      <c r="J41" s="194"/>
      <c r="K41" s="194"/>
      <c r="L41" s="194"/>
      <c r="M41" s="194"/>
      <c r="N41" s="194"/>
      <c r="O41" s="194"/>
      <c r="P41" s="194"/>
      <c r="Q41" s="194"/>
      <c r="R41" s="194"/>
      <c r="S41" s="194"/>
      <c r="T41" s="194"/>
      <c r="U41" s="194"/>
      <c r="V41" s="194"/>
      <c r="W41" s="194"/>
      <c r="X41" s="195"/>
    </row>
    <row r="79" spans="1:4" hidden="1" x14ac:dyDescent="0.35">
      <c r="A79" t="s">
        <v>108</v>
      </c>
      <c r="B79" t="s">
        <v>275</v>
      </c>
      <c r="C79" t="s">
        <v>289</v>
      </c>
      <c r="D79" t="s">
        <v>40</v>
      </c>
    </row>
    <row r="80" spans="1:4" hidden="1" x14ac:dyDescent="0.35">
      <c r="A80" t="s">
        <v>109</v>
      </c>
      <c r="B80" t="s">
        <v>276</v>
      </c>
      <c r="C80">
        <v>1</v>
      </c>
      <c r="D80" t="s">
        <v>808</v>
      </c>
    </row>
    <row r="81" spans="1:4" hidden="1" x14ac:dyDescent="0.35">
      <c r="A81" t="s">
        <v>110</v>
      </c>
      <c r="B81" t="s">
        <v>106</v>
      </c>
      <c r="C81">
        <v>2</v>
      </c>
      <c r="D81" t="s">
        <v>196</v>
      </c>
    </row>
    <row r="82" spans="1:4" hidden="1" x14ac:dyDescent="0.35">
      <c r="A82" t="s">
        <v>111</v>
      </c>
      <c r="C82">
        <v>3</v>
      </c>
      <c r="D82" t="s">
        <v>184</v>
      </c>
    </row>
    <row r="83" spans="1:4" hidden="1" x14ac:dyDescent="0.35">
      <c r="A83" t="s">
        <v>112</v>
      </c>
      <c r="C83">
        <v>4</v>
      </c>
      <c r="D83" t="s">
        <v>797</v>
      </c>
    </row>
    <row r="84" spans="1:4" hidden="1" x14ac:dyDescent="0.35">
      <c r="A84" t="s">
        <v>113</v>
      </c>
      <c r="C84">
        <v>5</v>
      </c>
      <c r="D84" t="s">
        <v>194</v>
      </c>
    </row>
    <row r="85" spans="1:4" hidden="1" x14ac:dyDescent="0.35">
      <c r="A85" t="s">
        <v>114</v>
      </c>
      <c r="C85">
        <v>6</v>
      </c>
      <c r="D85" t="s">
        <v>182</v>
      </c>
    </row>
    <row r="86" spans="1:4" hidden="1" x14ac:dyDescent="0.35">
      <c r="A86" t="s">
        <v>115</v>
      </c>
      <c r="C86">
        <v>7</v>
      </c>
      <c r="D86" t="s">
        <v>795</v>
      </c>
    </row>
    <row r="87" spans="1:4" hidden="1" x14ac:dyDescent="0.35">
      <c r="A87" t="s">
        <v>116</v>
      </c>
      <c r="C87">
        <v>8</v>
      </c>
      <c r="D87" t="s">
        <v>193</v>
      </c>
    </row>
    <row r="88" spans="1:4" hidden="1" x14ac:dyDescent="0.35">
      <c r="A88" t="s">
        <v>117</v>
      </c>
      <c r="C88">
        <v>9</v>
      </c>
      <c r="D88" t="s">
        <v>181</v>
      </c>
    </row>
    <row r="89" spans="1:4" hidden="1" x14ac:dyDescent="0.35">
      <c r="A89" t="s">
        <v>118</v>
      </c>
      <c r="C89">
        <v>10</v>
      </c>
      <c r="D89" t="s">
        <v>794</v>
      </c>
    </row>
    <row r="90" spans="1:4" hidden="1" x14ac:dyDescent="0.35">
      <c r="A90" t="s">
        <v>119</v>
      </c>
      <c r="C90">
        <v>11</v>
      </c>
      <c r="D90" t="s">
        <v>189</v>
      </c>
    </row>
    <row r="91" spans="1:4" hidden="1" x14ac:dyDescent="0.35">
      <c r="A91" t="s">
        <v>120</v>
      </c>
      <c r="C91">
        <v>12</v>
      </c>
      <c r="D91" t="s">
        <v>177</v>
      </c>
    </row>
    <row r="92" spans="1:4" hidden="1" x14ac:dyDescent="0.35">
      <c r="A92" t="s">
        <v>121</v>
      </c>
      <c r="C92">
        <v>13</v>
      </c>
      <c r="D92" t="s">
        <v>790</v>
      </c>
    </row>
    <row r="93" spans="1:4" hidden="1" x14ac:dyDescent="0.35">
      <c r="A93" t="s">
        <v>122</v>
      </c>
      <c r="C93">
        <v>14</v>
      </c>
      <c r="D93" t="s">
        <v>199</v>
      </c>
    </row>
    <row r="94" spans="1:4" hidden="1" x14ac:dyDescent="0.35">
      <c r="A94" t="s">
        <v>123</v>
      </c>
      <c r="C94">
        <v>15</v>
      </c>
      <c r="D94" t="s">
        <v>187</v>
      </c>
    </row>
    <row r="95" spans="1:4" hidden="1" x14ac:dyDescent="0.35">
      <c r="A95" t="s">
        <v>124</v>
      </c>
      <c r="C95">
        <v>16</v>
      </c>
      <c r="D95" t="s">
        <v>800</v>
      </c>
    </row>
    <row r="96" spans="1:4" hidden="1" x14ac:dyDescent="0.35">
      <c r="A96" t="s">
        <v>125</v>
      </c>
      <c r="C96">
        <v>17</v>
      </c>
      <c r="D96" t="s">
        <v>198</v>
      </c>
    </row>
    <row r="97" spans="1:4" hidden="1" x14ac:dyDescent="0.35">
      <c r="A97" t="s">
        <v>126</v>
      </c>
      <c r="C97">
        <v>18</v>
      </c>
      <c r="D97" t="s">
        <v>186</v>
      </c>
    </row>
    <row r="98" spans="1:4" hidden="1" x14ac:dyDescent="0.35">
      <c r="A98" t="s">
        <v>127</v>
      </c>
      <c r="C98">
        <v>19</v>
      </c>
      <c r="D98" t="s">
        <v>799</v>
      </c>
    </row>
    <row r="99" spans="1:4" hidden="1" x14ac:dyDescent="0.35">
      <c r="A99" t="s">
        <v>128</v>
      </c>
      <c r="C99">
        <v>20</v>
      </c>
      <c r="D99" t="s">
        <v>809</v>
      </c>
    </row>
    <row r="100" spans="1:4" hidden="1" x14ac:dyDescent="0.35">
      <c r="A100" t="s">
        <v>129</v>
      </c>
      <c r="C100">
        <v>21</v>
      </c>
      <c r="D100" t="s">
        <v>197</v>
      </c>
    </row>
    <row r="101" spans="1:4" hidden="1" x14ac:dyDescent="0.35">
      <c r="A101" t="s">
        <v>130</v>
      </c>
      <c r="C101">
        <v>22</v>
      </c>
      <c r="D101" t="s">
        <v>185</v>
      </c>
    </row>
    <row r="102" spans="1:4" hidden="1" x14ac:dyDescent="0.35">
      <c r="A102" t="s">
        <v>131</v>
      </c>
      <c r="C102">
        <v>23</v>
      </c>
      <c r="D102" t="s">
        <v>798</v>
      </c>
    </row>
    <row r="103" spans="1:4" hidden="1" x14ac:dyDescent="0.35">
      <c r="A103" t="s">
        <v>132</v>
      </c>
      <c r="C103">
        <v>24</v>
      </c>
      <c r="D103" t="s">
        <v>190</v>
      </c>
    </row>
    <row r="104" spans="1:4" hidden="1" x14ac:dyDescent="0.35">
      <c r="A104" t="s">
        <v>133</v>
      </c>
      <c r="C104">
        <v>25</v>
      </c>
      <c r="D104" t="s">
        <v>178</v>
      </c>
    </row>
    <row r="105" spans="1:4" hidden="1" x14ac:dyDescent="0.35">
      <c r="A105" t="s">
        <v>134</v>
      </c>
      <c r="C105">
        <v>26</v>
      </c>
      <c r="D105" t="s">
        <v>791</v>
      </c>
    </row>
    <row r="106" spans="1:4" hidden="1" x14ac:dyDescent="0.35">
      <c r="A106" t="s">
        <v>135</v>
      </c>
      <c r="C106">
        <v>27</v>
      </c>
      <c r="D106" t="s">
        <v>192</v>
      </c>
    </row>
    <row r="107" spans="1:4" hidden="1" x14ac:dyDescent="0.35">
      <c r="A107" t="s">
        <v>136</v>
      </c>
      <c r="C107">
        <v>28</v>
      </c>
      <c r="D107" t="s">
        <v>180</v>
      </c>
    </row>
    <row r="108" spans="1:4" hidden="1" x14ac:dyDescent="0.35">
      <c r="A108" t="s">
        <v>137</v>
      </c>
      <c r="C108">
        <v>29</v>
      </c>
      <c r="D108" t="s">
        <v>793</v>
      </c>
    </row>
    <row r="109" spans="1:4" hidden="1" x14ac:dyDescent="0.35">
      <c r="A109" t="s">
        <v>138</v>
      </c>
      <c r="C109">
        <v>30</v>
      </c>
      <c r="D109" t="s">
        <v>191</v>
      </c>
    </row>
    <row r="110" spans="1:4" hidden="1" x14ac:dyDescent="0.35">
      <c r="A110" t="s">
        <v>139</v>
      </c>
      <c r="C110">
        <v>31</v>
      </c>
      <c r="D110" t="s">
        <v>179</v>
      </c>
    </row>
    <row r="111" spans="1:4" hidden="1" x14ac:dyDescent="0.35">
      <c r="A111" t="s">
        <v>140</v>
      </c>
      <c r="C111">
        <v>32</v>
      </c>
      <c r="D111" t="s">
        <v>792</v>
      </c>
    </row>
    <row r="112" spans="1:4" hidden="1" x14ac:dyDescent="0.35">
      <c r="A112" t="s">
        <v>141</v>
      </c>
      <c r="C112">
        <v>33</v>
      </c>
      <c r="D112" t="s">
        <v>195</v>
      </c>
    </row>
    <row r="113" spans="1:4" hidden="1" x14ac:dyDescent="0.35">
      <c r="A113" t="s">
        <v>142</v>
      </c>
      <c r="C113">
        <v>34</v>
      </c>
      <c r="D113" t="s">
        <v>183</v>
      </c>
    </row>
    <row r="114" spans="1:4" hidden="1" x14ac:dyDescent="0.35">
      <c r="A114" t="s">
        <v>143</v>
      </c>
      <c r="C114">
        <v>35</v>
      </c>
      <c r="D114" t="s">
        <v>796</v>
      </c>
    </row>
    <row r="115" spans="1:4" hidden="1" x14ac:dyDescent="0.35">
      <c r="A115" t="s">
        <v>144</v>
      </c>
      <c r="C115">
        <v>36</v>
      </c>
      <c r="D115" t="s">
        <v>188</v>
      </c>
    </row>
    <row r="116" spans="1:4" hidden="1" x14ac:dyDescent="0.35">
      <c r="A116" t="s">
        <v>145</v>
      </c>
      <c r="C116">
        <v>37</v>
      </c>
      <c r="D116" t="s">
        <v>176</v>
      </c>
    </row>
    <row r="117" spans="1:4" hidden="1" x14ac:dyDescent="0.35">
      <c r="A117" t="s">
        <v>146</v>
      </c>
      <c r="C117">
        <v>38</v>
      </c>
      <c r="D117" t="s">
        <v>789</v>
      </c>
    </row>
    <row r="118" spans="1:4" hidden="1" x14ac:dyDescent="0.35">
      <c r="A118" t="s">
        <v>147</v>
      </c>
      <c r="C118">
        <v>101</v>
      </c>
      <c r="D118" t="s">
        <v>290</v>
      </c>
    </row>
    <row r="119" spans="1:4" hidden="1" x14ac:dyDescent="0.35">
      <c r="A119" t="s">
        <v>148</v>
      </c>
      <c r="C119">
        <v>102</v>
      </c>
      <c r="D119" t="s">
        <v>291</v>
      </c>
    </row>
    <row r="120" spans="1:4" hidden="1" x14ac:dyDescent="0.35">
      <c r="A120" t="s">
        <v>149</v>
      </c>
      <c r="C120">
        <v>103</v>
      </c>
      <c r="D120" t="s">
        <v>292</v>
      </c>
    </row>
    <row r="121" spans="1:4" hidden="1" x14ac:dyDescent="0.35">
      <c r="A121" t="s">
        <v>150</v>
      </c>
      <c r="C121">
        <v>104</v>
      </c>
      <c r="D121" t="s">
        <v>293</v>
      </c>
    </row>
    <row r="122" spans="1:4" hidden="1" x14ac:dyDescent="0.35">
      <c r="A122" t="s">
        <v>151</v>
      </c>
      <c r="C122">
        <v>105</v>
      </c>
      <c r="D122" t="s">
        <v>294</v>
      </c>
    </row>
    <row r="123" spans="1:4" hidden="1" x14ac:dyDescent="0.35">
      <c r="A123" t="s">
        <v>152</v>
      </c>
      <c r="C123">
        <v>106</v>
      </c>
      <c r="D123" t="s">
        <v>295</v>
      </c>
    </row>
    <row r="124" spans="1:4" hidden="1" x14ac:dyDescent="0.35">
      <c r="A124" t="s">
        <v>153</v>
      </c>
      <c r="C124">
        <v>107</v>
      </c>
      <c r="D124" t="s">
        <v>296</v>
      </c>
    </row>
    <row r="125" spans="1:4" hidden="1" x14ac:dyDescent="0.35">
      <c r="A125" t="s">
        <v>154</v>
      </c>
      <c r="C125">
        <v>108</v>
      </c>
      <c r="D125" t="s">
        <v>297</v>
      </c>
    </row>
    <row r="126" spans="1:4" hidden="1" x14ac:dyDescent="0.35">
      <c r="A126" t="s">
        <v>155</v>
      </c>
      <c r="C126">
        <v>109</v>
      </c>
      <c r="D126" t="s">
        <v>298</v>
      </c>
    </row>
    <row r="127" spans="1:4" hidden="1" x14ac:dyDescent="0.35">
      <c r="A127" t="s">
        <v>156</v>
      </c>
      <c r="C127">
        <v>110</v>
      </c>
      <c r="D127" t="s">
        <v>299</v>
      </c>
    </row>
    <row r="128" spans="1:4" hidden="1" x14ac:dyDescent="0.35">
      <c r="A128" t="s">
        <v>157</v>
      </c>
      <c r="C128">
        <v>111</v>
      </c>
      <c r="D128" t="s">
        <v>300</v>
      </c>
    </row>
    <row r="129" spans="1:4" hidden="1" x14ac:dyDescent="0.35">
      <c r="A129" t="s">
        <v>158</v>
      </c>
      <c r="C129">
        <v>201</v>
      </c>
      <c r="D129" t="s">
        <v>301</v>
      </c>
    </row>
    <row r="130" spans="1:4" hidden="1" x14ac:dyDescent="0.35">
      <c r="A130" t="s">
        <v>159</v>
      </c>
      <c r="C130">
        <v>202</v>
      </c>
      <c r="D130" t="s">
        <v>302</v>
      </c>
    </row>
    <row r="131" spans="1:4" hidden="1" x14ac:dyDescent="0.35">
      <c r="A131" t="s">
        <v>160</v>
      </c>
      <c r="C131">
        <v>203</v>
      </c>
      <c r="D131" t="s">
        <v>303</v>
      </c>
    </row>
    <row r="132" spans="1:4" hidden="1" x14ac:dyDescent="0.35">
      <c r="A132" t="s">
        <v>161</v>
      </c>
      <c r="C132">
        <v>204</v>
      </c>
      <c r="D132" t="s">
        <v>304</v>
      </c>
    </row>
    <row r="133" spans="1:4" hidden="1" x14ac:dyDescent="0.35">
      <c r="A133" t="s">
        <v>162</v>
      </c>
      <c r="C133">
        <v>205</v>
      </c>
      <c r="D133" t="s">
        <v>305</v>
      </c>
    </row>
    <row r="134" spans="1:4" hidden="1" x14ac:dyDescent="0.35">
      <c r="A134" t="s">
        <v>163</v>
      </c>
      <c r="C134">
        <v>206</v>
      </c>
      <c r="D134" t="s">
        <v>306</v>
      </c>
    </row>
    <row r="135" spans="1:4" hidden="1" x14ac:dyDescent="0.35">
      <c r="A135" t="s">
        <v>164</v>
      </c>
      <c r="C135">
        <v>207</v>
      </c>
      <c r="D135" t="s">
        <v>307</v>
      </c>
    </row>
    <row r="136" spans="1:4" hidden="1" x14ac:dyDescent="0.35">
      <c r="A136" t="s">
        <v>165</v>
      </c>
      <c r="C136">
        <v>208</v>
      </c>
      <c r="D136" t="s">
        <v>308</v>
      </c>
    </row>
    <row r="137" spans="1:4" hidden="1" x14ac:dyDescent="0.35">
      <c r="A137" t="s">
        <v>166</v>
      </c>
      <c r="C137">
        <v>209</v>
      </c>
      <c r="D137" t="s">
        <v>309</v>
      </c>
    </row>
    <row r="138" spans="1:4" hidden="1" x14ac:dyDescent="0.35">
      <c r="A138" t="s">
        <v>167</v>
      </c>
      <c r="C138">
        <v>210</v>
      </c>
      <c r="D138" t="s">
        <v>310</v>
      </c>
    </row>
    <row r="139" spans="1:4" hidden="1" x14ac:dyDescent="0.35">
      <c r="A139" t="s">
        <v>168</v>
      </c>
      <c r="C139">
        <v>211</v>
      </c>
      <c r="D139" t="s">
        <v>311</v>
      </c>
    </row>
    <row r="140" spans="1:4" hidden="1" x14ac:dyDescent="0.35">
      <c r="A140" t="s">
        <v>169</v>
      </c>
      <c r="C140">
        <v>212</v>
      </c>
      <c r="D140" t="s">
        <v>312</v>
      </c>
    </row>
    <row r="141" spans="1:4" hidden="1" x14ac:dyDescent="0.35">
      <c r="A141" t="s">
        <v>170</v>
      </c>
      <c r="C141">
        <v>213</v>
      </c>
      <c r="D141" t="s">
        <v>313</v>
      </c>
    </row>
    <row r="142" spans="1:4" hidden="1" x14ac:dyDescent="0.35">
      <c r="A142" t="s">
        <v>171</v>
      </c>
      <c r="C142">
        <v>214</v>
      </c>
      <c r="D142" t="s">
        <v>314</v>
      </c>
    </row>
    <row r="143" spans="1:4" hidden="1" x14ac:dyDescent="0.35">
      <c r="A143" t="s">
        <v>172</v>
      </c>
      <c r="C143">
        <v>215</v>
      </c>
      <c r="D143" t="s">
        <v>315</v>
      </c>
    </row>
    <row r="144" spans="1:4" hidden="1" x14ac:dyDescent="0.35">
      <c r="A144" t="s">
        <v>173</v>
      </c>
      <c r="C144">
        <v>216</v>
      </c>
      <c r="D144" t="s">
        <v>316</v>
      </c>
    </row>
    <row r="145" spans="1:4" hidden="1" x14ac:dyDescent="0.35">
      <c r="A145" t="s">
        <v>174</v>
      </c>
      <c r="C145">
        <v>217</v>
      </c>
      <c r="D145" t="s">
        <v>317</v>
      </c>
    </row>
    <row r="146" spans="1:4" hidden="1" x14ac:dyDescent="0.35">
      <c r="A146" t="s">
        <v>175</v>
      </c>
      <c r="C146">
        <v>218</v>
      </c>
      <c r="D146" t="s">
        <v>318</v>
      </c>
    </row>
    <row r="147" spans="1:4" hidden="1" x14ac:dyDescent="0.35">
      <c r="A147" t="s">
        <v>176</v>
      </c>
      <c r="C147">
        <v>219</v>
      </c>
      <c r="D147" t="s">
        <v>319</v>
      </c>
    </row>
    <row r="148" spans="1:4" hidden="1" x14ac:dyDescent="0.35">
      <c r="A148" t="s">
        <v>177</v>
      </c>
      <c r="C148">
        <v>220</v>
      </c>
      <c r="D148" t="s">
        <v>320</v>
      </c>
    </row>
    <row r="149" spans="1:4" hidden="1" x14ac:dyDescent="0.35">
      <c r="A149" t="s">
        <v>178</v>
      </c>
      <c r="C149">
        <v>221</v>
      </c>
      <c r="D149" t="s">
        <v>321</v>
      </c>
    </row>
    <row r="150" spans="1:4" hidden="1" x14ac:dyDescent="0.35">
      <c r="A150" t="s">
        <v>179</v>
      </c>
      <c r="C150">
        <v>222</v>
      </c>
      <c r="D150" t="s">
        <v>322</v>
      </c>
    </row>
    <row r="151" spans="1:4" hidden="1" x14ac:dyDescent="0.35">
      <c r="A151" t="s">
        <v>180</v>
      </c>
      <c r="C151">
        <v>223</v>
      </c>
      <c r="D151" t="s">
        <v>323</v>
      </c>
    </row>
    <row r="152" spans="1:4" hidden="1" x14ac:dyDescent="0.35">
      <c r="A152" t="s">
        <v>181</v>
      </c>
      <c r="C152">
        <v>224</v>
      </c>
      <c r="D152" t="s">
        <v>324</v>
      </c>
    </row>
    <row r="153" spans="1:4" hidden="1" x14ac:dyDescent="0.35">
      <c r="A153" t="s">
        <v>182</v>
      </c>
      <c r="C153">
        <v>225</v>
      </c>
      <c r="D153" t="s">
        <v>325</v>
      </c>
    </row>
    <row r="154" spans="1:4" hidden="1" x14ac:dyDescent="0.35">
      <c r="A154" t="s">
        <v>183</v>
      </c>
      <c r="C154">
        <v>226</v>
      </c>
      <c r="D154" t="s">
        <v>326</v>
      </c>
    </row>
    <row r="155" spans="1:4" hidden="1" x14ac:dyDescent="0.35">
      <c r="A155" t="s">
        <v>184</v>
      </c>
      <c r="C155">
        <v>227</v>
      </c>
      <c r="D155" t="s">
        <v>327</v>
      </c>
    </row>
    <row r="156" spans="1:4" hidden="1" x14ac:dyDescent="0.35">
      <c r="A156" t="s">
        <v>185</v>
      </c>
      <c r="C156">
        <v>228</v>
      </c>
      <c r="D156" t="s">
        <v>328</v>
      </c>
    </row>
    <row r="157" spans="1:4" hidden="1" x14ac:dyDescent="0.35">
      <c r="A157" t="s">
        <v>186</v>
      </c>
      <c r="C157">
        <v>229</v>
      </c>
      <c r="D157" t="s">
        <v>329</v>
      </c>
    </row>
    <row r="158" spans="1:4" hidden="1" x14ac:dyDescent="0.35">
      <c r="A158" t="s">
        <v>187</v>
      </c>
      <c r="C158">
        <v>230</v>
      </c>
      <c r="D158" t="s">
        <v>330</v>
      </c>
    </row>
    <row r="159" spans="1:4" hidden="1" x14ac:dyDescent="0.35">
      <c r="A159" t="s">
        <v>188</v>
      </c>
      <c r="C159">
        <v>231</v>
      </c>
      <c r="D159" t="s">
        <v>331</v>
      </c>
    </row>
    <row r="160" spans="1:4" hidden="1" x14ac:dyDescent="0.35">
      <c r="A160" t="s">
        <v>189</v>
      </c>
      <c r="C160">
        <v>232</v>
      </c>
      <c r="D160" t="s">
        <v>332</v>
      </c>
    </row>
    <row r="161" spans="1:4" hidden="1" x14ac:dyDescent="0.35">
      <c r="A161" t="s">
        <v>190</v>
      </c>
      <c r="C161">
        <v>233</v>
      </c>
      <c r="D161" t="s">
        <v>333</v>
      </c>
    </row>
    <row r="162" spans="1:4" hidden="1" x14ac:dyDescent="0.35">
      <c r="A162" t="s">
        <v>191</v>
      </c>
      <c r="C162">
        <v>234</v>
      </c>
      <c r="D162" t="s">
        <v>334</v>
      </c>
    </row>
    <row r="163" spans="1:4" hidden="1" x14ac:dyDescent="0.35">
      <c r="A163" t="s">
        <v>192</v>
      </c>
      <c r="C163">
        <v>235</v>
      </c>
      <c r="D163" t="s">
        <v>335</v>
      </c>
    </row>
    <row r="164" spans="1:4" hidden="1" x14ac:dyDescent="0.35">
      <c r="A164" t="s">
        <v>193</v>
      </c>
      <c r="C164">
        <v>236</v>
      </c>
      <c r="D164" t="s">
        <v>336</v>
      </c>
    </row>
    <row r="165" spans="1:4" hidden="1" x14ac:dyDescent="0.35">
      <c r="A165" t="s">
        <v>194</v>
      </c>
      <c r="C165">
        <v>237</v>
      </c>
      <c r="D165" t="s">
        <v>337</v>
      </c>
    </row>
    <row r="166" spans="1:4" hidden="1" x14ac:dyDescent="0.35">
      <c r="A166" t="s">
        <v>195</v>
      </c>
      <c r="C166">
        <v>238</v>
      </c>
      <c r="D166" t="s">
        <v>338</v>
      </c>
    </row>
    <row r="167" spans="1:4" hidden="1" x14ac:dyDescent="0.35">
      <c r="A167" t="s">
        <v>196</v>
      </c>
      <c r="C167">
        <v>239</v>
      </c>
      <c r="D167" t="s">
        <v>339</v>
      </c>
    </row>
    <row r="168" spans="1:4" hidden="1" x14ac:dyDescent="0.35">
      <c r="A168" t="s">
        <v>197</v>
      </c>
      <c r="C168">
        <v>240</v>
      </c>
      <c r="D168" t="s">
        <v>340</v>
      </c>
    </row>
    <row r="169" spans="1:4" hidden="1" x14ac:dyDescent="0.35">
      <c r="A169" t="s">
        <v>198</v>
      </c>
      <c r="C169">
        <v>241</v>
      </c>
      <c r="D169" t="s">
        <v>341</v>
      </c>
    </row>
    <row r="170" spans="1:4" hidden="1" x14ac:dyDescent="0.35">
      <c r="A170" t="s">
        <v>199</v>
      </c>
      <c r="C170">
        <v>242</v>
      </c>
      <c r="D170" t="s">
        <v>342</v>
      </c>
    </row>
    <row r="171" spans="1:4" hidden="1" x14ac:dyDescent="0.35">
      <c r="A171" t="s">
        <v>200</v>
      </c>
      <c r="C171">
        <v>243</v>
      </c>
      <c r="D171" t="s">
        <v>343</v>
      </c>
    </row>
    <row r="172" spans="1:4" hidden="1" x14ac:dyDescent="0.35">
      <c r="A172" t="s">
        <v>201</v>
      </c>
      <c r="C172">
        <v>244</v>
      </c>
      <c r="D172" t="s">
        <v>344</v>
      </c>
    </row>
    <row r="173" spans="1:4" hidden="1" x14ac:dyDescent="0.35">
      <c r="A173" t="s">
        <v>789</v>
      </c>
      <c r="C173">
        <v>245</v>
      </c>
      <c r="D173" t="s">
        <v>345</v>
      </c>
    </row>
    <row r="174" spans="1:4" hidden="1" x14ac:dyDescent="0.35">
      <c r="A174" t="s">
        <v>790</v>
      </c>
      <c r="C174">
        <v>246</v>
      </c>
      <c r="D174" t="s">
        <v>346</v>
      </c>
    </row>
    <row r="175" spans="1:4" hidden="1" x14ac:dyDescent="0.35">
      <c r="A175" t="s">
        <v>791</v>
      </c>
      <c r="C175">
        <v>247</v>
      </c>
      <c r="D175" t="s">
        <v>347</v>
      </c>
    </row>
    <row r="176" spans="1:4" hidden="1" x14ac:dyDescent="0.35">
      <c r="A176" t="s">
        <v>792</v>
      </c>
      <c r="C176">
        <v>248</v>
      </c>
      <c r="D176" t="s">
        <v>348</v>
      </c>
    </row>
    <row r="177" spans="1:4" hidden="1" x14ac:dyDescent="0.35">
      <c r="A177" t="s">
        <v>793</v>
      </c>
      <c r="C177">
        <v>249</v>
      </c>
      <c r="D177" t="s">
        <v>349</v>
      </c>
    </row>
    <row r="178" spans="1:4" hidden="1" x14ac:dyDescent="0.35">
      <c r="A178" t="s">
        <v>794</v>
      </c>
      <c r="C178">
        <v>250</v>
      </c>
      <c r="D178" t="s">
        <v>350</v>
      </c>
    </row>
    <row r="179" spans="1:4" hidden="1" x14ac:dyDescent="0.35">
      <c r="A179" t="s">
        <v>795</v>
      </c>
      <c r="C179">
        <v>251</v>
      </c>
      <c r="D179" t="s">
        <v>351</v>
      </c>
    </row>
    <row r="180" spans="1:4" hidden="1" x14ac:dyDescent="0.35">
      <c r="A180" t="s">
        <v>796</v>
      </c>
      <c r="C180">
        <v>252</v>
      </c>
      <c r="D180" t="s">
        <v>352</v>
      </c>
    </row>
    <row r="181" spans="1:4" hidden="1" x14ac:dyDescent="0.35">
      <c r="A181" t="s">
        <v>797</v>
      </c>
      <c r="C181">
        <v>253</v>
      </c>
      <c r="D181" t="s">
        <v>353</v>
      </c>
    </row>
    <row r="182" spans="1:4" hidden="1" x14ac:dyDescent="0.35">
      <c r="A182" t="s">
        <v>798</v>
      </c>
      <c r="C182">
        <v>254</v>
      </c>
      <c r="D182" t="s">
        <v>354</v>
      </c>
    </row>
    <row r="183" spans="1:4" hidden="1" x14ac:dyDescent="0.35">
      <c r="A183" t="s">
        <v>799</v>
      </c>
      <c r="C183">
        <v>255</v>
      </c>
      <c r="D183" t="s">
        <v>355</v>
      </c>
    </row>
    <row r="184" spans="1:4" hidden="1" x14ac:dyDescent="0.35">
      <c r="A184" t="s">
        <v>800</v>
      </c>
      <c r="C184">
        <v>256</v>
      </c>
      <c r="D184" t="s">
        <v>356</v>
      </c>
    </row>
    <row r="185" spans="1:4" hidden="1" x14ac:dyDescent="0.35">
      <c r="A185" t="s">
        <v>202</v>
      </c>
      <c r="C185">
        <v>257</v>
      </c>
      <c r="D185" t="s">
        <v>357</v>
      </c>
    </row>
    <row r="186" spans="1:4" hidden="1" x14ac:dyDescent="0.35">
      <c r="A186" t="s">
        <v>203</v>
      </c>
      <c r="C186">
        <v>258</v>
      </c>
      <c r="D186" t="s">
        <v>358</v>
      </c>
    </row>
    <row r="187" spans="1:4" hidden="1" x14ac:dyDescent="0.35">
      <c r="A187" t="s">
        <v>204</v>
      </c>
      <c r="C187">
        <v>259</v>
      </c>
      <c r="D187" t="s">
        <v>359</v>
      </c>
    </row>
    <row r="188" spans="1:4" hidden="1" x14ac:dyDescent="0.35">
      <c r="A188" t="s">
        <v>205</v>
      </c>
      <c r="C188">
        <v>260</v>
      </c>
      <c r="D188" t="s">
        <v>360</v>
      </c>
    </row>
    <row r="189" spans="1:4" hidden="1" x14ac:dyDescent="0.35">
      <c r="A189" t="s">
        <v>206</v>
      </c>
      <c r="C189">
        <v>261</v>
      </c>
      <c r="D189" t="s">
        <v>361</v>
      </c>
    </row>
    <row r="190" spans="1:4" hidden="1" x14ac:dyDescent="0.35">
      <c r="A190" t="s">
        <v>207</v>
      </c>
      <c r="C190">
        <v>262</v>
      </c>
      <c r="D190" t="s">
        <v>362</v>
      </c>
    </row>
    <row r="191" spans="1:4" hidden="1" x14ac:dyDescent="0.35">
      <c r="A191" t="s">
        <v>208</v>
      </c>
      <c r="C191">
        <v>263</v>
      </c>
      <c r="D191" t="s">
        <v>363</v>
      </c>
    </row>
    <row r="192" spans="1:4" hidden="1" x14ac:dyDescent="0.35">
      <c r="A192" t="s">
        <v>209</v>
      </c>
      <c r="C192">
        <v>264</v>
      </c>
      <c r="D192" t="s">
        <v>364</v>
      </c>
    </row>
    <row r="193" spans="1:4" hidden="1" x14ac:dyDescent="0.35">
      <c r="A193" t="s">
        <v>210</v>
      </c>
      <c r="C193">
        <v>265</v>
      </c>
      <c r="D193" t="s">
        <v>365</v>
      </c>
    </row>
    <row r="194" spans="1:4" hidden="1" x14ac:dyDescent="0.35">
      <c r="A194" t="s">
        <v>211</v>
      </c>
      <c r="C194">
        <v>266</v>
      </c>
      <c r="D194" t="s">
        <v>366</v>
      </c>
    </row>
    <row r="195" spans="1:4" hidden="1" x14ac:dyDescent="0.35">
      <c r="A195" t="s">
        <v>212</v>
      </c>
      <c r="C195">
        <v>267</v>
      </c>
      <c r="D195" t="s">
        <v>367</v>
      </c>
    </row>
    <row r="196" spans="1:4" hidden="1" x14ac:dyDescent="0.35">
      <c r="A196" t="s">
        <v>213</v>
      </c>
      <c r="C196">
        <v>268</v>
      </c>
      <c r="D196" t="s">
        <v>368</v>
      </c>
    </row>
    <row r="197" spans="1:4" hidden="1" x14ac:dyDescent="0.35">
      <c r="A197" t="s">
        <v>214</v>
      </c>
      <c r="C197">
        <v>269</v>
      </c>
      <c r="D197" t="s">
        <v>369</v>
      </c>
    </row>
    <row r="198" spans="1:4" hidden="1" x14ac:dyDescent="0.35">
      <c r="A198" t="s">
        <v>215</v>
      </c>
      <c r="C198">
        <v>270</v>
      </c>
      <c r="D198" t="s">
        <v>370</v>
      </c>
    </row>
    <row r="199" spans="1:4" hidden="1" x14ac:dyDescent="0.35">
      <c r="A199" t="s">
        <v>216</v>
      </c>
      <c r="C199">
        <v>271</v>
      </c>
      <c r="D199" t="s">
        <v>371</v>
      </c>
    </row>
    <row r="200" spans="1:4" hidden="1" x14ac:dyDescent="0.35">
      <c r="A200" t="s">
        <v>217</v>
      </c>
      <c r="C200">
        <v>272</v>
      </c>
      <c r="D200" t="s">
        <v>372</v>
      </c>
    </row>
    <row r="201" spans="1:4" hidden="1" x14ac:dyDescent="0.35">
      <c r="A201" t="s">
        <v>801</v>
      </c>
      <c r="C201">
        <v>273</v>
      </c>
      <c r="D201" t="s">
        <v>373</v>
      </c>
    </row>
    <row r="202" spans="1:4" hidden="1" x14ac:dyDescent="0.35">
      <c r="A202" t="s">
        <v>802</v>
      </c>
      <c r="C202">
        <v>274</v>
      </c>
      <c r="D202" t="s">
        <v>374</v>
      </c>
    </row>
    <row r="203" spans="1:4" hidden="1" x14ac:dyDescent="0.35">
      <c r="A203" t="s">
        <v>218</v>
      </c>
      <c r="C203">
        <v>275</v>
      </c>
      <c r="D203" t="s">
        <v>375</v>
      </c>
    </row>
    <row r="204" spans="1:4" hidden="1" x14ac:dyDescent="0.35">
      <c r="A204" t="s">
        <v>219</v>
      </c>
      <c r="C204">
        <v>276</v>
      </c>
      <c r="D204" t="s">
        <v>376</v>
      </c>
    </row>
    <row r="205" spans="1:4" hidden="1" x14ac:dyDescent="0.35">
      <c r="A205" t="s">
        <v>220</v>
      </c>
      <c r="C205">
        <v>277</v>
      </c>
      <c r="D205" t="s">
        <v>377</v>
      </c>
    </row>
    <row r="206" spans="1:4" hidden="1" x14ac:dyDescent="0.35">
      <c r="A206" t="s">
        <v>221</v>
      </c>
      <c r="C206">
        <v>278</v>
      </c>
      <c r="D206" t="s">
        <v>378</v>
      </c>
    </row>
    <row r="207" spans="1:4" hidden="1" x14ac:dyDescent="0.35">
      <c r="A207" t="s">
        <v>222</v>
      </c>
      <c r="C207">
        <v>279</v>
      </c>
      <c r="D207" t="s">
        <v>379</v>
      </c>
    </row>
    <row r="208" spans="1:4" hidden="1" x14ac:dyDescent="0.35">
      <c r="A208" t="s">
        <v>223</v>
      </c>
      <c r="C208">
        <v>280</v>
      </c>
      <c r="D208" t="s">
        <v>380</v>
      </c>
    </row>
    <row r="209" spans="1:4" hidden="1" x14ac:dyDescent="0.35">
      <c r="A209" t="s">
        <v>224</v>
      </c>
      <c r="C209">
        <v>281</v>
      </c>
      <c r="D209" t="s">
        <v>381</v>
      </c>
    </row>
    <row r="210" spans="1:4" hidden="1" x14ac:dyDescent="0.35">
      <c r="A210" t="s">
        <v>225</v>
      </c>
      <c r="C210">
        <v>282</v>
      </c>
      <c r="D210" t="s">
        <v>382</v>
      </c>
    </row>
    <row r="211" spans="1:4" hidden="1" x14ac:dyDescent="0.35">
      <c r="A211" t="s">
        <v>226</v>
      </c>
      <c r="C211">
        <v>283</v>
      </c>
      <c r="D211" t="s">
        <v>383</v>
      </c>
    </row>
    <row r="212" spans="1:4" hidden="1" x14ac:dyDescent="0.35">
      <c r="A212" t="s">
        <v>227</v>
      </c>
      <c r="C212">
        <v>284</v>
      </c>
      <c r="D212" t="s">
        <v>384</v>
      </c>
    </row>
    <row r="213" spans="1:4" hidden="1" x14ac:dyDescent="0.35">
      <c r="A213" t="s">
        <v>228</v>
      </c>
      <c r="C213">
        <v>285</v>
      </c>
      <c r="D213" t="s">
        <v>385</v>
      </c>
    </row>
    <row r="214" spans="1:4" hidden="1" x14ac:dyDescent="0.35">
      <c r="A214" t="s">
        <v>229</v>
      </c>
      <c r="C214">
        <v>286</v>
      </c>
      <c r="D214" t="s">
        <v>386</v>
      </c>
    </row>
    <row r="215" spans="1:4" hidden="1" x14ac:dyDescent="0.35">
      <c r="A215" t="s">
        <v>230</v>
      </c>
      <c r="C215">
        <v>287</v>
      </c>
      <c r="D215" t="s">
        <v>387</v>
      </c>
    </row>
    <row r="216" spans="1:4" hidden="1" x14ac:dyDescent="0.35">
      <c r="A216" t="s">
        <v>231</v>
      </c>
      <c r="C216">
        <v>301</v>
      </c>
      <c r="D216" t="s">
        <v>388</v>
      </c>
    </row>
    <row r="217" spans="1:4" hidden="1" x14ac:dyDescent="0.35">
      <c r="A217" t="s">
        <v>232</v>
      </c>
      <c r="C217">
        <v>302</v>
      </c>
      <c r="D217" t="s">
        <v>389</v>
      </c>
    </row>
    <row r="218" spans="1:4" hidden="1" x14ac:dyDescent="0.35">
      <c r="A218" t="s">
        <v>233</v>
      </c>
      <c r="C218">
        <v>303</v>
      </c>
      <c r="D218" t="s">
        <v>390</v>
      </c>
    </row>
    <row r="219" spans="1:4" hidden="1" x14ac:dyDescent="0.35">
      <c r="A219" t="s">
        <v>234</v>
      </c>
      <c r="C219">
        <v>304</v>
      </c>
      <c r="D219" t="s">
        <v>391</v>
      </c>
    </row>
    <row r="220" spans="1:4" hidden="1" x14ac:dyDescent="0.35">
      <c r="A220" t="s">
        <v>235</v>
      </c>
      <c r="C220">
        <v>305</v>
      </c>
      <c r="D220" t="s">
        <v>392</v>
      </c>
    </row>
    <row r="221" spans="1:4" hidden="1" x14ac:dyDescent="0.35">
      <c r="A221" t="s">
        <v>236</v>
      </c>
      <c r="C221">
        <v>306</v>
      </c>
      <c r="D221" t="s">
        <v>393</v>
      </c>
    </row>
    <row r="222" spans="1:4" hidden="1" x14ac:dyDescent="0.35">
      <c r="A222" t="s">
        <v>237</v>
      </c>
      <c r="C222">
        <v>307</v>
      </c>
      <c r="D222" t="s">
        <v>394</v>
      </c>
    </row>
    <row r="223" spans="1:4" hidden="1" x14ac:dyDescent="0.35">
      <c r="A223" t="s">
        <v>238</v>
      </c>
      <c r="C223">
        <v>308</v>
      </c>
      <c r="D223" t="s">
        <v>395</v>
      </c>
    </row>
    <row r="224" spans="1:4" hidden="1" x14ac:dyDescent="0.35">
      <c r="A224" t="s">
        <v>239</v>
      </c>
      <c r="C224">
        <v>309</v>
      </c>
      <c r="D224" t="s">
        <v>396</v>
      </c>
    </row>
    <row r="225" spans="1:4" hidden="1" x14ac:dyDescent="0.35">
      <c r="A225" t="s">
        <v>240</v>
      </c>
      <c r="C225">
        <v>310</v>
      </c>
      <c r="D225" t="s">
        <v>397</v>
      </c>
    </row>
    <row r="226" spans="1:4" hidden="1" x14ac:dyDescent="0.35">
      <c r="A226" t="s">
        <v>241</v>
      </c>
      <c r="C226">
        <v>311</v>
      </c>
      <c r="D226" t="s">
        <v>398</v>
      </c>
    </row>
    <row r="227" spans="1:4" hidden="1" x14ac:dyDescent="0.35">
      <c r="A227" t="s">
        <v>242</v>
      </c>
      <c r="C227">
        <v>312</v>
      </c>
      <c r="D227" t="s">
        <v>399</v>
      </c>
    </row>
    <row r="228" spans="1:4" hidden="1" x14ac:dyDescent="0.35">
      <c r="A228" t="s">
        <v>243</v>
      </c>
      <c r="C228">
        <v>313</v>
      </c>
      <c r="D228" t="s">
        <v>400</v>
      </c>
    </row>
    <row r="229" spans="1:4" hidden="1" x14ac:dyDescent="0.35">
      <c r="A229" t="s">
        <v>244</v>
      </c>
      <c r="C229">
        <v>314</v>
      </c>
      <c r="D229" t="s">
        <v>401</v>
      </c>
    </row>
    <row r="230" spans="1:4" hidden="1" x14ac:dyDescent="0.35">
      <c r="A230" t="s">
        <v>245</v>
      </c>
      <c r="C230">
        <v>315</v>
      </c>
      <c r="D230" t="s">
        <v>402</v>
      </c>
    </row>
    <row r="231" spans="1:4" hidden="1" x14ac:dyDescent="0.35">
      <c r="A231" t="s">
        <v>246</v>
      </c>
      <c r="C231">
        <v>316</v>
      </c>
      <c r="D231" t="s">
        <v>403</v>
      </c>
    </row>
    <row r="232" spans="1:4" hidden="1" x14ac:dyDescent="0.35">
      <c r="A232" t="s">
        <v>247</v>
      </c>
      <c r="C232">
        <v>401</v>
      </c>
      <c r="D232" t="s">
        <v>404</v>
      </c>
    </row>
    <row r="233" spans="1:4" hidden="1" x14ac:dyDescent="0.35">
      <c r="A233" t="s">
        <v>248</v>
      </c>
      <c r="C233">
        <v>402</v>
      </c>
      <c r="D233" t="s">
        <v>405</v>
      </c>
    </row>
    <row r="234" spans="1:4" hidden="1" x14ac:dyDescent="0.35">
      <c r="A234" t="s">
        <v>249</v>
      </c>
      <c r="C234">
        <v>403</v>
      </c>
      <c r="D234" t="s">
        <v>406</v>
      </c>
    </row>
    <row r="235" spans="1:4" hidden="1" x14ac:dyDescent="0.35">
      <c r="A235" t="s">
        <v>250</v>
      </c>
      <c r="C235">
        <v>404</v>
      </c>
      <c r="D235" t="s">
        <v>407</v>
      </c>
    </row>
    <row r="236" spans="1:4" hidden="1" x14ac:dyDescent="0.35">
      <c r="A236" t="s">
        <v>251</v>
      </c>
      <c r="C236">
        <v>405</v>
      </c>
      <c r="D236" t="s">
        <v>408</v>
      </c>
    </row>
    <row r="237" spans="1:4" hidden="1" x14ac:dyDescent="0.35">
      <c r="A237" t="s">
        <v>252</v>
      </c>
      <c r="C237">
        <v>406</v>
      </c>
      <c r="D237" t="s">
        <v>409</v>
      </c>
    </row>
    <row r="238" spans="1:4" hidden="1" x14ac:dyDescent="0.35">
      <c r="A238" t="s">
        <v>253</v>
      </c>
      <c r="C238">
        <v>407</v>
      </c>
      <c r="D238" t="s">
        <v>410</v>
      </c>
    </row>
    <row r="239" spans="1:4" hidden="1" x14ac:dyDescent="0.35">
      <c r="A239" t="s">
        <v>254</v>
      </c>
      <c r="C239">
        <v>501</v>
      </c>
      <c r="D239" t="s">
        <v>411</v>
      </c>
    </row>
    <row r="240" spans="1:4" hidden="1" x14ac:dyDescent="0.35">
      <c r="A240" t="s">
        <v>255</v>
      </c>
      <c r="C240">
        <v>502</v>
      </c>
      <c r="D240" t="s">
        <v>412</v>
      </c>
    </row>
    <row r="241" spans="1:4" hidden="1" x14ac:dyDescent="0.35">
      <c r="A241" t="s">
        <v>256</v>
      </c>
      <c r="C241">
        <v>503</v>
      </c>
      <c r="D241" t="s">
        <v>413</v>
      </c>
    </row>
    <row r="242" spans="1:4" hidden="1" x14ac:dyDescent="0.35">
      <c r="A242" t="s">
        <v>257</v>
      </c>
      <c r="C242">
        <v>504</v>
      </c>
      <c r="D242" t="s">
        <v>414</v>
      </c>
    </row>
    <row r="243" spans="1:4" hidden="1" x14ac:dyDescent="0.35">
      <c r="A243" t="s">
        <v>258</v>
      </c>
      <c r="C243">
        <v>505</v>
      </c>
      <c r="D243" t="s">
        <v>415</v>
      </c>
    </row>
    <row r="244" spans="1:4" hidden="1" x14ac:dyDescent="0.35">
      <c r="A244" t="s">
        <v>259</v>
      </c>
      <c r="C244">
        <v>506</v>
      </c>
      <c r="D244" t="s">
        <v>416</v>
      </c>
    </row>
    <row r="245" spans="1:4" hidden="1" x14ac:dyDescent="0.35">
      <c r="A245" t="s">
        <v>260</v>
      </c>
      <c r="C245">
        <v>507</v>
      </c>
      <c r="D245" t="s">
        <v>417</v>
      </c>
    </row>
    <row r="246" spans="1:4" hidden="1" x14ac:dyDescent="0.35">
      <c r="A246" t="s">
        <v>261</v>
      </c>
      <c r="C246">
        <v>508</v>
      </c>
      <c r="D246" t="s">
        <v>418</v>
      </c>
    </row>
    <row r="247" spans="1:4" hidden="1" x14ac:dyDescent="0.35">
      <c r="A247" t="s">
        <v>262</v>
      </c>
      <c r="C247">
        <v>509</v>
      </c>
      <c r="D247" t="s">
        <v>419</v>
      </c>
    </row>
    <row r="248" spans="1:4" hidden="1" x14ac:dyDescent="0.35">
      <c r="A248" t="s">
        <v>263</v>
      </c>
      <c r="C248">
        <v>510</v>
      </c>
      <c r="D248" t="s">
        <v>420</v>
      </c>
    </row>
    <row r="249" spans="1:4" hidden="1" x14ac:dyDescent="0.35">
      <c r="A249" t="s">
        <v>264</v>
      </c>
      <c r="C249">
        <v>511</v>
      </c>
      <c r="D249" t="s">
        <v>421</v>
      </c>
    </row>
    <row r="250" spans="1:4" hidden="1" x14ac:dyDescent="0.35">
      <c r="A250" t="s">
        <v>265</v>
      </c>
      <c r="C250">
        <v>512</v>
      </c>
      <c r="D250" t="s">
        <v>422</v>
      </c>
    </row>
    <row r="251" spans="1:4" hidden="1" x14ac:dyDescent="0.35">
      <c r="A251" t="s">
        <v>266</v>
      </c>
      <c r="C251">
        <v>513</v>
      </c>
      <c r="D251" t="s">
        <v>423</v>
      </c>
    </row>
    <row r="252" spans="1:4" hidden="1" x14ac:dyDescent="0.35">
      <c r="A252" t="s">
        <v>267</v>
      </c>
      <c r="C252">
        <v>514</v>
      </c>
      <c r="D252" t="s">
        <v>424</v>
      </c>
    </row>
    <row r="253" spans="1:4" hidden="1" x14ac:dyDescent="0.35">
      <c r="A253" t="s">
        <v>268</v>
      </c>
      <c r="C253">
        <v>515</v>
      </c>
      <c r="D253" t="s">
        <v>425</v>
      </c>
    </row>
    <row r="254" spans="1:4" hidden="1" x14ac:dyDescent="0.35">
      <c r="A254" t="s">
        <v>269</v>
      </c>
      <c r="C254">
        <v>516</v>
      </c>
      <c r="D254" t="s">
        <v>426</v>
      </c>
    </row>
    <row r="255" spans="1:4" hidden="1" x14ac:dyDescent="0.35">
      <c r="A255" t="s">
        <v>270</v>
      </c>
      <c r="C255">
        <v>517</v>
      </c>
      <c r="D255" t="s">
        <v>427</v>
      </c>
    </row>
    <row r="256" spans="1:4" hidden="1" x14ac:dyDescent="0.35">
      <c r="A256" t="s">
        <v>271</v>
      </c>
      <c r="C256">
        <v>518</v>
      </c>
      <c r="D256" t="s">
        <v>428</v>
      </c>
    </row>
    <row r="257" spans="1:4" hidden="1" x14ac:dyDescent="0.35">
      <c r="A257" t="s">
        <v>272</v>
      </c>
      <c r="C257">
        <v>519</v>
      </c>
      <c r="D257" t="s">
        <v>429</v>
      </c>
    </row>
    <row r="258" spans="1:4" hidden="1" x14ac:dyDescent="0.35">
      <c r="A258" t="s">
        <v>273</v>
      </c>
      <c r="C258">
        <v>520</v>
      </c>
      <c r="D258" t="s">
        <v>430</v>
      </c>
    </row>
    <row r="259" spans="1:4" hidden="1" x14ac:dyDescent="0.35">
      <c r="A259" t="s">
        <v>274</v>
      </c>
      <c r="C259">
        <v>521</v>
      </c>
      <c r="D259" t="s">
        <v>431</v>
      </c>
    </row>
    <row r="260" spans="1:4" hidden="1" x14ac:dyDescent="0.35">
      <c r="C260">
        <v>522</v>
      </c>
      <c r="D260" t="s">
        <v>432</v>
      </c>
    </row>
    <row r="261" spans="1:4" hidden="1" x14ac:dyDescent="0.35">
      <c r="C261">
        <v>523</v>
      </c>
      <c r="D261" t="s">
        <v>433</v>
      </c>
    </row>
    <row r="262" spans="1:4" hidden="1" x14ac:dyDescent="0.35">
      <c r="C262">
        <v>524</v>
      </c>
      <c r="D262" t="s">
        <v>434</v>
      </c>
    </row>
    <row r="263" spans="1:4" hidden="1" x14ac:dyDescent="0.35">
      <c r="C263">
        <v>525</v>
      </c>
      <c r="D263" t="s">
        <v>435</v>
      </c>
    </row>
    <row r="264" spans="1:4" hidden="1" x14ac:dyDescent="0.35">
      <c r="C264">
        <v>526</v>
      </c>
      <c r="D264" t="s">
        <v>436</v>
      </c>
    </row>
    <row r="265" spans="1:4" hidden="1" x14ac:dyDescent="0.35">
      <c r="C265">
        <v>527</v>
      </c>
      <c r="D265" t="s">
        <v>437</v>
      </c>
    </row>
    <row r="266" spans="1:4" hidden="1" x14ac:dyDescent="0.35">
      <c r="C266">
        <v>528</v>
      </c>
      <c r="D266" t="s">
        <v>438</v>
      </c>
    </row>
    <row r="267" spans="1:4" hidden="1" x14ac:dyDescent="0.35">
      <c r="C267">
        <v>529</v>
      </c>
      <c r="D267" t="s">
        <v>439</v>
      </c>
    </row>
    <row r="268" spans="1:4" hidden="1" x14ac:dyDescent="0.35">
      <c r="C268">
        <v>530</v>
      </c>
      <c r="D268" t="s">
        <v>440</v>
      </c>
    </row>
    <row r="269" spans="1:4" hidden="1" x14ac:dyDescent="0.35">
      <c r="C269">
        <v>531</v>
      </c>
      <c r="D269" t="s">
        <v>441</v>
      </c>
    </row>
    <row r="270" spans="1:4" hidden="1" x14ac:dyDescent="0.35">
      <c r="C270">
        <v>532</v>
      </c>
      <c r="D270" t="s">
        <v>442</v>
      </c>
    </row>
    <row r="271" spans="1:4" hidden="1" x14ac:dyDescent="0.35">
      <c r="C271">
        <v>601</v>
      </c>
      <c r="D271" t="s">
        <v>443</v>
      </c>
    </row>
    <row r="272" spans="1:4" hidden="1" x14ac:dyDescent="0.35">
      <c r="C272">
        <v>602</v>
      </c>
      <c r="D272" t="s">
        <v>444</v>
      </c>
    </row>
    <row r="273" spans="3:4" hidden="1" x14ac:dyDescent="0.35">
      <c r="C273">
        <v>701</v>
      </c>
      <c r="D273" t="s">
        <v>445</v>
      </c>
    </row>
    <row r="274" spans="3:4" hidden="1" x14ac:dyDescent="0.35">
      <c r="C274">
        <v>702</v>
      </c>
      <c r="D274" t="s">
        <v>446</v>
      </c>
    </row>
    <row r="275" spans="3:4" hidden="1" x14ac:dyDescent="0.35">
      <c r="C275">
        <v>721</v>
      </c>
      <c r="D275" t="s">
        <v>447</v>
      </c>
    </row>
    <row r="276" spans="3:4" hidden="1" x14ac:dyDescent="0.35">
      <c r="C276">
        <v>800</v>
      </c>
      <c r="D276" t="s">
        <v>448</v>
      </c>
    </row>
    <row r="277" spans="3:4" hidden="1" x14ac:dyDescent="0.35">
      <c r="C277">
        <v>900</v>
      </c>
      <c r="D277" t="s">
        <v>449</v>
      </c>
    </row>
    <row r="278" spans="3:4" hidden="1" x14ac:dyDescent="0.35">
      <c r="C278">
        <v>951</v>
      </c>
      <c r="D278" t="s">
        <v>450</v>
      </c>
    </row>
    <row r="279" spans="3:4" hidden="1" x14ac:dyDescent="0.35">
      <c r="C279">
        <v>961</v>
      </c>
      <c r="D279" t="s">
        <v>451</v>
      </c>
    </row>
    <row r="280" spans="3:4" hidden="1" x14ac:dyDescent="0.35">
      <c r="C280">
        <v>981</v>
      </c>
      <c r="D280" t="s">
        <v>452</v>
      </c>
    </row>
    <row r="281" spans="3:4" hidden="1" x14ac:dyDescent="0.35">
      <c r="C281">
        <v>991</v>
      </c>
      <c r="D281" t="s">
        <v>453</v>
      </c>
    </row>
    <row r="282" spans="3:4" hidden="1" x14ac:dyDescent="0.35">
      <c r="C282">
        <v>1001</v>
      </c>
      <c r="D282" t="s">
        <v>454</v>
      </c>
    </row>
    <row r="283" spans="3:4" hidden="1" x14ac:dyDescent="0.35">
      <c r="C283">
        <v>1002</v>
      </c>
      <c r="D283" t="s">
        <v>455</v>
      </c>
    </row>
    <row r="284" spans="3:4" hidden="1" x14ac:dyDescent="0.35">
      <c r="C284">
        <v>1003</v>
      </c>
      <c r="D284" t="s">
        <v>456</v>
      </c>
    </row>
    <row r="285" spans="3:4" hidden="1" x14ac:dyDescent="0.35">
      <c r="C285">
        <v>1004</v>
      </c>
      <c r="D285" t="s">
        <v>457</v>
      </c>
    </row>
    <row r="286" spans="3:4" hidden="1" x14ac:dyDescent="0.35">
      <c r="C286">
        <v>23512</v>
      </c>
      <c r="D286" t="s">
        <v>458</v>
      </c>
    </row>
    <row r="287" spans="3:4" hidden="1" x14ac:dyDescent="0.35">
      <c r="C287">
        <v>23513</v>
      </c>
      <c r="D287" t="s">
        <v>459</v>
      </c>
    </row>
    <row r="288" spans="3:4" hidden="1" x14ac:dyDescent="0.35">
      <c r="C288">
        <v>23514</v>
      </c>
      <c r="D288" t="s">
        <v>460</v>
      </c>
    </row>
    <row r="289" spans="3:4" hidden="1" x14ac:dyDescent="0.35">
      <c r="C289">
        <v>23515</v>
      </c>
      <c r="D289" t="s">
        <v>461</v>
      </c>
    </row>
    <row r="290" spans="3:4" hidden="1" x14ac:dyDescent="0.35">
      <c r="C290">
        <v>23516</v>
      </c>
      <c r="D290" t="s">
        <v>462</v>
      </c>
    </row>
    <row r="291" spans="3:4" hidden="1" x14ac:dyDescent="0.35">
      <c r="C291">
        <v>23517</v>
      </c>
      <c r="D291" t="s">
        <v>463</v>
      </c>
    </row>
    <row r="292" spans="3:4" hidden="1" x14ac:dyDescent="0.35">
      <c r="C292">
        <v>23518</v>
      </c>
      <c r="D292" t="s">
        <v>464</v>
      </c>
    </row>
    <row r="293" spans="3:4" hidden="1" x14ac:dyDescent="0.35">
      <c r="C293">
        <v>23519</v>
      </c>
      <c r="D293" t="s">
        <v>465</v>
      </c>
    </row>
    <row r="294" spans="3:4" hidden="1" x14ac:dyDescent="0.35">
      <c r="C294">
        <v>23520</v>
      </c>
      <c r="D294" t="s">
        <v>466</v>
      </c>
    </row>
    <row r="295" spans="3:4" hidden="1" x14ac:dyDescent="0.35">
      <c r="C295">
        <v>23522</v>
      </c>
      <c r="D295" t="s">
        <v>467</v>
      </c>
    </row>
    <row r="296" spans="3:4" hidden="1" x14ac:dyDescent="0.35">
      <c r="C296">
        <v>23523</v>
      </c>
      <c r="D296" t="s">
        <v>468</v>
      </c>
    </row>
    <row r="297" spans="3:4" hidden="1" x14ac:dyDescent="0.35">
      <c r="C297">
        <v>23524</v>
      </c>
      <c r="D297" t="s">
        <v>469</v>
      </c>
    </row>
    <row r="298" spans="3:4" hidden="1" x14ac:dyDescent="0.35">
      <c r="C298">
        <v>23526</v>
      </c>
      <c r="D298" t="s">
        <v>470</v>
      </c>
    </row>
    <row r="299" spans="3:4" hidden="1" x14ac:dyDescent="0.35">
      <c r="C299">
        <v>23527</v>
      </c>
      <c r="D299" t="s">
        <v>471</v>
      </c>
    </row>
    <row r="300" spans="3:4" hidden="1" x14ac:dyDescent="0.35">
      <c r="C300">
        <v>23528</v>
      </c>
      <c r="D300" t="s">
        <v>472</v>
      </c>
    </row>
    <row r="301" spans="3:4" hidden="1" x14ac:dyDescent="0.35">
      <c r="C301">
        <v>23530</v>
      </c>
      <c r="D301" t="s">
        <v>473</v>
      </c>
    </row>
    <row r="302" spans="3:4" hidden="1" x14ac:dyDescent="0.35">
      <c r="C302">
        <v>23531</v>
      </c>
      <c r="D302" t="s">
        <v>474</v>
      </c>
    </row>
    <row r="303" spans="3:4" hidden="1" x14ac:dyDescent="0.35">
      <c r="C303">
        <v>23533</v>
      </c>
      <c r="D303" t="s">
        <v>475</v>
      </c>
    </row>
    <row r="304" spans="3:4" hidden="1" x14ac:dyDescent="0.35">
      <c r="C304">
        <v>23534</v>
      </c>
      <c r="D304" t="s">
        <v>476</v>
      </c>
    </row>
    <row r="305" spans="3:4" hidden="1" x14ac:dyDescent="0.35">
      <c r="C305">
        <v>23535</v>
      </c>
      <c r="D305" t="s">
        <v>477</v>
      </c>
    </row>
    <row r="306" spans="3:4" hidden="1" x14ac:dyDescent="0.35">
      <c r="C306">
        <v>23538</v>
      </c>
      <c r="D306" t="s">
        <v>478</v>
      </c>
    </row>
    <row r="307" spans="3:4" hidden="1" x14ac:dyDescent="0.35">
      <c r="C307">
        <v>23540</v>
      </c>
      <c r="D307" t="s">
        <v>479</v>
      </c>
    </row>
    <row r="308" spans="3:4" hidden="1" x14ac:dyDescent="0.35">
      <c r="C308">
        <v>23541</v>
      </c>
      <c r="D308" t="s">
        <v>480</v>
      </c>
    </row>
    <row r="309" spans="3:4" hidden="1" x14ac:dyDescent="0.35">
      <c r="C309">
        <v>23543</v>
      </c>
      <c r="D309" t="s">
        <v>481</v>
      </c>
    </row>
    <row r="310" spans="3:4" hidden="1" x14ac:dyDescent="0.35">
      <c r="C310">
        <v>23545</v>
      </c>
      <c r="D310" t="s">
        <v>482</v>
      </c>
    </row>
    <row r="311" spans="3:4" hidden="1" x14ac:dyDescent="0.35">
      <c r="C311">
        <v>23546</v>
      </c>
      <c r="D311" t="s">
        <v>483</v>
      </c>
    </row>
    <row r="312" spans="3:4" hidden="1" x14ac:dyDescent="0.35">
      <c r="C312">
        <v>23547</v>
      </c>
      <c r="D312" t="s">
        <v>484</v>
      </c>
    </row>
    <row r="313" spans="3:4" hidden="1" x14ac:dyDescent="0.35">
      <c r="C313">
        <v>23548</v>
      </c>
      <c r="D313" t="s">
        <v>485</v>
      </c>
    </row>
    <row r="314" spans="3:4" hidden="1" x14ac:dyDescent="0.35">
      <c r="C314">
        <v>23550</v>
      </c>
      <c r="D314" t="s">
        <v>486</v>
      </c>
    </row>
    <row r="315" spans="3:4" hidden="1" x14ac:dyDescent="0.35">
      <c r="C315">
        <v>23551</v>
      </c>
      <c r="D315" t="s">
        <v>487</v>
      </c>
    </row>
    <row r="316" spans="3:4" hidden="1" x14ac:dyDescent="0.35">
      <c r="C316">
        <v>23552</v>
      </c>
      <c r="D316" t="s">
        <v>488</v>
      </c>
    </row>
    <row r="317" spans="3:4" hidden="1" x14ac:dyDescent="0.35">
      <c r="C317">
        <v>23553</v>
      </c>
      <c r="D317" t="s">
        <v>489</v>
      </c>
    </row>
    <row r="318" spans="3:4" hidden="1" x14ac:dyDescent="0.35">
      <c r="C318">
        <v>23555</v>
      </c>
      <c r="D318" t="s">
        <v>490</v>
      </c>
    </row>
    <row r="319" spans="3:4" hidden="1" x14ac:dyDescent="0.35">
      <c r="C319">
        <v>23557</v>
      </c>
      <c r="D319" t="s">
        <v>491</v>
      </c>
    </row>
    <row r="320" spans="3:4" hidden="1" x14ac:dyDescent="0.35">
      <c r="C320">
        <v>23558</v>
      </c>
      <c r="D320" t="s">
        <v>492</v>
      </c>
    </row>
    <row r="321" spans="3:4" hidden="1" x14ac:dyDescent="0.35">
      <c r="C321">
        <v>23559</v>
      </c>
      <c r="D321" t="s">
        <v>493</v>
      </c>
    </row>
    <row r="322" spans="3:4" hidden="1" x14ac:dyDescent="0.35">
      <c r="C322">
        <v>23560</v>
      </c>
      <c r="D322" t="s">
        <v>494</v>
      </c>
    </row>
    <row r="323" spans="3:4" hidden="1" x14ac:dyDescent="0.35">
      <c r="C323">
        <v>23561</v>
      </c>
      <c r="D323" t="s">
        <v>495</v>
      </c>
    </row>
    <row r="324" spans="3:4" hidden="1" x14ac:dyDescent="0.35">
      <c r="C324">
        <v>23562</v>
      </c>
      <c r="D324" t="s">
        <v>496</v>
      </c>
    </row>
    <row r="325" spans="3:4" hidden="1" x14ac:dyDescent="0.35">
      <c r="C325">
        <v>23563</v>
      </c>
      <c r="D325" t="s">
        <v>497</v>
      </c>
    </row>
    <row r="326" spans="3:4" hidden="1" x14ac:dyDescent="0.35">
      <c r="C326">
        <v>23564</v>
      </c>
      <c r="D326" t="s">
        <v>498</v>
      </c>
    </row>
    <row r="327" spans="3:4" hidden="1" x14ac:dyDescent="0.35">
      <c r="C327">
        <v>23565</v>
      </c>
      <c r="D327" t="s">
        <v>499</v>
      </c>
    </row>
    <row r="328" spans="3:4" hidden="1" x14ac:dyDescent="0.35">
      <c r="C328">
        <v>23566</v>
      </c>
      <c r="D328" t="s">
        <v>500</v>
      </c>
    </row>
    <row r="329" spans="3:4" hidden="1" x14ac:dyDescent="0.35">
      <c r="C329">
        <v>23567</v>
      </c>
      <c r="D329" t="s">
        <v>501</v>
      </c>
    </row>
    <row r="330" spans="3:4" hidden="1" x14ac:dyDescent="0.35">
      <c r="C330">
        <v>23571</v>
      </c>
      <c r="D330" t="s">
        <v>502</v>
      </c>
    </row>
    <row r="331" spans="3:4" hidden="1" x14ac:dyDescent="0.35">
      <c r="C331">
        <v>23572</v>
      </c>
      <c r="D331" t="s">
        <v>503</v>
      </c>
    </row>
    <row r="332" spans="3:4" hidden="1" x14ac:dyDescent="0.35">
      <c r="C332">
        <v>23573</v>
      </c>
      <c r="D332" t="s">
        <v>504</v>
      </c>
    </row>
    <row r="333" spans="3:4" hidden="1" x14ac:dyDescent="0.35">
      <c r="C333">
        <v>23574</v>
      </c>
      <c r="D333" t="s">
        <v>505</v>
      </c>
    </row>
    <row r="334" spans="3:4" hidden="1" x14ac:dyDescent="0.35">
      <c r="C334">
        <v>23575</v>
      </c>
      <c r="D334" t="s">
        <v>506</v>
      </c>
    </row>
    <row r="335" spans="3:4" hidden="1" x14ac:dyDescent="0.35">
      <c r="C335">
        <v>23579</v>
      </c>
      <c r="D335" t="s">
        <v>507</v>
      </c>
    </row>
    <row r="336" spans="3:4" hidden="1" x14ac:dyDescent="0.35">
      <c r="C336">
        <v>23580</v>
      </c>
      <c r="D336" t="s">
        <v>508</v>
      </c>
    </row>
    <row r="337" spans="3:4" hidden="1" x14ac:dyDescent="0.35">
      <c r="C337">
        <v>23582</v>
      </c>
      <c r="D337" t="s">
        <v>509</v>
      </c>
    </row>
    <row r="338" spans="3:4" hidden="1" x14ac:dyDescent="0.35">
      <c r="C338">
        <v>23583</v>
      </c>
      <c r="D338" t="s">
        <v>510</v>
      </c>
    </row>
    <row r="339" spans="3:4" hidden="1" x14ac:dyDescent="0.35">
      <c r="C339">
        <v>23584</v>
      </c>
      <c r="D339" t="s">
        <v>511</v>
      </c>
    </row>
    <row r="340" spans="3:4" hidden="1" x14ac:dyDescent="0.35">
      <c r="C340">
        <v>23585</v>
      </c>
      <c r="D340" t="s">
        <v>512</v>
      </c>
    </row>
    <row r="341" spans="3:4" hidden="1" x14ac:dyDescent="0.35">
      <c r="C341">
        <v>23586</v>
      </c>
      <c r="D341" t="s">
        <v>513</v>
      </c>
    </row>
    <row r="342" spans="3:4" hidden="1" x14ac:dyDescent="0.35">
      <c r="C342">
        <v>23587</v>
      </c>
      <c r="D342" t="s">
        <v>514</v>
      </c>
    </row>
    <row r="343" spans="3:4" hidden="1" x14ac:dyDescent="0.35">
      <c r="C343">
        <v>23588</v>
      </c>
      <c r="D343" t="s">
        <v>515</v>
      </c>
    </row>
    <row r="344" spans="3:4" hidden="1" x14ac:dyDescent="0.35">
      <c r="C344">
        <v>23589</v>
      </c>
      <c r="D344" t="s">
        <v>516</v>
      </c>
    </row>
    <row r="345" spans="3:4" hidden="1" x14ac:dyDescent="0.35">
      <c r="C345">
        <v>23590</v>
      </c>
      <c r="D345" t="s">
        <v>517</v>
      </c>
    </row>
    <row r="346" spans="3:4" hidden="1" x14ac:dyDescent="0.35">
      <c r="C346">
        <v>23591</v>
      </c>
      <c r="D346" t="s">
        <v>518</v>
      </c>
    </row>
    <row r="347" spans="3:4" hidden="1" x14ac:dyDescent="0.35">
      <c r="C347">
        <v>23592</v>
      </c>
      <c r="D347" t="s">
        <v>519</v>
      </c>
    </row>
    <row r="348" spans="3:4" hidden="1" x14ac:dyDescent="0.35">
      <c r="C348">
        <v>23593</v>
      </c>
      <c r="D348" t="s">
        <v>520</v>
      </c>
    </row>
    <row r="349" spans="3:4" hidden="1" x14ac:dyDescent="0.35">
      <c r="C349">
        <v>23595</v>
      </c>
      <c r="D349" t="s">
        <v>521</v>
      </c>
    </row>
    <row r="350" spans="3:4" hidden="1" x14ac:dyDescent="0.35">
      <c r="C350">
        <v>23598</v>
      </c>
      <c r="D350" t="s">
        <v>522</v>
      </c>
    </row>
    <row r="351" spans="3:4" hidden="1" x14ac:dyDescent="0.35">
      <c r="C351">
        <v>23600</v>
      </c>
      <c r="D351" t="s">
        <v>523</v>
      </c>
    </row>
    <row r="352" spans="3:4" hidden="1" x14ac:dyDescent="0.35">
      <c r="C352">
        <v>23601</v>
      </c>
      <c r="D352" t="s">
        <v>524</v>
      </c>
    </row>
    <row r="353" spans="3:4" hidden="1" x14ac:dyDescent="0.35">
      <c r="C353">
        <v>23603</v>
      </c>
      <c r="D353" t="s">
        <v>525</v>
      </c>
    </row>
    <row r="354" spans="3:4" hidden="1" x14ac:dyDescent="0.35">
      <c r="C354">
        <v>23604</v>
      </c>
      <c r="D354" t="s">
        <v>526</v>
      </c>
    </row>
    <row r="355" spans="3:4" hidden="1" x14ac:dyDescent="0.35">
      <c r="C355">
        <v>23606</v>
      </c>
      <c r="D355" t="s">
        <v>527</v>
      </c>
    </row>
    <row r="356" spans="3:4" hidden="1" x14ac:dyDescent="0.35">
      <c r="C356">
        <v>23607</v>
      </c>
      <c r="D356" t="s">
        <v>528</v>
      </c>
    </row>
    <row r="357" spans="3:4" hidden="1" x14ac:dyDescent="0.35">
      <c r="C357">
        <v>23608</v>
      </c>
      <c r="D357" t="s">
        <v>529</v>
      </c>
    </row>
    <row r="358" spans="3:4" hidden="1" x14ac:dyDescent="0.35">
      <c r="C358">
        <v>23609</v>
      </c>
      <c r="D358" t="s">
        <v>530</v>
      </c>
    </row>
    <row r="359" spans="3:4" hidden="1" x14ac:dyDescent="0.35">
      <c r="C359">
        <v>23610</v>
      </c>
      <c r="D359" t="s">
        <v>531</v>
      </c>
    </row>
    <row r="360" spans="3:4" hidden="1" x14ac:dyDescent="0.35">
      <c r="C360">
        <v>23611</v>
      </c>
      <c r="D360" t="s">
        <v>532</v>
      </c>
    </row>
    <row r="361" spans="3:4" hidden="1" x14ac:dyDescent="0.35">
      <c r="C361">
        <v>23612</v>
      </c>
      <c r="D361" t="s">
        <v>533</v>
      </c>
    </row>
    <row r="362" spans="3:4" hidden="1" x14ac:dyDescent="0.35">
      <c r="C362">
        <v>23613</v>
      </c>
      <c r="D362" t="s">
        <v>534</v>
      </c>
    </row>
    <row r="363" spans="3:4" hidden="1" x14ac:dyDescent="0.35">
      <c r="C363">
        <v>23614</v>
      </c>
      <c r="D363" t="s">
        <v>535</v>
      </c>
    </row>
    <row r="364" spans="3:4" hidden="1" x14ac:dyDescent="0.35">
      <c r="C364">
        <v>23616</v>
      </c>
      <c r="D364" t="s">
        <v>536</v>
      </c>
    </row>
    <row r="365" spans="3:4" hidden="1" x14ac:dyDescent="0.35">
      <c r="C365">
        <v>23619</v>
      </c>
      <c r="D365" t="s">
        <v>537</v>
      </c>
    </row>
    <row r="366" spans="3:4" hidden="1" x14ac:dyDescent="0.35">
      <c r="C366">
        <v>23620</v>
      </c>
      <c r="D366" t="s">
        <v>538</v>
      </c>
    </row>
    <row r="367" spans="3:4" hidden="1" x14ac:dyDescent="0.35">
      <c r="C367">
        <v>23621</v>
      </c>
      <c r="D367" t="s">
        <v>539</v>
      </c>
    </row>
    <row r="368" spans="3:4" hidden="1" x14ac:dyDescent="0.35">
      <c r="C368">
        <v>23622</v>
      </c>
      <c r="D368" t="s">
        <v>540</v>
      </c>
    </row>
    <row r="369" spans="3:4" hidden="1" x14ac:dyDescent="0.35">
      <c r="C369">
        <v>23625</v>
      </c>
      <c r="D369" t="s">
        <v>541</v>
      </c>
    </row>
    <row r="370" spans="3:4" hidden="1" x14ac:dyDescent="0.35">
      <c r="C370">
        <v>23626</v>
      </c>
      <c r="D370" t="s">
        <v>542</v>
      </c>
    </row>
    <row r="371" spans="3:4" hidden="1" x14ac:dyDescent="0.35">
      <c r="C371">
        <v>23627</v>
      </c>
      <c r="D371" t="s">
        <v>543</v>
      </c>
    </row>
    <row r="372" spans="3:4" hidden="1" x14ac:dyDescent="0.35">
      <c r="C372">
        <v>23628</v>
      </c>
      <c r="D372" t="s">
        <v>544</v>
      </c>
    </row>
    <row r="373" spans="3:4" hidden="1" x14ac:dyDescent="0.35">
      <c r="C373">
        <v>23629</v>
      </c>
      <c r="D373" t="s">
        <v>545</v>
      </c>
    </row>
    <row r="374" spans="3:4" hidden="1" x14ac:dyDescent="0.35">
      <c r="C374">
        <v>23632</v>
      </c>
      <c r="D374" t="s">
        <v>546</v>
      </c>
    </row>
    <row r="375" spans="3:4" hidden="1" x14ac:dyDescent="0.35">
      <c r="C375">
        <v>23639</v>
      </c>
      <c r="D375" t="s">
        <v>547</v>
      </c>
    </row>
    <row r="376" spans="3:4" hidden="1" x14ac:dyDescent="0.35">
      <c r="C376">
        <v>23640</v>
      </c>
      <c r="D376" t="s">
        <v>548</v>
      </c>
    </row>
    <row r="377" spans="3:4" hidden="1" x14ac:dyDescent="0.35">
      <c r="C377">
        <v>23641</v>
      </c>
      <c r="D377" t="s">
        <v>549</v>
      </c>
    </row>
    <row r="378" spans="3:4" hidden="1" x14ac:dyDescent="0.35">
      <c r="C378">
        <v>23642</v>
      </c>
      <c r="D378" t="s">
        <v>550</v>
      </c>
    </row>
    <row r="379" spans="3:4" hidden="1" x14ac:dyDescent="0.35">
      <c r="C379">
        <v>23644</v>
      </c>
      <c r="D379" t="s">
        <v>551</v>
      </c>
    </row>
    <row r="380" spans="3:4" hidden="1" x14ac:dyDescent="0.35">
      <c r="C380">
        <v>23645</v>
      </c>
      <c r="D380" t="s">
        <v>552</v>
      </c>
    </row>
    <row r="381" spans="3:4" hidden="1" x14ac:dyDescent="0.35">
      <c r="C381">
        <v>23646</v>
      </c>
      <c r="D381" t="s">
        <v>553</v>
      </c>
    </row>
    <row r="382" spans="3:4" hidden="1" x14ac:dyDescent="0.35">
      <c r="C382">
        <v>23647</v>
      </c>
      <c r="D382" t="s">
        <v>554</v>
      </c>
    </row>
    <row r="383" spans="3:4" hidden="1" x14ac:dyDescent="0.35">
      <c r="C383">
        <v>23650</v>
      </c>
      <c r="D383" t="s">
        <v>555</v>
      </c>
    </row>
    <row r="384" spans="3:4" hidden="1" x14ac:dyDescent="0.35">
      <c r="C384">
        <v>23651</v>
      </c>
      <c r="D384" t="s">
        <v>556</v>
      </c>
    </row>
    <row r="385" spans="3:4" hidden="1" x14ac:dyDescent="0.35">
      <c r="C385">
        <v>23652</v>
      </c>
      <c r="D385" t="s">
        <v>557</v>
      </c>
    </row>
    <row r="386" spans="3:4" hidden="1" x14ac:dyDescent="0.35">
      <c r="C386">
        <v>23653</v>
      </c>
      <c r="D386" t="s">
        <v>558</v>
      </c>
    </row>
    <row r="387" spans="3:4" hidden="1" x14ac:dyDescent="0.35">
      <c r="C387">
        <v>23654</v>
      </c>
      <c r="D387" t="s">
        <v>559</v>
      </c>
    </row>
    <row r="388" spans="3:4" hidden="1" x14ac:dyDescent="0.35">
      <c r="C388">
        <v>23655</v>
      </c>
      <c r="D388" t="s">
        <v>560</v>
      </c>
    </row>
    <row r="389" spans="3:4" hidden="1" x14ac:dyDescent="0.35">
      <c r="C389">
        <v>23656</v>
      </c>
      <c r="D389" t="s">
        <v>561</v>
      </c>
    </row>
    <row r="390" spans="3:4" hidden="1" x14ac:dyDescent="0.35">
      <c r="C390">
        <v>23657</v>
      </c>
      <c r="D390" t="s">
        <v>562</v>
      </c>
    </row>
    <row r="391" spans="3:4" hidden="1" x14ac:dyDescent="0.35">
      <c r="C391">
        <v>23659</v>
      </c>
      <c r="D391" t="s">
        <v>563</v>
      </c>
    </row>
    <row r="392" spans="3:4" hidden="1" x14ac:dyDescent="0.35">
      <c r="C392">
        <v>23660</v>
      </c>
      <c r="D392" t="s">
        <v>564</v>
      </c>
    </row>
    <row r="393" spans="3:4" hidden="1" x14ac:dyDescent="0.35">
      <c r="C393">
        <v>23663</v>
      </c>
      <c r="D393" t="s">
        <v>565</v>
      </c>
    </row>
    <row r="394" spans="3:4" hidden="1" x14ac:dyDescent="0.35">
      <c r="C394">
        <v>23687</v>
      </c>
      <c r="D394" t="s">
        <v>566</v>
      </c>
    </row>
    <row r="395" spans="3:4" hidden="1" x14ac:dyDescent="0.35">
      <c r="C395">
        <v>23688</v>
      </c>
      <c r="D395" t="s">
        <v>567</v>
      </c>
    </row>
    <row r="396" spans="3:4" hidden="1" x14ac:dyDescent="0.35">
      <c r="C396">
        <v>23689</v>
      </c>
      <c r="D396" t="s">
        <v>568</v>
      </c>
    </row>
    <row r="397" spans="3:4" hidden="1" x14ac:dyDescent="0.35">
      <c r="C397">
        <v>23690</v>
      </c>
      <c r="D397" t="s">
        <v>569</v>
      </c>
    </row>
    <row r="398" spans="3:4" hidden="1" x14ac:dyDescent="0.35">
      <c r="C398">
        <v>23691</v>
      </c>
      <c r="D398" t="s">
        <v>570</v>
      </c>
    </row>
    <row r="399" spans="3:4" hidden="1" x14ac:dyDescent="0.35">
      <c r="C399">
        <v>23692</v>
      </c>
      <c r="D399" t="s">
        <v>571</v>
      </c>
    </row>
    <row r="400" spans="3:4" hidden="1" x14ac:dyDescent="0.35">
      <c r="C400">
        <v>23693</v>
      </c>
      <c r="D400" t="s">
        <v>572</v>
      </c>
    </row>
    <row r="401" spans="3:4" hidden="1" x14ac:dyDescent="0.35">
      <c r="C401">
        <v>23694</v>
      </c>
      <c r="D401" t="s">
        <v>573</v>
      </c>
    </row>
    <row r="402" spans="3:4" hidden="1" x14ac:dyDescent="0.35">
      <c r="C402">
        <v>23695</v>
      </c>
      <c r="D402" t="s">
        <v>574</v>
      </c>
    </row>
    <row r="403" spans="3:4" hidden="1" x14ac:dyDescent="0.35">
      <c r="C403">
        <v>23696</v>
      </c>
      <c r="D403" t="s">
        <v>575</v>
      </c>
    </row>
    <row r="404" spans="3:4" hidden="1" x14ac:dyDescent="0.35">
      <c r="C404">
        <v>23697</v>
      </c>
      <c r="D404" t="s">
        <v>576</v>
      </c>
    </row>
    <row r="405" spans="3:4" hidden="1" x14ac:dyDescent="0.35">
      <c r="C405">
        <v>23698</v>
      </c>
      <c r="D405" t="s">
        <v>577</v>
      </c>
    </row>
    <row r="406" spans="3:4" hidden="1" x14ac:dyDescent="0.35">
      <c r="C406">
        <v>23699</v>
      </c>
      <c r="D406" t="s">
        <v>578</v>
      </c>
    </row>
    <row r="407" spans="3:4" hidden="1" x14ac:dyDescent="0.35">
      <c r="C407">
        <v>23700</v>
      </c>
      <c r="D407" t="s">
        <v>579</v>
      </c>
    </row>
    <row r="408" spans="3:4" hidden="1" x14ac:dyDescent="0.35">
      <c r="C408">
        <v>23701</v>
      </c>
      <c r="D408" t="s">
        <v>580</v>
      </c>
    </row>
    <row r="409" spans="3:4" hidden="1" x14ac:dyDescent="0.35">
      <c r="C409">
        <v>23702</v>
      </c>
      <c r="D409" t="s">
        <v>581</v>
      </c>
    </row>
    <row r="410" spans="3:4" hidden="1" x14ac:dyDescent="0.35">
      <c r="C410">
        <v>23703</v>
      </c>
      <c r="D410" t="s">
        <v>582</v>
      </c>
    </row>
    <row r="411" spans="3:4" hidden="1" x14ac:dyDescent="0.35">
      <c r="C411">
        <v>23704</v>
      </c>
      <c r="D411" t="s">
        <v>583</v>
      </c>
    </row>
    <row r="412" spans="3:4" hidden="1" x14ac:dyDescent="0.35">
      <c r="C412">
        <v>23705</v>
      </c>
      <c r="D412" t="s">
        <v>584</v>
      </c>
    </row>
    <row r="413" spans="3:4" hidden="1" x14ac:dyDescent="0.35">
      <c r="C413">
        <v>23706</v>
      </c>
      <c r="D413" t="s">
        <v>585</v>
      </c>
    </row>
    <row r="414" spans="3:4" hidden="1" x14ac:dyDescent="0.35">
      <c r="C414">
        <v>23707</v>
      </c>
      <c r="D414" t="s">
        <v>586</v>
      </c>
    </row>
    <row r="415" spans="3:4" hidden="1" x14ac:dyDescent="0.35">
      <c r="C415">
        <v>23708</v>
      </c>
      <c r="D415" t="s">
        <v>587</v>
      </c>
    </row>
    <row r="416" spans="3:4" hidden="1" x14ac:dyDescent="0.35">
      <c r="C416">
        <v>23709</v>
      </c>
      <c r="D416" t="s">
        <v>588</v>
      </c>
    </row>
    <row r="417" spans="3:4" hidden="1" x14ac:dyDescent="0.35">
      <c r="C417">
        <v>23710</v>
      </c>
      <c r="D417" t="s">
        <v>589</v>
      </c>
    </row>
    <row r="418" spans="3:4" hidden="1" x14ac:dyDescent="0.35">
      <c r="C418">
        <v>23711</v>
      </c>
      <c r="D418" t="s">
        <v>590</v>
      </c>
    </row>
    <row r="419" spans="3:4" hidden="1" x14ac:dyDescent="0.35">
      <c r="C419">
        <v>23712</v>
      </c>
      <c r="D419" t="s">
        <v>591</v>
      </c>
    </row>
    <row r="420" spans="3:4" hidden="1" x14ac:dyDescent="0.35">
      <c r="C420">
        <v>23713</v>
      </c>
      <c r="D420" t="s">
        <v>592</v>
      </c>
    </row>
    <row r="421" spans="3:4" hidden="1" x14ac:dyDescent="0.35">
      <c r="C421">
        <v>23714</v>
      </c>
      <c r="D421" t="s">
        <v>593</v>
      </c>
    </row>
    <row r="422" spans="3:4" hidden="1" x14ac:dyDescent="0.35">
      <c r="C422">
        <v>23715</v>
      </c>
      <c r="D422" t="s">
        <v>594</v>
      </c>
    </row>
    <row r="423" spans="3:4" hidden="1" x14ac:dyDescent="0.35">
      <c r="C423">
        <v>23716</v>
      </c>
      <c r="D423" t="s">
        <v>595</v>
      </c>
    </row>
    <row r="424" spans="3:4" hidden="1" x14ac:dyDescent="0.35">
      <c r="C424">
        <v>23717</v>
      </c>
      <c r="D424" t="s">
        <v>596</v>
      </c>
    </row>
    <row r="425" spans="3:4" hidden="1" x14ac:dyDescent="0.35">
      <c r="C425">
        <v>23718</v>
      </c>
      <c r="D425" t="s">
        <v>597</v>
      </c>
    </row>
    <row r="426" spans="3:4" hidden="1" x14ac:dyDescent="0.35">
      <c r="C426">
        <v>23719</v>
      </c>
      <c r="D426" t="s">
        <v>598</v>
      </c>
    </row>
    <row r="427" spans="3:4" hidden="1" x14ac:dyDescent="0.35">
      <c r="C427">
        <v>23720</v>
      </c>
      <c r="D427" t="s">
        <v>599</v>
      </c>
    </row>
    <row r="428" spans="3:4" hidden="1" x14ac:dyDescent="0.35">
      <c r="C428">
        <v>23721</v>
      </c>
      <c r="D428" t="s">
        <v>600</v>
      </c>
    </row>
    <row r="429" spans="3:4" hidden="1" x14ac:dyDescent="0.35">
      <c r="C429">
        <v>23722</v>
      </c>
      <c r="D429" t="s">
        <v>601</v>
      </c>
    </row>
    <row r="430" spans="3:4" hidden="1" x14ac:dyDescent="0.35">
      <c r="C430">
        <v>23729</v>
      </c>
      <c r="D430" t="s">
        <v>602</v>
      </c>
    </row>
    <row r="431" spans="3:4" hidden="1" x14ac:dyDescent="0.35">
      <c r="C431">
        <v>23743</v>
      </c>
      <c r="D431" t="s">
        <v>603</v>
      </c>
    </row>
    <row r="432" spans="3:4" hidden="1" x14ac:dyDescent="0.35">
      <c r="C432">
        <v>23744</v>
      </c>
      <c r="D432" t="s">
        <v>604</v>
      </c>
    </row>
    <row r="433" spans="3:4" hidden="1" x14ac:dyDescent="0.35">
      <c r="C433">
        <v>23754</v>
      </c>
      <c r="D433" t="s">
        <v>605</v>
      </c>
    </row>
    <row r="434" spans="3:4" hidden="1" x14ac:dyDescent="0.35">
      <c r="C434">
        <v>23756</v>
      </c>
      <c r="D434" t="s">
        <v>606</v>
      </c>
    </row>
    <row r="435" spans="3:4" hidden="1" x14ac:dyDescent="0.35">
      <c r="C435">
        <v>23757</v>
      </c>
      <c r="D435" t="s">
        <v>607</v>
      </c>
    </row>
    <row r="436" spans="3:4" hidden="1" x14ac:dyDescent="0.35">
      <c r="C436">
        <v>23758</v>
      </c>
      <c r="D436" t="s">
        <v>608</v>
      </c>
    </row>
    <row r="437" spans="3:4" hidden="1" x14ac:dyDescent="0.35">
      <c r="C437">
        <v>23759</v>
      </c>
      <c r="D437" t="s">
        <v>609</v>
      </c>
    </row>
    <row r="438" spans="3:4" hidden="1" x14ac:dyDescent="0.35">
      <c r="C438">
        <v>23760</v>
      </c>
      <c r="D438" t="s">
        <v>610</v>
      </c>
    </row>
    <row r="439" spans="3:4" hidden="1" x14ac:dyDescent="0.35">
      <c r="C439">
        <v>23765</v>
      </c>
      <c r="D439" t="s">
        <v>611</v>
      </c>
    </row>
    <row r="440" spans="3:4" hidden="1" x14ac:dyDescent="0.35">
      <c r="C440">
        <v>23766</v>
      </c>
      <c r="D440" t="s">
        <v>612</v>
      </c>
    </row>
    <row r="441" spans="3:4" hidden="1" x14ac:dyDescent="0.35">
      <c r="C441">
        <v>23767</v>
      </c>
      <c r="D441" t="s">
        <v>613</v>
      </c>
    </row>
    <row r="442" spans="3:4" hidden="1" x14ac:dyDescent="0.35">
      <c r="C442">
        <v>23768</v>
      </c>
      <c r="D442" t="s">
        <v>614</v>
      </c>
    </row>
    <row r="443" spans="3:4" hidden="1" x14ac:dyDescent="0.35">
      <c r="C443">
        <v>23769</v>
      </c>
      <c r="D443" t="s">
        <v>615</v>
      </c>
    </row>
    <row r="444" spans="3:4" hidden="1" x14ac:dyDescent="0.35">
      <c r="C444">
        <v>23770</v>
      </c>
      <c r="D444" t="s">
        <v>616</v>
      </c>
    </row>
    <row r="445" spans="3:4" hidden="1" x14ac:dyDescent="0.35">
      <c r="C445">
        <v>23776</v>
      </c>
      <c r="D445" t="s">
        <v>617</v>
      </c>
    </row>
    <row r="446" spans="3:4" hidden="1" x14ac:dyDescent="0.35">
      <c r="C446">
        <v>23777</v>
      </c>
      <c r="D446" t="s">
        <v>618</v>
      </c>
    </row>
    <row r="447" spans="3:4" hidden="1" x14ac:dyDescent="0.35">
      <c r="C447">
        <v>23778</v>
      </c>
      <c r="D447" t="s">
        <v>619</v>
      </c>
    </row>
    <row r="448" spans="3:4" hidden="1" x14ac:dyDescent="0.35">
      <c r="C448">
        <v>23779</v>
      </c>
      <c r="D448" t="s">
        <v>620</v>
      </c>
    </row>
    <row r="449" spans="3:4" hidden="1" x14ac:dyDescent="0.35">
      <c r="C449">
        <v>23780</v>
      </c>
      <c r="D449" t="s">
        <v>621</v>
      </c>
    </row>
    <row r="450" spans="3:4" hidden="1" x14ac:dyDescent="0.35">
      <c r="C450">
        <v>23780</v>
      </c>
      <c r="D450" t="s">
        <v>622</v>
      </c>
    </row>
    <row r="451" spans="3:4" hidden="1" x14ac:dyDescent="0.35">
      <c r="C451">
        <v>23781</v>
      </c>
      <c r="D451" t="s">
        <v>623</v>
      </c>
    </row>
    <row r="452" spans="3:4" hidden="1" x14ac:dyDescent="0.35">
      <c r="C452">
        <v>23783</v>
      </c>
      <c r="D452" t="s">
        <v>624</v>
      </c>
    </row>
    <row r="453" spans="3:4" hidden="1" x14ac:dyDescent="0.35">
      <c r="C453">
        <v>23786</v>
      </c>
      <c r="D453" t="s">
        <v>625</v>
      </c>
    </row>
    <row r="454" spans="3:4" hidden="1" x14ac:dyDescent="0.35">
      <c r="C454">
        <v>23790</v>
      </c>
      <c r="D454" t="s">
        <v>626</v>
      </c>
    </row>
    <row r="455" spans="3:4" hidden="1" x14ac:dyDescent="0.35">
      <c r="C455">
        <v>23791</v>
      </c>
      <c r="D455" t="s">
        <v>627</v>
      </c>
    </row>
    <row r="456" spans="3:4" hidden="1" x14ac:dyDescent="0.35">
      <c r="C456">
        <v>23792</v>
      </c>
      <c r="D456" t="s">
        <v>628</v>
      </c>
    </row>
    <row r="457" spans="3:4" hidden="1" x14ac:dyDescent="0.35">
      <c r="C457">
        <v>23793</v>
      </c>
      <c r="D457" t="s">
        <v>629</v>
      </c>
    </row>
    <row r="458" spans="3:4" hidden="1" x14ac:dyDescent="0.35">
      <c r="C458">
        <v>23794</v>
      </c>
      <c r="D458" t="s">
        <v>630</v>
      </c>
    </row>
    <row r="459" spans="3:4" hidden="1" x14ac:dyDescent="0.35">
      <c r="C459">
        <v>23796</v>
      </c>
      <c r="D459" t="s">
        <v>631</v>
      </c>
    </row>
    <row r="460" spans="3:4" hidden="1" x14ac:dyDescent="0.35">
      <c r="C460">
        <v>23797</v>
      </c>
      <c r="D460" t="s">
        <v>632</v>
      </c>
    </row>
    <row r="461" spans="3:4" hidden="1" x14ac:dyDescent="0.35">
      <c r="C461">
        <v>23798</v>
      </c>
      <c r="D461" t="s">
        <v>633</v>
      </c>
    </row>
    <row r="462" spans="3:4" hidden="1" x14ac:dyDescent="0.35">
      <c r="C462">
        <v>23799</v>
      </c>
      <c r="D462" t="s">
        <v>634</v>
      </c>
    </row>
    <row r="463" spans="3:4" hidden="1" x14ac:dyDescent="0.35">
      <c r="C463">
        <v>23800</v>
      </c>
      <c r="D463" t="s">
        <v>635</v>
      </c>
    </row>
    <row r="464" spans="3:4" hidden="1" x14ac:dyDescent="0.35">
      <c r="C464">
        <v>23801</v>
      </c>
      <c r="D464" t="s">
        <v>636</v>
      </c>
    </row>
    <row r="465" spans="3:4" hidden="1" x14ac:dyDescent="0.35">
      <c r="C465">
        <v>23802</v>
      </c>
      <c r="D465" t="s">
        <v>637</v>
      </c>
    </row>
    <row r="466" spans="3:4" hidden="1" x14ac:dyDescent="0.35">
      <c r="C466">
        <v>23803</v>
      </c>
      <c r="D466" t="s">
        <v>638</v>
      </c>
    </row>
    <row r="467" spans="3:4" hidden="1" x14ac:dyDescent="0.35">
      <c r="C467">
        <v>23805</v>
      </c>
      <c r="D467" t="s">
        <v>639</v>
      </c>
    </row>
    <row r="468" spans="3:4" hidden="1" x14ac:dyDescent="0.35">
      <c r="C468">
        <v>23807</v>
      </c>
      <c r="D468" t="s">
        <v>640</v>
      </c>
    </row>
    <row r="469" spans="3:4" hidden="1" x14ac:dyDescent="0.35">
      <c r="C469">
        <v>23808</v>
      </c>
      <c r="D469" t="s">
        <v>641</v>
      </c>
    </row>
    <row r="470" spans="3:4" hidden="1" x14ac:dyDescent="0.35">
      <c r="C470">
        <v>23810</v>
      </c>
      <c r="D470" t="s">
        <v>642</v>
      </c>
    </row>
    <row r="471" spans="3:4" hidden="1" x14ac:dyDescent="0.35">
      <c r="C471">
        <v>23811</v>
      </c>
      <c r="D471" t="s">
        <v>643</v>
      </c>
    </row>
    <row r="472" spans="3:4" hidden="1" x14ac:dyDescent="0.35">
      <c r="C472">
        <v>23856</v>
      </c>
      <c r="D472" t="s">
        <v>644</v>
      </c>
    </row>
    <row r="473" spans="3:4" hidden="1" x14ac:dyDescent="0.35">
      <c r="C473">
        <v>23857</v>
      </c>
      <c r="D473" t="s">
        <v>645</v>
      </c>
    </row>
    <row r="474" spans="3:4" hidden="1" x14ac:dyDescent="0.35">
      <c r="C474">
        <v>23858</v>
      </c>
      <c r="D474" t="s">
        <v>646</v>
      </c>
    </row>
    <row r="475" spans="3:4" hidden="1" x14ac:dyDescent="0.35">
      <c r="C475">
        <v>23895</v>
      </c>
      <c r="D475" t="s">
        <v>647</v>
      </c>
    </row>
    <row r="476" spans="3:4" hidden="1" x14ac:dyDescent="0.35">
      <c r="C476">
        <v>23900</v>
      </c>
      <c r="D476" t="s">
        <v>648</v>
      </c>
    </row>
    <row r="477" spans="3:4" hidden="1" x14ac:dyDescent="0.35">
      <c r="C477">
        <v>23901</v>
      </c>
      <c r="D477" t="s">
        <v>649</v>
      </c>
    </row>
    <row r="478" spans="3:4" hidden="1" x14ac:dyDescent="0.35">
      <c r="C478">
        <v>23902</v>
      </c>
      <c r="D478" t="s">
        <v>650</v>
      </c>
    </row>
    <row r="479" spans="3:4" hidden="1" x14ac:dyDescent="0.35">
      <c r="C479">
        <v>23903</v>
      </c>
      <c r="D479" t="s">
        <v>651</v>
      </c>
    </row>
    <row r="480" spans="3:4" hidden="1" x14ac:dyDescent="0.35">
      <c r="C480">
        <v>23913</v>
      </c>
      <c r="D480" t="s">
        <v>652</v>
      </c>
    </row>
    <row r="481" spans="3:4" hidden="1" x14ac:dyDescent="0.35">
      <c r="C481">
        <v>23914</v>
      </c>
      <c r="D481" t="s">
        <v>653</v>
      </c>
    </row>
    <row r="482" spans="3:4" hidden="1" x14ac:dyDescent="0.35">
      <c r="C482">
        <v>23915</v>
      </c>
      <c r="D482" t="s">
        <v>654</v>
      </c>
    </row>
    <row r="483" spans="3:4" hidden="1" x14ac:dyDescent="0.35">
      <c r="C483">
        <v>23982</v>
      </c>
      <c r="D483" t="s">
        <v>655</v>
      </c>
    </row>
    <row r="484" spans="3:4" hidden="1" x14ac:dyDescent="0.35">
      <c r="C484">
        <v>23983</v>
      </c>
      <c r="D484" t="s">
        <v>656</v>
      </c>
    </row>
    <row r="485" spans="3:4" hidden="1" x14ac:dyDescent="0.35">
      <c r="C485">
        <v>23985</v>
      </c>
      <c r="D485" t="s">
        <v>657</v>
      </c>
    </row>
    <row r="486" spans="3:4" hidden="1" x14ac:dyDescent="0.35">
      <c r="C486">
        <v>23986</v>
      </c>
      <c r="D486" t="s">
        <v>658</v>
      </c>
    </row>
    <row r="487" spans="3:4" hidden="1" x14ac:dyDescent="0.35">
      <c r="C487">
        <v>23987</v>
      </c>
      <c r="D487" t="s">
        <v>659</v>
      </c>
    </row>
    <row r="488" spans="3:4" hidden="1" x14ac:dyDescent="0.35">
      <c r="C488">
        <v>23988</v>
      </c>
      <c r="D488" t="s">
        <v>660</v>
      </c>
    </row>
    <row r="489" spans="3:4" hidden="1" x14ac:dyDescent="0.35">
      <c r="C489">
        <v>23990</v>
      </c>
      <c r="D489" t="s">
        <v>661</v>
      </c>
    </row>
    <row r="490" spans="3:4" hidden="1" x14ac:dyDescent="0.35">
      <c r="C490">
        <v>24000</v>
      </c>
      <c r="D490" t="s">
        <v>662</v>
      </c>
    </row>
    <row r="491" spans="3:4" hidden="1" x14ac:dyDescent="0.35">
      <c r="C491">
        <v>24008</v>
      </c>
      <c r="D491" t="s">
        <v>663</v>
      </c>
    </row>
    <row r="492" spans="3:4" hidden="1" x14ac:dyDescent="0.35">
      <c r="C492">
        <v>24010</v>
      </c>
      <c r="D492" t="s">
        <v>664</v>
      </c>
    </row>
    <row r="493" spans="3:4" hidden="1" x14ac:dyDescent="0.35">
      <c r="C493">
        <v>24011</v>
      </c>
      <c r="D493" t="s">
        <v>665</v>
      </c>
    </row>
    <row r="494" spans="3:4" hidden="1" x14ac:dyDescent="0.35">
      <c r="C494">
        <v>24013</v>
      </c>
      <c r="D494" t="s">
        <v>666</v>
      </c>
    </row>
    <row r="495" spans="3:4" hidden="1" x14ac:dyDescent="0.35">
      <c r="C495">
        <v>24014</v>
      </c>
      <c r="D495" t="s">
        <v>667</v>
      </c>
    </row>
    <row r="496" spans="3:4" hidden="1" x14ac:dyDescent="0.35">
      <c r="C496">
        <v>24015</v>
      </c>
      <c r="D496" t="s">
        <v>668</v>
      </c>
    </row>
    <row r="497" spans="3:4" hidden="1" x14ac:dyDescent="0.35">
      <c r="C497">
        <v>24016</v>
      </c>
      <c r="D497" t="s">
        <v>669</v>
      </c>
    </row>
    <row r="498" spans="3:4" hidden="1" x14ac:dyDescent="0.35">
      <c r="C498">
        <v>24017</v>
      </c>
      <c r="D498" t="s">
        <v>670</v>
      </c>
    </row>
    <row r="499" spans="3:4" hidden="1" x14ac:dyDescent="0.35">
      <c r="C499">
        <v>24018</v>
      </c>
      <c r="D499" t="s">
        <v>671</v>
      </c>
    </row>
    <row r="500" spans="3:4" hidden="1" x14ac:dyDescent="0.35">
      <c r="C500">
        <v>24019</v>
      </c>
      <c r="D500" t="s">
        <v>672</v>
      </c>
    </row>
    <row r="501" spans="3:4" hidden="1" x14ac:dyDescent="0.35">
      <c r="C501">
        <v>24020</v>
      </c>
      <c r="D501" t="s">
        <v>673</v>
      </c>
    </row>
    <row r="502" spans="3:4" hidden="1" x14ac:dyDescent="0.35">
      <c r="C502">
        <v>24021</v>
      </c>
      <c r="D502" t="s">
        <v>674</v>
      </c>
    </row>
    <row r="503" spans="3:4" hidden="1" x14ac:dyDescent="0.35">
      <c r="C503">
        <v>24023</v>
      </c>
      <c r="D503" t="s">
        <v>675</v>
      </c>
    </row>
    <row r="504" spans="3:4" hidden="1" x14ac:dyDescent="0.35">
      <c r="C504">
        <v>24024</v>
      </c>
      <c r="D504" t="s">
        <v>676</v>
      </c>
    </row>
    <row r="505" spans="3:4" hidden="1" x14ac:dyDescent="0.35">
      <c r="C505">
        <v>24026</v>
      </c>
      <c r="D505" t="s">
        <v>677</v>
      </c>
    </row>
    <row r="506" spans="3:4" hidden="1" x14ac:dyDescent="0.35">
      <c r="C506">
        <v>24028</v>
      </c>
      <c r="D506" t="s">
        <v>678</v>
      </c>
    </row>
    <row r="507" spans="3:4" hidden="1" x14ac:dyDescent="0.35">
      <c r="C507">
        <v>24039</v>
      </c>
      <c r="D507" t="s">
        <v>679</v>
      </c>
    </row>
    <row r="508" spans="3:4" hidden="1" x14ac:dyDescent="0.35">
      <c r="C508">
        <v>24041</v>
      </c>
      <c r="D508" t="s">
        <v>680</v>
      </c>
    </row>
    <row r="509" spans="3:4" hidden="1" x14ac:dyDescent="0.35">
      <c r="C509">
        <v>24042</v>
      </c>
      <c r="D509" t="s">
        <v>681</v>
      </c>
    </row>
    <row r="510" spans="3:4" hidden="1" x14ac:dyDescent="0.35">
      <c r="C510">
        <v>24043</v>
      </c>
      <c r="D510" t="s">
        <v>682</v>
      </c>
    </row>
    <row r="511" spans="3:4" hidden="1" x14ac:dyDescent="0.35">
      <c r="C511">
        <v>24044</v>
      </c>
      <c r="D511" t="s">
        <v>683</v>
      </c>
    </row>
    <row r="512" spans="3:4" hidden="1" x14ac:dyDescent="0.35">
      <c r="C512">
        <v>24046</v>
      </c>
      <c r="D512" t="s">
        <v>684</v>
      </c>
    </row>
    <row r="513" spans="3:4" hidden="1" x14ac:dyDescent="0.35">
      <c r="C513">
        <v>24047</v>
      </c>
      <c r="D513" t="s">
        <v>685</v>
      </c>
    </row>
    <row r="514" spans="3:4" hidden="1" x14ac:dyDescent="0.35">
      <c r="C514">
        <v>24048</v>
      </c>
      <c r="D514" t="s">
        <v>686</v>
      </c>
    </row>
    <row r="515" spans="3:4" hidden="1" x14ac:dyDescent="0.35">
      <c r="C515">
        <v>24049</v>
      </c>
      <c r="D515" t="s">
        <v>687</v>
      </c>
    </row>
    <row r="516" spans="3:4" hidden="1" x14ac:dyDescent="0.35">
      <c r="C516">
        <v>24050</v>
      </c>
      <c r="D516" t="s">
        <v>688</v>
      </c>
    </row>
    <row r="517" spans="3:4" hidden="1" x14ac:dyDescent="0.35">
      <c r="C517">
        <v>24051</v>
      </c>
      <c r="D517" t="s">
        <v>689</v>
      </c>
    </row>
    <row r="518" spans="3:4" hidden="1" x14ac:dyDescent="0.35">
      <c r="C518">
        <v>24053</v>
      </c>
      <c r="D518" t="s">
        <v>690</v>
      </c>
    </row>
    <row r="519" spans="3:4" hidden="1" x14ac:dyDescent="0.35">
      <c r="C519">
        <v>24054</v>
      </c>
      <c r="D519" t="s">
        <v>691</v>
      </c>
    </row>
    <row r="520" spans="3:4" hidden="1" x14ac:dyDescent="0.35">
      <c r="C520">
        <v>24056</v>
      </c>
      <c r="D520" t="s">
        <v>692</v>
      </c>
    </row>
    <row r="521" spans="3:4" hidden="1" x14ac:dyDescent="0.35">
      <c r="C521">
        <v>24057</v>
      </c>
      <c r="D521" t="s">
        <v>693</v>
      </c>
    </row>
    <row r="522" spans="3:4" hidden="1" x14ac:dyDescent="0.35">
      <c r="C522">
        <v>24058</v>
      </c>
      <c r="D522" t="s">
        <v>694</v>
      </c>
    </row>
    <row r="523" spans="3:4" hidden="1" x14ac:dyDescent="0.35">
      <c r="C523">
        <v>24059</v>
      </c>
      <c r="D523" t="s">
        <v>695</v>
      </c>
    </row>
    <row r="524" spans="3:4" hidden="1" x14ac:dyDescent="0.35">
      <c r="C524">
        <v>24060</v>
      </c>
      <c r="D524" t="s">
        <v>696</v>
      </c>
    </row>
    <row r="525" spans="3:4" hidden="1" x14ac:dyDescent="0.35">
      <c r="C525">
        <v>24062</v>
      </c>
      <c r="D525" t="s">
        <v>697</v>
      </c>
    </row>
    <row r="526" spans="3:4" hidden="1" x14ac:dyDescent="0.35">
      <c r="C526">
        <v>24063</v>
      </c>
      <c r="D526" t="s">
        <v>698</v>
      </c>
    </row>
    <row r="527" spans="3:4" hidden="1" x14ac:dyDescent="0.35">
      <c r="C527">
        <v>24065</v>
      </c>
      <c r="D527" t="s">
        <v>699</v>
      </c>
    </row>
    <row r="528" spans="3:4" hidden="1" x14ac:dyDescent="0.35">
      <c r="C528">
        <v>24077</v>
      </c>
      <c r="D528" t="s">
        <v>700</v>
      </c>
    </row>
    <row r="529" spans="3:4" hidden="1" x14ac:dyDescent="0.35">
      <c r="C529">
        <v>24078</v>
      </c>
      <c r="D529" t="s">
        <v>701</v>
      </c>
    </row>
    <row r="530" spans="3:4" hidden="1" x14ac:dyDescent="0.35">
      <c r="C530">
        <v>24079</v>
      </c>
      <c r="D530" t="s">
        <v>702</v>
      </c>
    </row>
    <row r="531" spans="3:4" hidden="1" x14ac:dyDescent="0.35">
      <c r="C531">
        <v>24080</v>
      </c>
      <c r="D531" t="s">
        <v>703</v>
      </c>
    </row>
    <row r="532" spans="3:4" hidden="1" x14ac:dyDescent="0.35">
      <c r="C532">
        <v>24084</v>
      </c>
      <c r="D532" t="s">
        <v>704</v>
      </c>
    </row>
    <row r="533" spans="3:4" hidden="1" x14ac:dyDescent="0.35">
      <c r="C533">
        <v>24094</v>
      </c>
      <c r="D533" t="s">
        <v>705</v>
      </c>
    </row>
    <row r="534" spans="3:4" hidden="1" x14ac:dyDescent="0.35">
      <c r="C534">
        <v>24095</v>
      </c>
      <c r="D534" t="s">
        <v>706</v>
      </c>
    </row>
    <row r="535" spans="3:4" hidden="1" x14ac:dyDescent="0.35">
      <c r="C535">
        <v>24096</v>
      </c>
      <c r="D535" t="s">
        <v>707</v>
      </c>
    </row>
    <row r="536" spans="3:4" hidden="1" x14ac:dyDescent="0.35">
      <c r="C536">
        <v>24097</v>
      </c>
      <c r="D536" t="s">
        <v>708</v>
      </c>
    </row>
    <row r="537" spans="3:4" hidden="1" x14ac:dyDescent="0.35">
      <c r="C537">
        <v>24098</v>
      </c>
      <c r="D537" t="s">
        <v>709</v>
      </c>
    </row>
    <row r="538" spans="3:4" hidden="1" x14ac:dyDescent="0.35">
      <c r="C538">
        <v>24099</v>
      </c>
      <c r="D538" t="s">
        <v>710</v>
      </c>
    </row>
    <row r="539" spans="3:4" hidden="1" x14ac:dyDescent="0.35">
      <c r="C539">
        <v>24100</v>
      </c>
      <c r="D539" t="s">
        <v>711</v>
      </c>
    </row>
    <row r="540" spans="3:4" hidden="1" x14ac:dyDescent="0.35">
      <c r="C540">
        <v>24101</v>
      </c>
      <c r="D540" t="s">
        <v>712</v>
      </c>
    </row>
    <row r="541" spans="3:4" hidden="1" x14ac:dyDescent="0.35">
      <c r="C541">
        <v>24102</v>
      </c>
      <c r="D541" t="s">
        <v>713</v>
      </c>
    </row>
    <row r="542" spans="3:4" hidden="1" x14ac:dyDescent="0.35">
      <c r="C542">
        <v>24103</v>
      </c>
      <c r="D542" t="s">
        <v>714</v>
      </c>
    </row>
    <row r="543" spans="3:4" hidden="1" x14ac:dyDescent="0.35">
      <c r="C543">
        <v>24104</v>
      </c>
      <c r="D543" t="s">
        <v>715</v>
      </c>
    </row>
    <row r="544" spans="3:4" hidden="1" x14ac:dyDescent="0.35">
      <c r="C544">
        <v>24105</v>
      </c>
      <c r="D544" t="s">
        <v>716</v>
      </c>
    </row>
    <row r="545" spans="3:4" hidden="1" x14ac:dyDescent="0.35">
      <c r="C545">
        <v>24106</v>
      </c>
      <c r="D545" t="s">
        <v>717</v>
      </c>
    </row>
    <row r="546" spans="3:4" hidden="1" x14ac:dyDescent="0.35">
      <c r="C546">
        <v>24107</v>
      </c>
      <c r="D546" t="s">
        <v>718</v>
      </c>
    </row>
    <row r="547" spans="3:4" hidden="1" x14ac:dyDescent="0.35">
      <c r="C547">
        <v>24108</v>
      </c>
      <c r="D547" t="s">
        <v>719</v>
      </c>
    </row>
    <row r="548" spans="3:4" hidden="1" x14ac:dyDescent="0.35">
      <c r="C548">
        <v>24109</v>
      </c>
      <c r="D548" t="s">
        <v>720</v>
      </c>
    </row>
    <row r="549" spans="3:4" hidden="1" x14ac:dyDescent="0.35">
      <c r="C549">
        <v>24110</v>
      </c>
      <c r="D549" t="s">
        <v>721</v>
      </c>
    </row>
    <row r="550" spans="3:4" hidden="1" x14ac:dyDescent="0.35">
      <c r="C550">
        <v>24111</v>
      </c>
      <c r="D550" t="s">
        <v>722</v>
      </c>
    </row>
    <row r="551" spans="3:4" hidden="1" x14ac:dyDescent="0.35">
      <c r="C551">
        <v>24112</v>
      </c>
      <c r="D551" t="s">
        <v>723</v>
      </c>
    </row>
    <row r="552" spans="3:4" hidden="1" x14ac:dyDescent="0.35">
      <c r="C552">
        <v>24113</v>
      </c>
      <c r="D552" t="s">
        <v>724</v>
      </c>
    </row>
    <row r="553" spans="3:4" hidden="1" x14ac:dyDescent="0.35">
      <c r="C553">
        <v>24114</v>
      </c>
      <c r="D553" t="s">
        <v>725</v>
      </c>
    </row>
    <row r="554" spans="3:4" hidden="1" x14ac:dyDescent="0.35">
      <c r="C554">
        <v>24115</v>
      </c>
      <c r="D554" t="s">
        <v>726</v>
      </c>
    </row>
    <row r="555" spans="3:4" hidden="1" x14ac:dyDescent="0.35">
      <c r="C555">
        <v>24116</v>
      </c>
      <c r="D555" t="s">
        <v>727</v>
      </c>
    </row>
    <row r="556" spans="3:4" hidden="1" x14ac:dyDescent="0.35">
      <c r="C556">
        <v>24117</v>
      </c>
      <c r="D556" t="s">
        <v>728</v>
      </c>
    </row>
    <row r="557" spans="3:4" hidden="1" x14ac:dyDescent="0.35">
      <c r="C557">
        <v>24118</v>
      </c>
      <c r="D557" t="s">
        <v>729</v>
      </c>
    </row>
    <row r="558" spans="3:4" hidden="1" x14ac:dyDescent="0.35">
      <c r="C558">
        <v>24119</v>
      </c>
      <c r="D558" t="s">
        <v>730</v>
      </c>
    </row>
    <row r="559" spans="3:4" hidden="1" x14ac:dyDescent="0.35">
      <c r="C559">
        <v>24120</v>
      </c>
      <c r="D559" t="s">
        <v>731</v>
      </c>
    </row>
    <row r="560" spans="3:4" hidden="1" x14ac:dyDescent="0.35">
      <c r="C560">
        <v>24121</v>
      </c>
      <c r="D560" t="s">
        <v>732</v>
      </c>
    </row>
    <row r="561" spans="3:4" hidden="1" x14ac:dyDescent="0.35">
      <c r="C561">
        <v>24122</v>
      </c>
      <c r="D561" t="s">
        <v>733</v>
      </c>
    </row>
    <row r="562" spans="3:4" hidden="1" x14ac:dyDescent="0.35">
      <c r="C562">
        <v>24123</v>
      </c>
      <c r="D562" t="s">
        <v>734</v>
      </c>
    </row>
    <row r="563" spans="3:4" hidden="1" x14ac:dyDescent="0.35">
      <c r="C563">
        <v>24124</v>
      </c>
      <c r="D563" t="s">
        <v>735</v>
      </c>
    </row>
    <row r="564" spans="3:4" hidden="1" x14ac:dyDescent="0.35">
      <c r="C564">
        <v>24125</v>
      </c>
      <c r="D564" t="s">
        <v>736</v>
      </c>
    </row>
    <row r="565" spans="3:4" hidden="1" x14ac:dyDescent="0.35">
      <c r="C565">
        <v>24126</v>
      </c>
      <c r="D565" t="s">
        <v>737</v>
      </c>
    </row>
    <row r="566" spans="3:4" hidden="1" x14ac:dyDescent="0.35">
      <c r="C566">
        <v>24127</v>
      </c>
      <c r="D566" t="s">
        <v>738</v>
      </c>
    </row>
    <row r="567" spans="3:4" hidden="1" x14ac:dyDescent="0.35">
      <c r="C567">
        <v>24128</v>
      </c>
      <c r="D567" t="s">
        <v>739</v>
      </c>
    </row>
    <row r="568" spans="3:4" hidden="1" x14ac:dyDescent="0.35">
      <c r="C568">
        <v>24129</v>
      </c>
      <c r="D568" t="s">
        <v>740</v>
      </c>
    </row>
    <row r="569" spans="3:4" hidden="1" x14ac:dyDescent="0.35">
      <c r="C569">
        <v>24130</v>
      </c>
      <c r="D569" t="s">
        <v>741</v>
      </c>
    </row>
    <row r="570" spans="3:4" hidden="1" x14ac:dyDescent="0.35">
      <c r="C570">
        <v>24131</v>
      </c>
      <c r="D570" t="s">
        <v>742</v>
      </c>
    </row>
    <row r="571" spans="3:4" hidden="1" x14ac:dyDescent="0.35">
      <c r="C571">
        <v>24132</v>
      </c>
      <c r="D571" t="s">
        <v>743</v>
      </c>
    </row>
    <row r="572" spans="3:4" hidden="1" x14ac:dyDescent="0.35">
      <c r="C572">
        <v>24133</v>
      </c>
      <c r="D572" t="s">
        <v>744</v>
      </c>
    </row>
    <row r="573" spans="3:4" hidden="1" x14ac:dyDescent="0.35">
      <c r="C573">
        <v>24134</v>
      </c>
      <c r="D573" t="s">
        <v>745</v>
      </c>
    </row>
    <row r="574" spans="3:4" hidden="1" x14ac:dyDescent="0.35">
      <c r="C574">
        <v>24135</v>
      </c>
      <c r="D574" t="s">
        <v>746</v>
      </c>
    </row>
    <row r="575" spans="3:4" hidden="1" x14ac:dyDescent="0.35">
      <c r="C575">
        <v>24136</v>
      </c>
      <c r="D575" t="s">
        <v>747</v>
      </c>
    </row>
    <row r="576" spans="3:4" hidden="1" x14ac:dyDescent="0.35">
      <c r="C576">
        <v>24137</v>
      </c>
      <c r="D576" t="s">
        <v>748</v>
      </c>
    </row>
    <row r="577" spans="3:4" hidden="1" x14ac:dyDescent="0.35">
      <c r="C577">
        <v>24138</v>
      </c>
      <c r="D577" t="s">
        <v>749</v>
      </c>
    </row>
    <row r="578" spans="3:4" hidden="1" x14ac:dyDescent="0.35">
      <c r="C578">
        <v>24139</v>
      </c>
      <c r="D578" t="s">
        <v>750</v>
      </c>
    </row>
    <row r="579" spans="3:4" hidden="1" x14ac:dyDescent="0.35">
      <c r="C579">
        <v>24147</v>
      </c>
      <c r="D579" t="s">
        <v>751</v>
      </c>
    </row>
    <row r="580" spans="3:4" hidden="1" x14ac:dyDescent="0.35">
      <c r="C580">
        <v>24167</v>
      </c>
      <c r="D580" t="s">
        <v>787</v>
      </c>
    </row>
    <row r="581" spans="3:4" hidden="1" x14ac:dyDescent="0.35">
      <c r="C581">
        <v>24225</v>
      </c>
      <c r="D581" t="s">
        <v>752</v>
      </c>
    </row>
    <row r="582" spans="3:4" hidden="1" x14ac:dyDescent="0.35">
      <c r="C582">
        <v>24226</v>
      </c>
      <c r="D582" t="s">
        <v>753</v>
      </c>
    </row>
    <row r="583" spans="3:4" hidden="1" x14ac:dyDescent="0.35">
      <c r="C583">
        <v>24227</v>
      </c>
      <c r="D583" t="s">
        <v>754</v>
      </c>
    </row>
    <row r="584" spans="3:4" hidden="1" x14ac:dyDescent="0.35">
      <c r="C584">
        <v>24228</v>
      </c>
      <c r="D584" t="s">
        <v>755</v>
      </c>
    </row>
    <row r="585" spans="3:4" hidden="1" x14ac:dyDescent="0.35">
      <c r="C585">
        <v>24229</v>
      </c>
      <c r="D585" t="s">
        <v>756</v>
      </c>
    </row>
    <row r="586" spans="3:4" hidden="1" x14ac:dyDescent="0.35">
      <c r="C586">
        <v>24230</v>
      </c>
      <c r="D586" t="s">
        <v>757</v>
      </c>
    </row>
    <row r="587" spans="3:4" hidden="1" x14ac:dyDescent="0.35">
      <c r="C587">
        <v>24231</v>
      </c>
      <c r="D587" t="s">
        <v>758</v>
      </c>
    </row>
    <row r="588" spans="3:4" hidden="1" x14ac:dyDescent="0.35">
      <c r="C588">
        <v>24232</v>
      </c>
      <c r="D588" t="s">
        <v>759</v>
      </c>
    </row>
    <row r="589" spans="3:4" hidden="1" x14ac:dyDescent="0.35">
      <c r="C589">
        <v>24233</v>
      </c>
      <c r="D589" t="s">
        <v>760</v>
      </c>
    </row>
    <row r="590" spans="3:4" hidden="1" x14ac:dyDescent="0.35">
      <c r="C590">
        <v>24234</v>
      </c>
      <c r="D590" t="s">
        <v>761</v>
      </c>
    </row>
    <row r="591" spans="3:4" hidden="1" x14ac:dyDescent="0.35">
      <c r="C591">
        <v>24235</v>
      </c>
      <c r="D591" t="s">
        <v>762</v>
      </c>
    </row>
    <row r="592" spans="3:4" hidden="1" x14ac:dyDescent="0.35">
      <c r="C592">
        <v>24236</v>
      </c>
      <c r="D592" t="s">
        <v>763</v>
      </c>
    </row>
    <row r="593" spans="3:4" hidden="1" x14ac:dyDescent="0.35">
      <c r="C593">
        <v>24237</v>
      </c>
      <c r="D593" t="s">
        <v>764</v>
      </c>
    </row>
    <row r="594" spans="3:4" hidden="1" x14ac:dyDescent="0.35">
      <c r="C594">
        <v>24238</v>
      </c>
      <c r="D594" t="s">
        <v>765</v>
      </c>
    </row>
    <row r="595" spans="3:4" hidden="1" x14ac:dyDescent="0.35">
      <c r="C595">
        <v>24239</v>
      </c>
      <c r="D595" t="s">
        <v>766</v>
      </c>
    </row>
    <row r="596" spans="3:4" hidden="1" x14ac:dyDescent="0.35">
      <c r="C596">
        <v>24240</v>
      </c>
      <c r="D596" t="s">
        <v>767</v>
      </c>
    </row>
    <row r="597" spans="3:4" hidden="1" x14ac:dyDescent="0.35">
      <c r="C597">
        <v>24241</v>
      </c>
      <c r="D597" t="s">
        <v>768</v>
      </c>
    </row>
    <row r="598" spans="3:4" hidden="1" x14ac:dyDescent="0.35">
      <c r="C598">
        <v>24242</v>
      </c>
      <c r="D598" t="s">
        <v>769</v>
      </c>
    </row>
    <row r="599" spans="3:4" hidden="1" x14ac:dyDescent="0.35">
      <c r="C599">
        <v>24243</v>
      </c>
      <c r="D599" t="s">
        <v>770</v>
      </c>
    </row>
    <row r="600" spans="3:4" hidden="1" x14ac:dyDescent="0.35">
      <c r="C600">
        <v>24244</v>
      </c>
      <c r="D600" t="s">
        <v>810</v>
      </c>
    </row>
    <row r="601" spans="3:4" hidden="1" x14ac:dyDescent="0.35">
      <c r="C601">
        <v>24245</v>
      </c>
      <c r="D601" t="s">
        <v>771</v>
      </c>
    </row>
    <row r="602" spans="3:4" hidden="1" x14ac:dyDescent="0.35">
      <c r="C602">
        <v>24246</v>
      </c>
      <c r="D602" t="s">
        <v>772</v>
      </c>
    </row>
    <row r="603" spans="3:4" hidden="1" x14ac:dyDescent="0.35">
      <c r="C603">
        <v>24247</v>
      </c>
      <c r="D603" t="s">
        <v>773</v>
      </c>
    </row>
    <row r="604" spans="3:4" hidden="1" x14ac:dyDescent="0.35">
      <c r="C604">
        <v>24248</v>
      </c>
      <c r="D604" t="s">
        <v>811</v>
      </c>
    </row>
    <row r="605" spans="3:4" hidden="1" x14ac:dyDescent="0.35">
      <c r="C605">
        <v>24249</v>
      </c>
      <c r="D605" t="s">
        <v>774</v>
      </c>
    </row>
    <row r="606" spans="3:4" hidden="1" x14ac:dyDescent="0.35">
      <c r="C606">
        <v>24250</v>
      </c>
      <c r="D606" t="s">
        <v>775</v>
      </c>
    </row>
    <row r="607" spans="3:4" hidden="1" x14ac:dyDescent="0.35">
      <c r="C607">
        <v>24251</v>
      </c>
      <c r="D607" t="s">
        <v>776</v>
      </c>
    </row>
    <row r="608" spans="3:4" hidden="1" x14ac:dyDescent="0.35">
      <c r="C608">
        <v>24252</v>
      </c>
      <c r="D608" t="s">
        <v>777</v>
      </c>
    </row>
    <row r="609" spans="3:4" hidden="1" x14ac:dyDescent="0.35">
      <c r="C609">
        <v>24253</v>
      </c>
      <c r="D609" t="s">
        <v>779</v>
      </c>
    </row>
    <row r="610" spans="3:4" hidden="1" x14ac:dyDescent="0.35">
      <c r="C610">
        <v>24254</v>
      </c>
      <c r="D610" t="s">
        <v>778</v>
      </c>
    </row>
    <row r="611" spans="3:4" hidden="1" x14ac:dyDescent="0.35">
      <c r="C611">
        <v>24255</v>
      </c>
      <c r="D611" t="s">
        <v>780</v>
      </c>
    </row>
    <row r="612" spans="3:4" hidden="1" x14ac:dyDescent="0.35">
      <c r="C612">
        <v>24256</v>
      </c>
      <c r="D612" t="s">
        <v>812</v>
      </c>
    </row>
    <row r="613" spans="3:4" hidden="1" x14ac:dyDescent="0.35">
      <c r="C613">
        <v>24257</v>
      </c>
      <c r="D613" t="s">
        <v>781</v>
      </c>
    </row>
    <row r="614" spans="3:4" hidden="1" x14ac:dyDescent="0.35">
      <c r="C614">
        <v>24258</v>
      </c>
      <c r="D614" t="s">
        <v>782</v>
      </c>
    </row>
    <row r="615" spans="3:4" hidden="1" x14ac:dyDescent="0.35">
      <c r="C615">
        <v>24259</v>
      </c>
      <c r="D615" t="s">
        <v>783</v>
      </c>
    </row>
    <row r="616" spans="3:4" hidden="1" x14ac:dyDescent="0.35">
      <c r="C616">
        <v>24260</v>
      </c>
      <c r="D616" t="s">
        <v>784</v>
      </c>
    </row>
    <row r="617" spans="3:4" hidden="1" x14ac:dyDescent="0.35">
      <c r="C617">
        <v>24261</v>
      </c>
      <c r="D617" t="s">
        <v>785</v>
      </c>
    </row>
    <row r="618" spans="3:4" hidden="1" x14ac:dyDescent="0.35">
      <c r="C618">
        <v>999999</v>
      </c>
      <c r="D618" t="s">
        <v>788</v>
      </c>
    </row>
    <row r="619" spans="3:4" hidden="1" x14ac:dyDescent="0.35"/>
    <row r="620" spans="3:4" hidden="1" x14ac:dyDescent="0.35"/>
    <row r="621" spans="3:4" hidden="1" x14ac:dyDescent="0.35"/>
    <row r="622" spans="3:4" hidden="1" x14ac:dyDescent="0.35"/>
    <row r="623" spans="3:4" hidden="1" x14ac:dyDescent="0.35"/>
    <row r="624" spans="3:4" hidden="1" x14ac:dyDescent="0.35"/>
    <row r="625" hidden="1" x14ac:dyDescent="0.35"/>
    <row r="626" hidden="1" x14ac:dyDescent="0.35"/>
    <row r="627" hidden="1" x14ac:dyDescent="0.35"/>
    <row r="628" hidden="1" x14ac:dyDescent="0.35"/>
    <row r="629" hidden="1" x14ac:dyDescent="0.35"/>
    <row r="630" hidden="1" x14ac:dyDescent="0.35"/>
    <row r="631" hidden="1" x14ac:dyDescent="0.35"/>
    <row r="632" hidden="1" x14ac:dyDescent="0.35"/>
    <row r="633" hidden="1" x14ac:dyDescent="0.35"/>
    <row r="634" hidden="1" x14ac:dyDescent="0.35"/>
    <row r="635" hidden="1" x14ac:dyDescent="0.35"/>
    <row r="636" hidden="1" x14ac:dyDescent="0.35"/>
    <row r="637" hidden="1" x14ac:dyDescent="0.35"/>
    <row r="638" hidden="1" x14ac:dyDescent="0.35"/>
    <row r="639" hidden="1" x14ac:dyDescent="0.35"/>
    <row r="640" hidden="1" x14ac:dyDescent="0.35"/>
    <row r="641" hidden="1" x14ac:dyDescent="0.35"/>
    <row r="642" hidden="1" x14ac:dyDescent="0.35"/>
    <row r="643" hidden="1" x14ac:dyDescent="0.35"/>
    <row r="644" hidden="1" x14ac:dyDescent="0.35"/>
    <row r="645" hidden="1" x14ac:dyDescent="0.35"/>
    <row r="646" hidden="1" x14ac:dyDescent="0.35"/>
    <row r="647" hidden="1" x14ac:dyDescent="0.35"/>
    <row r="648" hidden="1" x14ac:dyDescent="0.35"/>
    <row r="649" hidden="1" x14ac:dyDescent="0.35"/>
    <row r="650" hidden="1" x14ac:dyDescent="0.35"/>
    <row r="651" hidden="1" x14ac:dyDescent="0.35"/>
    <row r="652" hidden="1" x14ac:dyDescent="0.35"/>
    <row r="653" hidden="1" x14ac:dyDescent="0.35"/>
    <row r="654" hidden="1" x14ac:dyDescent="0.35"/>
    <row r="655" hidden="1" x14ac:dyDescent="0.35"/>
    <row r="656" hidden="1" x14ac:dyDescent="0.35"/>
    <row r="657" hidden="1" x14ac:dyDescent="0.35"/>
    <row r="658" hidden="1" x14ac:dyDescent="0.35"/>
    <row r="659" hidden="1" x14ac:dyDescent="0.35"/>
    <row r="660" hidden="1" x14ac:dyDescent="0.35"/>
    <row r="661" hidden="1" x14ac:dyDescent="0.35"/>
    <row r="662" hidden="1" x14ac:dyDescent="0.35"/>
    <row r="663" hidden="1" x14ac:dyDescent="0.35"/>
    <row r="664" hidden="1" x14ac:dyDescent="0.35"/>
    <row r="665" hidden="1" x14ac:dyDescent="0.35"/>
    <row r="666" hidden="1" x14ac:dyDescent="0.35"/>
    <row r="667" hidden="1" x14ac:dyDescent="0.35"/>
    <row r="668" hidden="1" x14ac:dyDescent="0.35"/>
    <row r="669" hidden="1" x14ac:dyDescent="0.35"/>
    <row r="670" hidden="1" x14ac:dyDescent="0.35"/>
    <row r="671" hidden="1" x14ac:dyDescent="0.35"/>
    <row r="672" hidden="1" x14ac:dyDescent="0.35"/>
    <row r="673" hidden="1" x14ac:dyDescent="0.35"/>
    <row r="674" hidden="1" x14ac:dyDescent="0.35"/>
    <row r="675" hidden="1" x14ac:dyDescent="0.35"/>
    <row r="676" hidden="1" x14ac:dyDescent="0.35"/>
    <row r="677" hidden="1" x14ac:dyDescent="0.35"/>
    <row r="678" hidden="1" x14ac:dyDescent="0.35"/>
    <row r="679" hidden="1" x14ac:dyDescent="0.35"/>
    <row r="680" hidden="1" x14ac:dyDescent="0.35"/>
    <row r="681" hidden="1" x14ac:dyDescent="0.35"/>
    <row r="682" hidden="1" x14ac:dyDescent="0.35"/>
    <row r="683" hidden="1" x14ac:dyDescent="0.35"/>
    <row r="684" hidden="1" x14ac:dyDescent="0.35"/>
    <row r="685" hidden="1" x14ac:dyDescent="0.35"/>
    <row r="686" hidden="1" x14ac:dyDescent="0.35"/>
    <row r="687" hidden="1" x14ac:dyDescent="0.35"/>
    <row r="688" hidden="1" x14ac:dyDescent="0.35"/>
    <row r="689" hidden="1" x14ac:dyDescent="0.35"/>
    <row r="690" hidden="1" x14ac:dyDescent="0.35"/>
    <row r="691" hidden="1" x14ac:dyDescent="0.35"/>
    <row r="692" hidden="1" x14ac:dyDescent="0.35"/>
    <row r="693" hidden="1" x14ac:dyDescent="0.35"/>
    <row r="694" hidden="1" x14ac:dyDescent="0.35"/>
    <row r="695" hidden="1" x14ac:dyDescent="0.35"/>
    <row r="696" hidden="1" x14ac:dyDescent="0.35"/>
    <row r="697" hidden="1" x14ac:dyDescent="0.35"/>
    <row r="698" hidden="1" x14ac:dyDescent="0.35"/>
    <row r="699" hidden="1" x14ac:dyDescent="0.35"/>
    <row r="700" hidden="1" x14ac:dyDescent="0.35"/>
    <row r="1201" hidden="1" x14ac:dyDescent="0.35"/>
    <row r="1202" hidden="1" x14ac:dyDescent="0.35"/>
    <row r="1203" hidden="1" x14ac:dyDescent="0.35"/>
    <row r="1204" hidden="1" x14ac:dyDescent="0.35"/>
    <row r="1205" hidden="1" x14ac:dyDescent="0.35"/>
    <row r="1206" hidden="1" x14ac:dyDescent="0.35"/>
    <row r="1207" hidden="1" x14ac:dyDescent="0.35"/>
    <row r="1208" hidden="1" x14ac:dyDescent="0.35"/>
    <row r="1209" hidden="1" x14ac:dyDescent="0.35"/>
    <row r="1210" hidden="1" x14ac:dyDescent="0.35"/>
    <row r="1211" hidden="1" x14ac:dyDescent="0.35"/>
    <row r="1212" hidden="1" x14ac:dyDescent="0.35"/>
    <row r="1213" hidden="1" x14ac:dyDescent="0.35"/>
    <row r="1214" hidden="1" x14ac:dyDescent="0.35"/>
    <row r="1215" hidden="1" x14ac:dyDescent="0.35"/>
    <row r="1216" hidden="1" x14ac:dyDescent="0.35"/>
    <row r="1217" hidden="1" x14ac:dyDescent="0.35"/>
    <row r="1218" hidden="1" x14ac:dyDescent="0.35"/>
    <row r="1219" hidden="1" x14ac:dyDescent="0.35"/>
    <row r="1220" hidden="1" x14ac:dyDescent="0.35"/>
    <row r="1221" hidden="1" x14ac:dyDescent="0.35"/>
    <row r="1222" hidden="1" x14ac:dyDescent="0.35"/>
    <row r="1223" hidden="1" x14ac:dyDescent="0.35"/>
    <row r="1224" hidden="1" x14ac:dyDescent="0.35"/>
    <row r="1225" hidden="1" x14ac:dyDescent="0.35"/>
    <row r="1226" hidden="1" x14ac:dyDescent="0.35"/>
    <row r="1227" hidden="1" x14ac:dyDescent="0.35"/>
    <row r="1228" hidden="1" x14ac:dyDescent="0.35"/>
    <row r="1229" hidden="1" x14ac:dyDescent="0.35"/>
    <row r="1230" hidden="1" x14ac:dyDescent="0.35"/>
    <row r="1231" hidden="1" x14ac:dyDescent="0.35"/>
    <row r="1232" hidden="1" x14ac:dyDescent="0.35"/>
    <row r="1233" hidden="1" x14ac:dyDescent="0.35"/>
    <row r="1234" hidden="1" x14ac:dyDescent="0.35"/>
    <row r="1235" hidden="1" x14ac:dyDescent="0.35"/>
    <row r="1236" hidden="1" x14ac:dyDescent="0.35"/>
    <row r="1237" hidden="1" x14ac:dyDescent="0.35"/>
    <row r="1238" hidden="1" x14ac:dyDescent="0.35"/>
    <row r="1239" hidden="1" x14ac:dyDescent="0.35"/>
    <row r="1240" hidden="1" x14ac:dyDescent="0.35"/>
    <row r="1241" hidden="1" x14ac:dyDescent="0.35"/>
    <row r="1242" hidden="1" x14ac:dyDescent="0.35"/>
    <row r="1243" hidden="1" x14ac:dyDescent="0.35"/>
    <row r="1244" hidden="1" x14ac:dyDescent="0.35"/>
    <row r="1245" hidden="1" x14ac:dyDescent="0.35"/>
    <row r="1246" hidden="1" x14ac:dyDescent="0.35"/>
    <row r="1247" hidden="1" x14ac:dyDescent="0.35"/>
    <row r="1248" hidden="1" x14ac:dyDescent="0.35"/>
    <row r="1249" hidden="1" x14ac:dyDescent="0.35"/>
    <row r="1250" hidden="1" x14ac:dyDescent="0.35"/>
    <row r="1251" hidden="1" x14ac:dyDescent="0.35"/>
  </sheetData>
  <mergeCells count="1">
    <mergeCell ref="F33:X41"/>
  </mergeCells>
  <phoneticPr fontId="26" type="noConversion"/>
  <dataValidations count="3">
    <dataValidation type="list" allowBlank="1" showInputMessage="1" showErrorMessage="1" errorTitle="Registrant Name" error="You have entered your Registrant Name incorrectly" sqref="E11" xr:uid="{1B4C195E-FB54-4053-AE7B-C9C63F7AE004}">
      <formula1>$A$80:$A$300</formula1>
    </dataValidation>
    <dataValidation type="list" allowBlank="1" showInputMessage="1" showErrorMessage="1" errorTitle="Mitigated Units" error="NYC mitigated units must enter Y._x000a_All other units must enter N." sqref="C17:C24" xr:uid="{C6847242-17C4-4C67-BA38-C49BBE27B85F}">
      <formula1>$B$80:$B$81</formula1>
    </dataValidation>
    <dataValidation type="list" allowBlank="1" showInputMessage="1" showErrorMessage="1" errorTitle="PTID Number" error="Please enter the PTID number provided in the list._x000a_" sqref="D17:D24" xr:uid="{642ADE70-DD78-41D6-B3B7-D42E0F38830F}">
      <formula1>$C$80:$C$700</formula1>
    </dataValidation>
  </dataValidations>
  <pageMargins left="0.75" right="0.75" top="1" bottom="1" header="0.5" footer="0.5"/>
  <pageSetup scale="65" orientation="landscape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8195" r:id="rId4" name="CommandButton3">
          <controlPr autoLine="0" r:id="rId5">
            <anchor moveWithCells="1">
              <from>
                <xdr:col>12</xdr:col>
                <xdr:colOff>233363</xdr:colOff>
                <xdr:row>9</xdr:row>
                <xdr:rowOff>119063</xdr:rowOff>
              </from>
              <to>
                <xdr:col>13</xdr:col>
                <xdr:colOff>490538</xdr:colOff>
                <xdr:row>11</xdr:row>
                <xdr:rowOff>80963</xdr:rowOff>
              </to>
            </anchor>
          </controlPr>
        </control>
      </mc:Choice>
      <mc:Fallback>
        <control shapeId="8195" r:id="rId4" name="CommandButton3"/>
      </mc:Fallback>
    </mc:AlternateContent>
    <mc:AlternateContent xmlns:mc="http://schemas.openxmlformats.org/markup-compatibility/2006">
      <mc:Choice Requires="x14">
        <control shapeId="8194" r:id="rId6" name="CommandButton2">
          <controlPr defaultSize="0" autoLine="0" r:id="rId7">
            <anchor moveWithCells="1">
              <from>
                <xdr:col>10</xdr:col>
                <xdr:colOff>433388</xdr:colOff>
                <xdr:row>9</xdr:row>
                <xdr:rowOff>76200</xdr:rowOff>
              </from>
              <to>
                <xdr:col>11</xdr:col>
                <xdr:colOff>576263</xdr:colOff>
                <xdr:row>12</xdr:row>
                <xdr:rowOff>23813</xdr:rowOff>
              </to>
            </anchor>
          </controlPr>
        </control>
      </mc:Choice>
      <mc:Fallback>
        <control shapeId="8194" r:id="rId6" name="CommandButton2"/>
      </mc:Fallback>
    </mc:AlternateContent>
    <mc:AlternateContent xmlns:mc="http://schemas.openxmlformats.org/markup-compatibility/2006">
      <mc:Choice Requires="x14">
        <control shapeId="8193" r:id="rId8" name="CommandButton1">
          <controlPr defaultSize="0" autoLine="0" r:id="rId9">
            <anchor moveWithCells="1">
              <from>
                <xdr:col>8</xdr:col>
                <xdr:colOff>514350</xdr:colOff>
                <xdr:row>9</xdr:row>
                <xdr:rowOff>66675</xdr:rowOff>
              </from>
              <to>
                <xdr:col>10</xdr:col>
                <xdr:colOff>76200</xdr:colOff>
                <xdr:row>12</xdr:row>
                <xdr:rowOff>14288</xdr:rowOff>
              </to>
            </anchor>
          </controlPr>
        </control>
      </mc:Choice>
      <mc:Fallback>
        <control shapeId="8193" r:id="rId8" name="CommandButton1"/>
      </mc:Fallback>
    </mc:AlternateContent>
  </contro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6E428-D91E-4C8F-9190-6C910924C935}">
  <sheetPr codeName="Sheet9">
    <pageSetUpPr fitToPage="1"/>
  </sheetPr>
  <dimension ref="A1:X1251"/>
  <sheetViews>
    <sheetView showGridLines="0" showOutlineSymbols="0" topLeftCell="A3" zoomScale="75" workbookViewId="0">
      <selection activeCell="C73" sqref="C73"/>
    </sheetView>
  </sheetViews>
  <sheetFormatPr defaultRowHeight="12.75" x14ac:dyDescent="0.35"/>
  <cols>
    <col min="1" max="1" width="6.3984375" bestFit="1" customWidth="1"/>
    <col min="2" max="2" width="27.1328125" bestFit="1" customWidth="1"/>
    <col min="3" max="3" width="10.86328125" bestFit="1" customWidth="1"/>
    <col min="4" max="4" width="20.86328125" bestFit="1" customWidth="1"/>
    <col min="5" max="5" width="17.1328125" bestFit="1" customWidth="1"/>
    <col min="6" max="6" width="20.1328125" bestFit="1" customWidth="1"/>
    <col min="7" max="7" width="15" bestFit="1" customWidth="1"/>
    <col min="8" max="13" width="7.73046875" customWidth="1"/>
    <col min="14" max="14" width="7.86328125" customWidth="1"/>
    <col min="15" max="18" width="7.73046875" hidden="1" customWidth="1"/>
    <col min="19" max="19" width="6" hidden="1" customWidth="1"/>
    <col min="20" max="20" width="6.265625" hidden="1" customWidth="1"/>
    <col min="21" max="21" width="6.73046875" hidden="1" customWidth="1"/>
    <col min="22" max="23" width="9.1328125" hidden="1" customWidth="1"/>
  </cols>
  <sheetData>
    <row r="1" spans="1:24" hidden="1" x14ac:dyDescent="0.35"/>
    <row r="2" spans="1:24" hidden="1" x14ac:dyDescent="0.35"/>
    <row r="3" spans="1:24" ht="19.899999999999999" x14ac:dyDescent="0.5">
      <c r="A3" s="140"/>
      <c r="B3" s="141"/>
      <c r="C3" s="141"/>
      <c r="D3" s="142" t="s">
        <v>37</v>
      </c>
      <c r="E3" s="143"/>
      <c r="F3" s="143"/>
      <c r="G3" s="143"/>
      <c r="H3" s="143"/>
      <c r="I3" s="144" t="s">
        <v>9</v>
      </c>
      <c r="J3" s="143"/>
      <c r="K3" s="143"/>
      <c r="L3" s="143"/>
      <c r="M3" s="143"/>
      <c r="N3" s="145"/>
      <c r="O3" s="145"/>
      <c r="P3" s="145"/>
      <c r="Q3" s="145"/>
      <c r="R3" s="145"/>
      <c r="S3" s="146"/>
      <c r="T3" s="146"/>
      <c r="U3" s="146"/>
      <c r="V3" s="146"/>
      <c r="W3" s="146"/>
      <c r="X3" s="147"/>
    </row>
    <row r="4" spans="1:24" ht="15" x14ac:dyDescent="0.4">
      <c r="A4" s="148"/>
      <c r="B4" s="149"/>
      <c r="C4" s="149"/>
      <c r="D4" s="150" t="s">
        <v>38</v>
      </c>
      <c r="E4" s="26"/>
      <c r="F4" s="26"/>
      <c r="G4" s="26"/>
      <c r="H4" s="151"/>
      <c r="I4" s="104" t="s">
        <v>288</v>
      </c>
      <c r="J4" s="26"/>
      <c r="K4" s="26"/>
      <c r="L4" s="26"/>
      <c r="M4" s="26"/>
      <c r="N4" s="26"/>
      <c r="O4" s="26"/>
      <c r="P4" s="26"/>
      <c r="Q4" s="26"/>
      <c r="R4" s="26"/>
      <c r="S4" s="9"/>
      <c r="T4" s="9"/>
      <c r="U4" s="9"/>
      <c r="V4" s="9"/>
      <c r="W4" s="9"/>
      <c r="X4" s="152"/>
    </row>
    <row r="5" spans="1:24" ht="13.15" x14ac:dyDescent="0.4">
      <c r="A5" s="153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9"/>
      <c r="T5" s="9"/>
      <c r="U5" s="9"/>
      <c r="V5" s="9"/>
      <c r="W5" s="9"/>
      <c r="X5" s="152"/>
    </row>
    <row r="6" spans="1:24" ht="15" x14ac:dyDescent="0.4">
      <c r="A6" s="153"/>
      <c r="B6" s="26"/>
      <c r="C6" s="26"/>
      <c r="D6" s="154"/>
      <c r="E6" s="154"/>
      <c r="F6" s="154"/>
      <c r="G6" s="154"/>
      <c r="H6" s="154"/>
      <c r="I6" s="154" t="s">
        <v>7</v>
      </c>
      <c r="J6" s="154"/>
      <c r="K6" s="154"/>
      <c r="L6" s="154"/>
      <c r="M6" s="154"/>
      <c r="N6" s="26"/>
      <c r="O6" s="26"/>
      <c r="P6" s="26"/>
      <c r="Q6" s="26"/>
      <c r="R6" s="26"/>
      <c r="S6" s="9"/>
      <c r="T6" s="9"/>
      <c r="U6" s="9"/>
      <c r="V6" s="9"/>
      <c r="W6" s="9"/>
      <c r="X6" s="152"/>
    </row>
    <row r="7" spans="1:24" ht="15" x14ac:dyDescent="0.4">
      <c r="A7" s="153"/>
      <c r="B7" s="26"/>
      <c r="C7" s="26"/>
      <c r="D7" s="154"/>
      <c r="E7" s="154"/>
      <c r="F7" s="154"/>
      <c r="G7" s="154"/>
      <c r="H7" s="86" t="s">
        <v>103</v>
      </c>
      <c r="I7" s="154"/>
      <c r="J7" s="154"/>
      <c r="K7" s="154"/>
      <c r="L7" s="154"/>
      <c r="M7" s="154"/>
      <c r="N7" s="26"/>
      <c r="O7" s="26"/>
      <c r="P7" s="26"/>
      <c r="Q7" s="26"/>
      <c r="R7" s="26"/>
      <c r="S7" s="9"/>
      <c r="T7" s="9"/>
      <c r="U7" s="9"/>
      <c r="V7" s="9"/>
      <c r="W7" s="9"/>
      <c r="X7" s="152"/>
    </row>
    <row r="8" spans="1:24" ht="13.15" x14ac:dyDescent="0.4">
      <c r="A8" s="153"/>
      <c r="B8" s="26"/>
      <c r="C8" s="26"/>
      <c r="D8" s="28" t="s">
        <v>27</v>
      </c>
      <c r="E8" s="21" t="s">
        <v>277</v>
      </c>
      <c r="F8" s="9"/>
      <c r="G8" s="21">
        <v>1</v>
      </c>
      <c r="H8" s="26"/>
      <c r="I8" s="26"/>
      <c r="J8" s="26"/>
      <c r="K8" s="28" t="s">
        <v>25</v>
      </c>
      <c r="L8" s="26"/>
      <c r="M8" s="87">
        <f>+'Mar OPP'!M8</f>
        <v>36526</v>
      </c>
      <c r="N8" s="22"/>
      <c r="O8" s="26"/>
      <c r="P8" s="26"/>
      <c r="Q8" s="26"/>
      <c r="R8" s="26"/>
      <c r="S8" s="9"/>
      <c r="T8" s="9"/>
      <c r="U8" s="9"/>
      <c r="V8" s="9"/>
      <c r="W8" s="9"/>
      <c r="X8" s="152"/>
    </row>
    <row r="9" spans="1:24" ht="13.15" x14ac:dyDescent="0.4">
      <c r="A9" s="153"/>
      <c r="B9" s="26"/>
      <c r="C9" s="26"/>
      <c r="D9" s="75"/>
      <c r="E9" s="28"/>
      <c r="F9" s="26"/>
      <c r="G9" s="24" t="s">
        <v>104</v>
      </c>
      <c r="H9" s="26"/>
      <c r="I9" s="26"/>
      <c r="J9" s="26"/>
      <c r="K9" s="28" t="s">
        <v>26</v>
      </c>
      <c r="L9" s="26"/>
      <c r="M9" s="90">
        <f>+'Mar OPP'!M9</f>
        <v>0.625</v>
      </c>
      <c r="N9" s="25"/>
      <c r="O9" s="26"/>
      <c r="P9" s="26"/>
      <c r="Q9" s="26"/>
      <c r="R9" s="26"/>
      <c r="S9" s="9"/>
      <c r="T9" s="9"/>
      <c r="U9" s="9"/>
      <c r="V9" s="9"/>
      <c r="W9" s="9"/>
      <c r="X9" s="152"/>
    </row>
    <row r="10" spans="1:24" ht="13.15" x14ac:dyDescent="0.4">
      <c r="A10" s="153"/>
      <c r="B10" s="26"/>
      <c r="C10" s="26"/>
      <c r="D10" s="75"/>
      <c r="E10" s="28"/>
      <c r="F10" s="26"/>
      <c r="G10" s="26"/>
      <c r="H10" s="26"/>
      <c r="I10" s="26"/>
      <c r="J10" s="28"/>
      <c r="K10" s="26"/>
      <c r="L10" s="26"/>
      <c r="M10" s="26"/>
      <c r="N10" s="26"/>
      <c r="O10" s="26"/>
      <c r="P10" s="26"/>
      <c r="Q10" s="26"/>
      <c r="R10" s="26"/>
      <c r="S10" s="9"/>
      <c r="T10" s="155"/>
      <c r="U10" s="155"/>
      <c r="V10" s="155"/>
      <c r="W10" s="9"/>
      <c r="X10" s="152"/>
    </row>
    <row r="11" spans="1:24" ht="13.15" x14ac:dyDescent="0.4">
      <c r="A11" s="153"/>
      <c r="B11" s="26"/>
      <c r="C11" s="26"/>
      <c r="D11" s="28" t="s">
        <v>20</v>
      </c>
      <c r="E11" s="27"/>
      <c r="F11" s="9"/>
      <c r="G11" s="28"/>
      <c r="H11" s="26"/>
      <c r="I11" s="26"/>
      <c r="J11" s="26"/>
      <c r="K11" s="28"/>
      <c r="L11" s="26"/>
      <c r="M11" s="28"/>
      <c r="N11" s="156"/>
      <c r="O11" s="156"/>
      <c r="P11" s="156"/>
      <c r="Q11" s="156"/>
      <c r="R11" s="156"/>
      <c r="S11" s="155"/>
      <c r="T11" s="9"/>
      <c r="U11" s="9"/>
      <c r="V11" s="9"/>
      <c r="W11" s="9"/>
      <c r="X11" s="152"/>
    </row>
    <row r="12" spans="1:24" ht="13.15" x14ac:dyDescent="0.4">
      <c r="A12" s="153"/>
      <c r="B12" s="26"/>
      <c r="C12" s="26"/>
      <c r="D12" s="26"/>
      <c r="E12" s="26"/>
      <c r="F12" s="26"/>
      <c r="G12" s="26"/>
      <c r="H12" s="26"/>
      <c r="I12" s="26"/>
      <c r="J12" s="28"/>
      <c r="K12" s="86"/>
      <c r="L12" s="26"/>
      <c r="M12" s="28"/>
      <c r="N12" s="26"/>
      <c r="O12" s="26"/>
      <c r="P12" s="26"/>
      <c r="Q12" s="26"/>
      <c r="R12" s="26"/>
      <c r="S12" s="9"/>
      <c r="T12" s="155"/>
      <c r="U12" s="9"/>
      <c r="V12" s="9"/>
      <c r="W12" s="9"/>
      <c r="X12" s="152"/>
    </row>
    <row r="13" spans="1:24" ht="13.5" thickBot="1" x14ac:dyDescent="0.45">
      <c r="A13" s="153"/>
      <c r="B13" s="26"/>
      <c r="C13" s="26"/>
      <c r="D13" s="26"/>
      <c r="E13" s="104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9"/>
      <c r="T13" s="9"/>
      <c r="U13" s="9"/>
      <c r="V13" s="9"/>
      <c r="W13" s="9"/>
      <c r="X13" s="152"/>
    </row>
    <row r="14" spans="1:24" ht="13.15" x14ac:dyDescent="0.4">
      <c r="A14" s="39"/>
      <c r="B14" s="41" t="s">
        <v>43</v>
      </c>
      <c r="C14" s="41"/>
      <c r="D14" s="40"/>
      <c r="E14" s="41"/>
      <c r="F14" s="41" t="s">
        <v>33</v>
      </c>
      <c r="G14" s="42" t="s">
        <v>31</v>
      </c>
      <c r="H14" s="52" t="s">
        <v>46</v>
      </c>
      <c r="I14" s="43"/>
      <c r="J14" s="44"/>
      <c r="K14" s="43"/>
      <c r="L14" s="43"/>
      <c r="M14" s="43"/>
      <c r="N14" s="45"/>
      <c r="O14" s="26"/>
      <c r="P14" s="26"/>
      <c r="Q14" s="26"/>
      <c r="R14" s="26"/>
      <c r="S14" s="9"/>
      <c r="T14" s="9"/>
      <c r="U14" s="9"/>
      <c r="V14" s="9"/>
      <c r="W14" s="9"/>
      <c r="X14" s="152"/>
    </row>
    <row r="15" spans="1:24" ht="13.15" x14ac:dyDescent="0.4">
      <c r="A15" s="46" t="s">
        <v>39</v>
      </c>
      <c r="B15" s="30" t="s">
        <v>44</v>
      </c>
      <c r="C15" s="30" t="s">
        <v>2</v>
      </c>
      <c r="D15" s="30" t="s">
        <v>41</v>
      </c>
      <c r="E15" s="30" t="s">
        <v>40</v>
      </c>
      <c r="F15" s="36" t="s">
        <v>53</v>
      </c>
      <c r="G15" s="37" t="s">
        <v>35</v>
      </c>
      <c r="H15" s="29" t="s">
        <v>2</v>
      </c>
      <c r="I15" s="29" t="s">
        <v>3</v>
      </c>
      <c r="J15" s="29" t="s">
        <v>28</v>
      </c>
      <c r="K15" s="29" t="s">
        <v>4</v>
      </c>
      <c r="L15" s="29" t="s">
        <v>29</v>
      </c>
      <c r="M15" s="29" t="s">
        <v>5</v>
      </c>
      <c r="N15" s="47" t="s">
        <v>30</v>
      </c>
      <c r="O15" s="104"/>
      <c r="P15" s="104"/>
      <c r="Q15" s="104"/>
      <c r="R15" s="104"/>
      <c r="S15" s="9"/>
      <c r="T15" s="9"/>
      <c r="U15" s="9"/>
      <c r="V15" s="9"/>
      <c r="W15" s="9"/>
      <c r="X15" s="152"/>
    </row>
    <row r="16" spans="1:24" ht="13.5" thickBot="1" x14ac:dyDescent="0.45">
      <c r="A16" s="48"/>
      <c r="B16" s="31"/>
      <c r="C16" s="32" t="s">
        <v>105</v>
      </c>
      <c r="D16" s="31"/>
      <c r="E16" s="31"/>
      <c r="F16" s="38" t="s">
        <v>48</v>
      </c>
      <c r="G16" s="51" t="s">
        <v>36</v>
      </c>
      <c r="H16" s="31"/>
      <c r="I16" s="31"/>
      <c r="J16" s="31"/>
      <c r="K16" s="31"/>
      <c r="L16" s="32"/>
      <c r="M16" s="32"/>
      <c r="N16" s="49"/>
      <c r="O16" s="104"/>
      <c r="P16" s="104"/>
      <c r="Q16" s="104"/>
      <c r="R16" s="104"/>
      <c r="S16" s="9"/>
      <c r="T16" s="9"/>
      <c r="U16" s="9"/>
      <c r="V16" s="9"/>
      <c r="W16" s="9"/>
      <c r="X16" s="152"/>
    </row>
    <row r="17" spans="1:24" s="34" customFormat="1" ht="13.15" x14ac:dyDescent="0.4">
      <c r="A17" s="158">
        <v>1</v>
      </c>
      <c r="B17" s="85" t="str">
        <f t="shared" ref="B17:B24" si="0">IF(D17=0," ",+$E$11)</f>
        <v xml:space="preserve"> </v>
      </c>
      <c r="C17" s="35" t="s">
        <v>106</v>
      </c>
      <c r="D17" s="80"/>
      <c r="E17" s="85" t="str">
        <f>IF(ISERROR(VLOOKUP(D17,$C$80:$D$700,2)),"",VLOOKUP(D17,$C$80:$D$700,2))</f>
        <v/>
      </c>
      <c r="F17" s="81"/>
      <c r="G17" s="81"/>
      <c r="H17" s="58">
        <v>0</v>
      </c>
      <c r="I17" s="58">
        <v>0</v>
      </c>
      <c r="J17" s="58">
        <v>0</v>
      </c>
      <c r="K17" s="58">
        <v>0</v>
      </c>
      <c r="L17" s="58">
        <v>0</v>
      </c>
      <c r="M17" s="58">
        <v>0</v>
      </c>
      <c r="N17" s="58">
        <v>0</v>
      </c>
      <c r="O17" s="53" t="str">
        <f>+$E$8</f>
        <v>April</v>
      </c>
      <c r="P17" s="53">
        <f>+$G$8</f>
        <v>1</v>
      </c>
      <c r="Q17" s="105">
        <f>+$M$8</f>
        <v>36526</v>
      </c>
      <c r="R17" s="107">
        <f>+$M$9</f>
        <v>0.625</v>
      </c>
      <c r="S17" s="175">
        <f t="shared" ref="S17:S24" si="1">IF(AND(OR(H17=0,H17=1),OR(I17=0,I17=1),OR(J17=0,J17=1),OR(K17=0,K17=1),OR(L17=0,L17=1),OR(N17=0,N17=1),OR(M17=0,M17=1)),0,1)</f>
        <v>0</v>
      </c>
      <c r="T17" s="175">
        <f t="shared" ref="T17:T24" si="2">IF(L17+N17&gt;0,1,0)</f>
        <v>0</v>
      </c>
      <c r="U17" s="54">
        <f t="shared" ref="U17:U24" si="3">IF(SUM(H17:N17)&gt;1,1,0)</f>
        <v>0</v>
      </c>
      <c r="V17" s="54">
        <f t="shared" ref="V17:V24" si="4">IF(AND(G17&gt;0,SUM(H17:N17)=0),1,0)</f>
        <v>0</v>
      </c>
      <c r="W17" s="175">
        <f t="shared" ref="W17:W24" si="5">IF(H17&gt;0,1,0)</f>
        <v>0</v>
      </c>
      <c r="X17" s="176"/>
    </row>
    <row r="18" spans="1:24" s="34" customFormat="1" ht="13.15" x14ac:dyDescent="0.4">
      <c r="A18" s="158">
        <f>COUNT($A$17:A17)+1</f>
        <v>2</v>
      </c>
      <c r="B18" s="85" t="str">
        <f t="shared" si="0"/>
        <v xml:space="preserve"> </v>
      </c>
      <c r="C18" s="35" t="s">
        <v>106</v>
      </c>
      <c r="D18" s="80"/>
      <c r="E18" s="85" t="str">
        <f t="shared" ref="E18:E24" si="6">IF(ISERROR(VLOOKUP(D18,$C$80:$D$700,2)),"",VLOOKUP(D18,$C$80:$D$700,2))</f>
        <v/>
      </c>
      <c r="F18" s="81"/>
      <c r="G18" s="81"/>
      <c r="H18" s="58">
        <v>0</v>
      </c>
      <c r="I18" s="58">
        <v>0</v>
      </c>
      <c r="J18" s="58">
        <v>0</v>
      </c>
      <c r="K18" s="58">
        <v>0</v>
      </c>
      <c r="L18" s="58">
        <v>0</v>
      </c>
      <c r="M18" s="58">
        <v>0</v>
      </c>
      <c r="N18" s="58">
        <v>0</v>
      </c>
      <c r="O18" s="53" t="str">
        <f t="shared" ref="O18:O24" si="7">+$E$8</f>
        <v>April</v>
      </c>
      <c r="P18" s="53">
        <f t="shared" ref="P18:P24" si="8">+$G$8</f>
        <v>1</v>
      </c>
      <c r="Q18" s="105">
        <f t="shared" ref="Q18:Q24" si="9">+$M$8</f>
        <v>36526</v>
      </c>
      <c r="R18" s="107">
        <f t="shared" ref="R18:R24" si="10">+$M$9</f>
        <v>0.625</v>
      </c>
      <c r="S18" s="175">
        <f t="shared" si="1"/>
        <v>0</v>
      </c>
      <c r="T18" s="175">
        <f t="shared" si="2"/>
        <v>0</v>
      </c>
      <c r="U18" s="54">
        <f t="shared" si="3"/>
        <v>0</v>
      </c>
      <c r="V18" s="54">
        <f t="shared" si="4"/>
        <v>0</v>
      </c>
      <c r="W18" s="175">
        <f t="shared" si="5"/>
        <v>0</v>
      </c>
      <c r="X18" s="176"/>
    </row>
    <row r="19" spans="1:24" s="34" customFormat="1" ht="13.15" x14ac:dyDescent="0.4">
      <c r="A19" s="158">
        <f>COUNT($A$17:A18)+1</f>
        <v>3</v>
      </c>
      <c r="B19" s="85" t="str">
        <f t="shared" si="0"/>
        <v xml:space="preserve"> </v>
      </c>
      <c r="C19" s="35" t="s">
        <v>106</v>
      </c>
      <c r="D19" s="80"/>
      <c r="E19" s="85" t="str">
        <f t="shared" si="6"/>
        <v/>
      </c>
      <c r="F19" s="81"/>
      <c r="G19" s="81"/>
      <c r="H19" s="58">
        <v>0</v>
      </c>
      <c r="I19" s="58">
        <v>0</v>
      </c>
      <c r="J19" s="58">
        <v>0</v>
      </c>
      <c r="K19" s="58">
        <v>0</v>
      </c>
      <c r="L19" s="58">
        <v>0</v>
      </c>
      <c r="M19" s="58">
        <v>0</v>
      </c>
      <c r="N19" s="58">
        <v>0</v>
      </c>
      <c r="O19" s="53" t="str">
        <f t="shared" si="7"/>
        <v>April</v>
      </c>
      <c r="P19" s="53">
        <f t="shared" si="8"/>
        <v>1</v>
      </c>
      <c r="Q19" s="105">
        <f t="shared" si="9"/>
        <v>36526</v>
      </c>
      <c r="R19" s="107">
        <f t="shared" si="10"/>
        <v>0.625</v>
      </c>
      <c r="S19" s="175">
        <f>IF(AND(OR(H19=0,H19=1),OR(I19=0,I19=1),OR(J19=0,J19=1),OR(K19=0,K19=1),OR(L19=0,L19=1),OR(N19=0,N19=1),OR(M19=0,M19=1)),0,1)</f>
        <v>0</v>
      </c>
      <c r="T19" s="175">
        <f>IF(L19+N19&gt;0,1,0)</f>
        <v>0</v>
      </c>
      <c r="U19" s="54">
        <f>IF(SUM(H19:N19)&gt;1,1,0)</f>
        <v>0</v>
      </c>
      <c r="V19" s="54">
        <f>IF(AND(G19&gt;0,SUM(H19:N19)=0),1,0)</f>
        <v>0</v>
      </c>
      <c r="W19" s="175">
        <f>IF(H19&gt;0,1,0)</f>
        <v>0</v>
      </c>
      <c r="X19" s="176"/>
    </row>
    <row r="20" spans="1:24" s="34" customFormat="1" ht="13.15" x14ac:dyDescent="0.4">
      <c r="A20" s="158">
        <f>COUNT($A$17:A19)+1</f>
        <v>4</v>
      </c>
      <c r="B20" s="85" t="str">
        <f t="shared" si="0"/>
        <v xml:space="preserve"> </v>
      </c>
      <c r="C20" s="35" t="s">
        <v>106</v>
      </c>
      <c r="D20" s="80"/>
      <c r="E20" s="85" t="str">
        <f t="shared" si="6"/>
        <v/>
      </c>
      <c r="F20" s="81"/>
      <c r="G20" s="81"/>
      <c r="H20" s="58">
        <v>0</v>
      </c>
      <c r="I20" s="58">
        <v>0</v>
      </c>
      <c r="J20" s="58">
        <v>0</v>
      </c>
      <c r="K20" s="58">
        <v>0</v>
      </c>
      <c r="L20" s="58">
        <v>0</v>
      </c>
      <c r="M20" s="58">
        <v>0</v>
      </c>
      <c r="N20" s="58">
        <v>0</v>
      </c>
      <c r="O20" s="53" t="str">
        <f t="shared" si="7"/>
        <v>April</v>
      </c>
      <c r="P20" s="53">
        <f t="shared" si="8"/>
        <v>1</v>
      </c>
      <c r="Q20" s="105">
        <f t="shared" si="9"/>
        <v>36526</v>
      </c>
      <c r="R20" s="107">
        <f t="shared" si="10"/>
        <v>0.625</v>
      </c>
      <c r="S20" s="175">
        <f>IF(AND(OR(H20=0,H20=1),OR(I20=0,I20=1),OR(J20=0,J20=1),OR(K20=0,K20=1),OR(L20=0,L20=1),OR(N20=0,N20=1),OR(M20=0,M20=1)),0,1)</f>
        <v>0</v>
      </c>
      <c r="T20" s="175">
        <f>IF(L20+N20&gt;0,1,0)</f>
        <v>0</v>
      </c>
      <c r="U20" s="54">
        <f>IF(SUM(H20:N20)&gt;1,1,0)</f>
        <v>0</v>
      </c>
      <c r="V20" s="54">
        <f>IF(AND(G20&gt;0,SUM(H20:N20)=0),1,0)</f>
        <v>0</v>
      </c>
      <c r="W20" s="175">
        <f>IF(H20&gt;0,1,0)</f>
        <v>0</v>
      </c>
      <c r="X20" s="176"/>
    </row>
    <row r="21" spans="1:24" ht="13.15" x14ac:dyDescent="0.4">
      <c r="A21" s="158">
        <f>COUNT($A$17:A20)+1</f>
        <v>5</v>
      </c>
      <c r="B21" s="85" t="str">
        <f t="shared" si="0"/>
        <v xml:space="preserve"> </v>
      </c>
      <c r="C21" s="35" t="s">
        <v>106</v>
      </c>
      <c r="D21" s="78"/>
      <c r="E21" s="85" t="str">
        <f t="shared" si="6"/>
        <v/>
      </c>
      <c r="F21" s="79"/>
      <c r="G21" s="79"/>
      <c r="H21" s="58">
        <v>0</v>
      </c>
      <c r="I21" s="58">
        <v>0</v>
      </c>
      <c r="J21" s="58">
        <v>0</v>
      </c>
      <c r="K21" s="58">
        <v>0</v>
      </c>
      <c r="L21" s="58">
        <v>0</v>
      </c>
      <c r="M21" s="58">
        <v>0</v>
      </c>
      <c r="N21" s="58">
        <v>0</v>
      </c>
      <c r="O21" s="53" t="str">
        <f t="shared" si="7"/>
        <v>April</v>
      </c>
      <c r="P21" s="53">
        <f t="shared" si="8"/>
        <v>1</v>
      </c>
      <c r="Q21" s="105">
        <f t="shared" si="9"/>
        <v>36526</v>
      </c>
      <c r="R21" s="107">
        <f t="shared" si="10"/>
        <v>0.625</v>
      </c>
      <c r="S21" s="160">
        <f t="shared" si="1"/>
        <v>0</v>
      </c>
      <c r="T21" s="160">
        <f t="shared" si="2"/>
        <v>0</v>
      </c>
      <c r="U21" s="9">
        <f t="shared" si="3"/>
        <v>0</v>
      </c>
      <c r="V21" s="9">
        <f t="shared" si="4"/>
        <v>0</v>
      </c>
      <c r="W21" s="160">
        <f t="shared" si="5"/>
        <v>0</v>
      </c>
      <c r="X21" s="152"/>
    </row>
    <row r="22" spans="1:24" ht="13.15" x14ac:dyDescent="0.4">
      <c r="A22" s="158">
        <f>COUNT($A$17:A21)+1</f>
        <v>6</v>
      </c>
      <c r="B22" s="85" t="str">
        <f t="shared" si="0"/>
        <v xml:space="preserve"> </v>
      </c>
      <c r="C22" s="35" t="s">
        <v>106</v>
      </c>
      <c r="D22" s="80"/>
      <c r="E22" s="85" t="str">
        <f t="shared" si="6"/>
        <v/>
      </c>
      <c r="F22" s="81"/>
      <c r="G22" s="81"/>
      <c r="H22" s="58">
        <v>0</v>
      </c>
      <c r="I22" s="58">
        <v>0</v>
      </c>
      <c r="J22" s="58">
        <v>0</v>
      </c>
      <c r="K22" s="58">
        <v>0</v>
      </c>
      <c r="L22" s="58">
        <v>0</v>
      </c>
      <c r="M22" s="58">
        <v>0</v>
      </c>
      <c r="N22" s="58">
        <v>0</v>
      </c>
      <c r="O22" s="53" t="str">
        <f t="shared" si="7"/>
        <v>April</v>
      </c>
      <c r="P22" s="53">
        <f t="shared" si="8"/>
        <v>1</v>
      </c>
      <c r="Q22" s="105">
        <f t="shared" si="9"/>
        <v>36526</v>
      </c>
      <c r="R22" s="107">
        <f t="shared" si="10"/>
        <v>0.625</v>
      </c>
      <c r="S22" s="160">
        <f t="shared" si="1"/>
        <v>0</v>
      </c>
      <c r="T22" s="160">
        <f t="shared" si="2"/>
        <v>0</v>
      </c>
      <c r="U22" s="9">
        <f t="shared" si="3"/>
        <v>0</v>
      </c>
      <c r="V22" s="9">
        <f t="shared" si="4"/>
        <v>0</v>
      </c>
      <c r="W22" s="160">
        <f t="shared" si="5"/>
        <v>0</v>
      </c>
      <c r="X22" s="152"/>
    </row>
    <row r="23" spans="1:24" ht="13.15" x14ac:dyDescent="0.4">
      <c r="A23" s="158">
        <f>COUNT($A$17:A22)+1</f>
        <v>7</v>
      </c>
      <c r="B23" s="85" t="str">
        <f t="shared" si="0"/>
        <v xml:space="preserve"> </v>
      </c>
      <c r="C23" s="35" t="s">
        <v>106</v>
      </c>
      <c r="D23" s="80"/>
      <c r="E23" s="85" t="str">
        <f t="shared" si="6"/>
        <v/>
      </c>
      <c r="F23" s="81"/>
      <c r="G23" s="81"/>
      <c r="H23" s="58">
        <v>0</v>
      </c>
      <c r="I23" s="58">
        <v>0</v>
      </c>
      <c r="J23" s="58">
        <v>0</v>
      </c>
      <c r="K23" s="58">
        <v>0</v>
      </c>
      <c r="L23" s="58">
        <v>0</v>
      </c>
      <c r="M23" s="58">
        <v>0</v>
      </c>
      <c r="N23" s="58">
        <v>0</v>
      </c>
      <c r="O23" s="53" t="str">
        <f t="shared" si="7"/>
        <v>April</v>
      </c>
      <c r="P23" s="53">
        <f t="shared" si="8"/>
        <v>1</v>
      </c>
      <c r="Q23" s="105">
        <f t="shared" si="9"/>
        <v>36526</v>
      </c>
      <c r="R23" s="107">
        <f t="shared" si="10"/>
        <v>0.625</v>
      </c>
      <c r="S23" s="160">
        <f t="shared" si="1"/>
        <v>0</v>
      </c>
      <c r="T23" s="160">
        <f t="shared" si="2"/>
        <v>0</v>
      </c>
      <c r="U23" s="9">
        <f t="shared" si="3"/>
        <v>0</v>
      </c>
      <c r="V23" s="9">
        <f t="shared" si="4"/>
        <v>0</v>
      </c>
      <c r="W23" s="160">
        <f t="shared" si="5"/>
        <v>0</v>
      </c>
      <c r="X23" s="152"/>
    </row>
    <row r="24" spans="1:24" ht="12.75" customHeight="1" x14ac:dyDescent="0.4">
      <c r="A24" s="158">
        <f>COUNT($A$17:A23)+1</f>
        <v>8</v>
      </c>
      <c r="B24" s="85" t="str">
        <f t="shared" si="0"/>
        <v xml:space="preserve"> </v>
      </c>
      <c r="C24" s="103" t="s">
        <v>106</v>
      </c>
      <c r="D24" s="82"/>
      <c r="E24" s="85" t="str">
        <f t="shared" si="6"/>
        <v/>
      </c>
      <c r="F24" s="83"/>
      <c r="G24" s="83"/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53" t="str">
        <f t="shared" si="7"/>
        <v>April</v>
      </c>
      <c r="P24" s="53">
        <f t="shared" si="8"/>
        <v>1</v>
      </c>
      <c r="Q24" s="105">
        <f t="shared" si="9"/>
        <v>36526</v>
      </c>
      <c r="R24" s="107">
        <f t="shared" si="10"/>
        <v>0.625</v>
      </c>
      <c r="S24" s="159">
        <f t="shared" si="1"/>
        <v>0</v>
      </c>
      <c r="T24" s="159">
        <f t="shared" si="2"/>
        <v>0</v>
      </c>
      <c r="U24" s="60">
        <f t="shared" si="3"/>
        <v>0</v>
      </c>
      <c r="V24" s="60">
        <f t="shared" si="4"/>
        <v>0</v>
      </c>
      <c r="W24" s="159">
        <f t="shared" si="5"/>
        <v>0</v>
      </c>
      <c r="X24" s="152"/>
    </row>
    <row r="25" spans="1:24" ht="15.4" x14ac:dyDescent="0.4">
      <c r="A25" s="153"/>
      <c r="B25" s="26"/>
      <c r="C25" s="26"/>
      <c r="D25" s="26"/>
      <c r="E25" s="26"/>
      <c r="F25" s="26"/>
      <c r="G25" s="26"/>
      <c r="H25" s="161"/>
      <c r="I25" s="162" t="str">
        <f>IF(T25+S25+U25+V25&gt;0,"WARNING:","")</f>
        <v/>
      </c>
      <c r="J25" s="163" t="str">
        <f>IF(S25&gt;0,"Values above must be 1's or 0's",IF(T25&gt;0,"NE and Ontario are not participating. These must be 0's",IF(U25&gt;0,"Choose one location only",IF(V25&gt;0,"You must select a location",""))))</f>
        <v/>
      </c>
      <c r="K25" s="164"/>
      <c r="L25" s="164"/>
      <c r="M25" s="164"/>
      <c r="N25" s="165"/>
      <c r="O25" s="165"/>
      <c r="P25" s="165"/>
      <c r="Q25" s="165"/>
      <c r="R25" s="165"/>
      <c r="S25" s="9">
        <f>SUM(S17:S24)</f>
        <v>0</v>
      </c>
      <c r="T25" s="9">
        <f>SUM(T17:T24)</f>
        <v>0</v>
      </c>
      <c r="U25" s="9">
        <f>SUM(U17:U24)</f>
        <v>0</v>
      </c>
      <c r="V25" s="9">
        <f>SUM(V17:V24)</f>
        <v>0</v>
      </c>
      <c r="W25" s="9">
        <f>SUM(W17:W24)</f>
        <v>0</v>
      </c>
      <c r="X25" s="152"/>
    </row>
    <row r="26" spans="1:24" ht="13.15" x14ac:dyDescent="0.4">
      <c r="A26" s="166" t="s">
        <v>32</v>
      </c>
      <c r="B26" s="26"/>
      <c r="C26" s="26"/>
      <c r="D26" s="26"/>
      <c r="E26" s="26"/>
      <c r="F26" s="26"/>
      <c r="G26" s="9"/>
      <c r="H26" s="9"/>
      <c r="I26" s="26"/>
      <c r="J26" s="167"/>
      <c r="K26" s="167"/>
      <c r="L26" s="167"/>
      <c r="M26" s="167"/>
      <c r="N26" s="167"/>
      <c r="O26" s="167"/>
      <c r="P26" s="167"/>
      <c r="Q26" s="167"/>
      <c r="R26" s="167"/>
      <c r="S26" s="9"/>
      <c r="T26" s="9"/>
      <c r="U26" s="9"/>
      <c r="V26" s="9"/>
      <c r="W26" s="9"/>
      <c r="X26" s="152"/>
    </row>
    <row r="27" spans="1:24" ht="13.15" x14ac:dyDescent="0.4">
      <c r="A27" s="168" t="s">
        <v>45</v>
      </c>
      <c r="B27" s="26"/>
      <c r="C27" s="26"/>
      <c r="D27" s="26"/>
      <c r="E27" s="26"/>
      <c r="F27" s="26"/>
      <c r="G27" s="9"/>
      <c r="H27" s="9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9"/>
      <c r="T27" s="9"/>
      <c r="U27" s="9"/>
      <c r="V27" s="9"/>
      <c r="W27" s="9"/>
      <c r="X27" s="152"/>
    </row>
    <row r="28" spans="1:24" ht="13.15" x14ac:dyDescent="0.4">
      <c r="A28" s="169"/>
      <c r="B28" s="28" t="s">
        <v>73</v>
      </c>
      <c r="C28" s="28"/>
      <c r="D28" s="26"/>
      <c r="E28" s="26"/>
      <c r="F28" s="26"/>
      <c r="G28" s="9"/>
      <c r="H28" s="9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9"/>
      <c r="T28" s="9"/>
      <c r="U28" s="9"/>
      <c r="V28" s="9"/>
      <c r="W28" s="9"/>
      <c r="X28" s="152"/>
    </row>
    <row r="29" spans="1:24" ht="13.15" x14ac:dyDescent="0.4">
      <c r="A29" s="170"/>
      <c r="B29" s="171" t="s">
        <v>75</v>
      </c>
      <c r="C29" s="171"/>
      <c r="D29" s="172"/>
      <c r="E29" s="172"/>
      <c r="F29" s="172"/>
      <c r="G29" s="9"/>
      <c r="H29" s="9"/>
      <c r="I29" s="172"/>
      <c r="J29" s="172"/>
      <c r="K29" s="172"/>
      <c r="L29" s="172"/>
      <c r="M29" s="172"/>
      <c r="N29" s="172"/>
      <c r="O29" s="172"/>
      <c r="P29" s="172"/>
      <c r="Q29" s="172"/>
      <c r="R29" s="172"/>
      <c r="S29" s="54"/>
      <c r="T29" s="54"/>
      <c r="U29" s="54"/>
      <c r="V29" s="54"/>
      <c r="W29" s="54"/>
      <c r="X29" s="152"/>
    </row>
    <row r="30" spans="1:24" ht="13.15" hidden="1" x14ac:dyDescent="0.4">
      <c r="A30" s="153"/>
      <c r="B30" s="26"/>
      <c r="C30" s="26"/>
      <c r="D30" s="26" t="s">
        <v>15</v>
      </c>
      <c r="E30" s="26"/>
      <c r="F30" s="22"/>
      <c r="G30" s="22"/>
      <c r="H30" s="22"/>
      <c r="I30" s="22"/>
      <c r="J30" s="26"/>
      <c r="K30" s="26" t="s">
        <v>34</v>
      </c>
      <c r="L30" s="26"/>
      <c r="M30" s="22"/>
      <c r="N30" s="22"/>
      <c r="O30" s="26"/>
      <c r="P30" s="26"/>
      <c r="Q30" s="26"/>
      <c r="R30" s="26"/>
      <c r="S30" s="9"/>
      <c r="T30" s="9"/>
      <c r="U30" s="9"/>
      <c r="V30" s="9"/>
      <c r="W30" s="9"/>
      <c r="X30" s="152"/>
    </row>
    <row r="31" spans="1:24" ht="13.15" x14ac:dyDescent="0.4">
      <c r="A31" s="153"/>
      <c r="B31" s="26"/>
      <c r="C31" s="26"/>
      <c r="D31" s="26"/>
      <c r="E31" s="26"/>
      <c r="F31" s="26"/>
      <c r="G31" s="26"/>
      <c r="H31" s="26"/>
      <c r="I31" s="26"/>
      <c r="J31" s="26"/>
      <c r="K31" s="173"/>
      <c r="L31" s="26"/>
      <c r="M31" s="26"/>
      <c r="N31" s="26"/>
      <c r="O31" s="26"/>
      <c r="P31" s="26"/>
      <c r="Q31" s="26"/>
      <c r="R31" s="26"/>
      <c r="S31" s="9"/>
      <c r="T31" s="9"/>
      <c r="U31" s="9"/>
      <c r="V31" s="9"/>
      <c r="W31" s="9"/>
      <c r="X31" s="152"/>
    </row>
    <row r="32" spans="1:24" ht="13.5" thickBot="1" x14ac:dyDescent="0.45">
      <c r="A32" s="153"/>
      <c r="B32" s="26" t="s">
        <v>49</v>
      </c>
      <c r="C32" s="55" t="str">
        <f>+'Mar OPP'!C32</f>
        <v>Your Name Goes Here</v>
      </c>
      <c r="D32" s="55"/>
      <c r="E32" s="55"/>
      <c r="I32" s="26"/>
      <c r="J32" s="26" t="s">
        <v>34</v>
      </c>
      <c r="K32" s="26"/>
      <c r="L32" s="22" t="str">
        <f>+'Mar OPP'!L32</f>
        <v>Your Phone # Here</v>
      </c>
      <c r="M32" s="22"/>
      <c r="N32" s="22"/>
      <c r="O32" s="26"/>
      <c r="P32" s="26"/>
      <c r="Q32" s="26"/>
      <c r="R32" s="26"/>
      <c r="S32" s="9"/>
      <c r="T32" s="9"/>
      <c r="U32" s="9"/>
      <c r="V32" s="9"/>
      <c r="W32" s="9"/>
      <c r="X32" s="152"/>
    </row>
    <row r="33" spans="1:24" ht="13.15" x14ac:dyDescent="0.4">
      <c r="A33" s="153"/>
      <c r="B33" s="26"/>
      <c r="C33" s="26"/>
      <c r="D33" s="26"/>
      <c r="E33" s="26"/>
      <c r="F33" s="192" t="s">
        <v>786</v>
      </c>
      <c r="G33" s="192"/>
      <c r="H33" s="192"/>
      <c r="I33" s="192"/>
      <c r="J33" s="192"/>
      <c r="K33" s="192"/>
      <c r="L33" s="192"/>
      <c r="M33" s="192"/>
      <c r="N33" s="192"/>
      <c r="O33" s="192"/>
      <c r="P33" s="192"/>
      <c r="Q33" s="192"/>
      <c r="R33" s="192"/>
      <c r="S33" s="192"/>
      <c r="T33" s="192"/>
      <c r="U33" s="192"/>
      <c r="V33" s="192"/>
      <c r="W33" s="192"/>
      <c r="X33" s="193"/>
    </row>
    <row r="34" spans="1:24" ht="13.15" x14ac:dyDescent="0.4">
      <c r="A34" s="153"/>
      <c r="B34" s="26" t="s">
        <v>17</v>
      </c>
      <c r="C34" s="22" t="str">
        <f>+'Mar OPP'!C34</f>
        <v>Company</v>
      </c>
      <c r="D34" s="22"/>
      <c r="E34" s="22"/>
      <c r="F34" s="192"/>
      <c r="G34" s="192"/>
      <c r="H34" s="192"/>
      <c r="I34" s="192"/>
      <c r="J34" s="192"/>
      <c r="K34" s="192"/>
      <c r="L34" s="192"/>
      <c r="M34" s="192"/>
      <c r="N34" s="192"/>
      <c r="O34" s="192"/>
      <c r="P34" s="192"/>
      <c r="Q34" s="192"/>
      <c r="R34" s="192"/>
      <c r="S34" s="192"/>
      <c r="T34" s="192"/>
      <c r="U34" s="192"/>
      <c r="V34" s="192"/>
      <c r="W34" s="192"/>
      <c r="X34" s="193"/>
    </row>
    <row r="35" spans="1:24" ht="13.15" x14ac:dyDescent="0.4">
      <c r="A35" s="153"/>
      <c r="B35" s="26" t="s">
        <v>16</v>
      </c>
      <c r="C35" s="22" t="str">
        <f>+'Mar OPP'!C35</f>
        <v>Address 1</v>
      </c>
      <c r="D35" s="22"/>
      <c r="E35" s="2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3"/>
    </row>
    <row r="36" spans="1:24" ht="13.15" x14ac:dyDescent="0.4">
      <c r="A36" s="153"/>
      <c r="B36" s="26"/>
      <c r="C36" s="22" t="str">
        <f>+'Mar OPP'!C36</f>
        <v>Address 2</v>
      </c>
      <c r="D36" s="25"/>
      <c r="E36" s="25"/>
      <c r="F36" s="192"/>
      <c r="G36" s="192"/>
      <c r="H36" s="192"/>
      <c r="I36" s="192"/>
      <c r="J36" s="192"/>
      <c r="K36" s="192"/>
      <c r="L36" s="192"/>
      <c r="M36" s="192"/>
      <c r="N36" s="192"/>
      <c r="O36" s="192"/>
      <c r="P36" s="192"/>
      <c r="Q36" s="192"/>
      <c r="R36" s="192"/>
      <c r="S36" s="192"/>
      <c r="T36" s="192"/>
      <c r="U36" s="192"/>
      <c r="V36" s="192"/>
      <c r="W36" s="192"/>
      <c r="X36" s="193"/>
    </row>
    <row r="37" spans="1:24" ht="13.15" x14ac:dyDescent="0.4">
      <c r="A37" s="153"/>
      <c r="B37" s="26"/>
      <c r="C37" s="22" t="str">
        <f>+'Mar OPP'!C37</f>
        <v>Address 3</v>
      </c>
      <c r="D37" s="25"/>
      <c r="E37" s="25"/>
      <c r="F37" s="192"/>
      <c r="G37" s="192"/>
      <c r="H37" s="192"/>
      <c r="I37" s="192"/>
      <c r="J37" s="192"/>
      <c r="K37" s="192"/>
      <c r="L37" s="192"/>
      <c r="M37" s="192"/>
      <c r="N37" s="192"/>
      <c r="O37" s="192"/>
      <c r="P37" s="192"/>
      <c r="Q37" s="192"/>
      <c r="R37" s="192"/>
      <c r="S37" s="192"/>
      <c r="T37" s="192"/>
      <c r="U37" s="192"/>
      <c r="V37" s="192"/>
      <c r="W37" s="192"/>
      <c r="X37" s="193"/>
    </row>
    <row r="38" spans="1:24" ht="13.15" x14ac:dyDescent="0.4">
      <c r="A38" s="153"/>
      <c r="B38" s="26"/>
      <c r="C38" s="25" t="str">
        <f>+'Mar OPP'!C38</f>
        <v>City, State Zip</v>
      </c>
      <c r="D38" s="25"/>
      <c r="E38" s="25"/>
      <c r="F38" s="192"/>
      <c r="G38" s="192"/>
      <c r="H38" s="192"/>
      <c r="I38" s="192"/>
      <c r="J38" s="192"/>
      <c r="K38" s="192"/>
      <c r="L38" s="192"/>
      <c r="M38" s="192"/>
      <c r="N38" s="192"/>
      <c r="O38" s="192"/>
      <c r="P38" s="192"/>
      <c r="Q38" s="192"/>
      <c r="R38" s="192"/>
      <c r="S38" s="192"/>
      <c r="T38" s="192"/>
      <c r="U38" s="192"/>
      <c r="V38" s="192"/>
      <c r="W38" s="192"/>
      <c r="X38" s="193"/>
    </row>
    <row r="39" spans="1:24" ht="13.15" x14ac:dyDescent="0.4">
      <c r="A39" s="153"/>
      <c r="B39" s="26"/>
      <c r="C39" s="26"/>
      <c r="D39" s="26"/>
      <c r="E39" s="26"/>
      <c r="F39" s="192"/>
      <c r="G39" s="192"/>
      <c r="H39" s="192"/>
      <c r="I39" s="192"/>
      <c r="J39" s="192"/>
      <c r="K39" s="192"/>
      <c r="L39" s="192"/>
      <c r="M39" s="192"/>
      <c r="N39" s="192"/>
      <c r="O39" s="192"/>
      <c r="P39" s="192"/>
      <c r="Q39" s="192"/>
      <c r="R39" s="192"/>
      <c r="S39" s="192"/>
      <c r="T39" s="192"/>
      <c r="U39" s="192"/>
      <c r="V39" s="192"/>
      <c r="W39" s="192"/>
      <c r="X39" s="193"/>
    </row>
    <row r="40" spans="1:24" ht="13.15" x14ac:dyDescent="0.4">
      <c r="A40" s="153"/>
      <c r="B40" s="26" t="s">
        <v>19</v>
      </c>
      <c r="C40" s="22" t="str">
        <f>+'Mar OPP'!C40</f>
        <v>your @ address here</v>
      </c>
      <c r="D40" s="22"/>
      <c r="E40" s="22"/>
      <c r="F40" s="192"/>
      <c r="G40" s="192"/>
      <c r="H40" s="192"/>
      <c r="I40" s="192"/>
      <c r="J40" s="192"/>
      <c r="K40" s="192"/>
      <c r="L40" s="192"/>
      <c r="M40" s="192"/>
      <c r="N40" s="192"/>
      <c r="O40" s="192"/>
      <c r="P40" s="192"/>
      <c r="Q40" s="192"/>
      <c r="R40" s="192"/>
      <c r="S40" s="192"/>
      <c r="T40" s="192"/>
      <c r="U40" s="192"/>
      <c r="V40" s="192"/>
      <c r="W40" s="192"/>
      <c r="X40" s="193"/>
    </row>
    <row r="41" spans="1:24" ht="13.15" thickBot="1" x14ac:dyDescent="0.4">
      <c r="A41" s="174"/>
      <c r="B41" s="139"/>
      <c r="C41" s="139"/>
      <c r="D41" s="139"/>
      <c r="E41" s="139"/>
      <c r="F41" s="194"/>
      <c r="G41" s="194"/>
      <c r="H41" s="194"/>
      <c r="I41" s="194"/>
      <c r="J41" s="194"/>
      <c r="K41" s="194"/>
      <c r="L41" s="194"/>
      <c r="M41" s="194"/>
      <c r="N41" s="194"/>
      <c r="O41" s="194"/>
      <c r="P41" s="194"/>
      <c r="Q41" s="194"/>
      <c r="R41" s="194"/>
      <c r="S41" s="194"/>
      <c r="T41" s="194"/>
      <c r="U41" s="194"/>
      <c r="V41" s="194"/>
      <c r="W41" s="194"/>
      <c r="X41" s="195"/>
    </row>
    <row r="79" spans="1:4" hidden="1" x14ac:dyDescent="0.35">
      <c r="A79" t="s">
        <v>108</v>
      </c>
      <c r="B79" t="s">
        <v>275</v>
      </c>
      <c r="C79" t="s">
        <v>289</v>
      </c>
      <c r="D79" t="s">
        <v>40</v>
      </c>
    </row>
    <row r="80" spans="1:4" hidden="1" x14ac:dyDescent="0.35">
      <c r="A80" t="s">
        <v>109</v>
      </c>
      <c r="B80" t="s">
        <v>276</v>
      </c>
      <c r="C80">
        <v>1</v>
      </c>
      <c r="D80" t="s">
        <v>808</v>
      </c>
    </row>
    <row r="81" spans="1:4" hidden="1" x14ac:dyDescent="0.35">
      <c r="A81" t="s">
        <v>110</v>
      </c>
      <c r="B81" t="s">
        <v>106</v>
      </c>
      <c r="C81">
        <v>2</v>
      </c>
      <c r="D81" t="s">
        <v>196</v>
      </c>
    </row>
    <row r="82" spans="1:4" hidden="1" x14ac:dyDescent="0.35">
      <c r="A82" t="s">
        <v>111</v>
      </c>
      <c r="C82">
        <v>3</v>
      </c>
      <c r="D82" t="s">
        <v>184</v>
      </c>
    </row>
    <row r="83" spans="1:4" hidden="1" x14ac:dyDescent="0.35">
      <c r="A83" t="s">
        <v>112</v>
      </c>
      <c r="C83">
        <v>4</v>
      </c>
      <c r="D83" t="s">
        <v>797</v>
      </c>
    </row>
    <row r="84" spans="1:4" hidden="1" x14ac:dyDescent="0.35">
      <c r="A84" t="s">
        <v>113</v>
      </c>
      <c r="C84">
        <v>5</v>
      </c>
      <c r="D84" t="s">
        <v>194</v>
      </c>
    </row>
    <row r="85" spans="1:4" hidden="1" x14ac:dyDescent="0.35">
      <c r="A85" t="s">
        <v>114</v>
      </c>
      <c r="C85">
        <v>6</v>
      </c>
      <c r="D85" t="s">
        <v>182</v>
      </c>
    </row>
    <row r="86" spans="1:4" hidden="1" x14ac:dyDescent="0.35">
      <c r="A86" t="s">
        <v>115</v>
      </c>
      <c r="C86">
        <v>7</v>
      </c>
      <c r="D86" t="s">
        <v>795</v>
      </c>
    </row>
    <row r="87" spans="1:4" hidden="1" x14ac:dyDescent="0.35">
      <c r="A87" t="s">
        <v>116</v>
      </c>
      <c r="C87">
        <v>8</v>
      </c>
      <c r="D87" t="s">
        <v>193</v>
      </c>
    </row>
    <row r="88" spans="1:4" hidden="1" x14ac:dyDescent="0.35">
      <c r="A88" t="s">
        <v>117</v>
      </c>
      <c r="C88">
        <v>9</v>
      </c>
      <c r="D88" t="s">
        <v>181</v>
      </c>
    </row>
    <row r="89" spans="1:4" hidden="1" x14ac:dyDescent="0.35">
      <c r="A89" t="s">
        <v>118</v>
      </c>
      <c r="C89">
        <v>10</v>
      </c>
      <c r="D89" t="s">
        <v>794</v>
      </c>
    </row>
    <row r="90" spans="1:4" hidden="1" x14ac:dyDescent="0.35">
      <c r="A90" t="s">
        <v>119</v>
      </c>
      <c r="C90">
        <v>11</v>
      </c>
      <c r="D90" t="s">
        <v>189</v>
      </c>
    </row>
    <row r="91" spans="1:4" hidden="1" x14ac:dyDescent="0.35">
      <c r="A91" t="s">
        <v>120</v>
      </c>
      <c r="C91">
        <v>12</v>
      </c>
      <c r="D91" t="s">
        <v>177</v>
      </c>
    </row>
    <row r="92" spans="1:4" hidden="1" x14ac:dyDescent="0.35">
      <c r="A92" t="s">
        <v>121</v>
      </c>
      <c r="C92">
        <v>13</v>
      </c>
      <c r="D92" t="s">
        <v>790</v>
      </c>
    </row>
    <row r="93" spans="1:4" hidden="1" x14ac:dyDescent="0.35">
      <c r="A93" t="s">
        <v>122</v>
      </c>
      <c r="C93">
        <v>14</v>
      </c>
      <c r="D93" t="s">
        <v>199</v>
      </c>
    </row>
    <row r="94" spans="1:4" hidden="1" x14ac:dyDescent="0.35">
      <c r="A94" t="s">
        <v>123</v>
      </c>
      <c r="C94">
        <v>15</v>
      </c>
      <c r="D94" t="s">
        <v>187</v>
      </c>
    </row>
    <row r="95" spans="1:4" hidden="1" x14ac:dyDescent="0.35">
      <c r="A95" t="s">
        <v>124</v>
      </c>
      <c r="C95">
        <v>16</v>
      </c>
      <c r="D95" t="s">
        <v>800</v>
      </c>
    </row>
    <row r="96" spans="1:4" hidden="1" x14ac:dyDescent="0.35">
      <c r="A96" t="s">
        <v>125</v>
      </c>
      <c r="C96">
        <v>17</v>
      </c>
      <c r="D96" t="s">
        <v>198</v>
      </c>
    </row>
    <row r="97" spans="1:4" hidden="1" x14ac:dyDescent="0.35">
      <c r="A97" t="s">
        <v>126</v>
      </c>
      <c r="C97">
        <v>18</v>
      </c>
      <c r="D97" t="s">
        <v>186</v>
      </c>
    </row>
    <row r="98" spans="1:4" hidden="1" x14ac:dyDescent="0.35">
      <c r="A98" t="s">
        <v>127</v>
      </c>
      <c r="C98">
        <v>19</v>
      </c>
      <c r="D98" t="s">
        <v>799</v>
      </c>
    </row>
    <row r="99" spans="1:4" hidden="1" x14ac:dyDescent="0.35">
      <c r="A99" t="s">
        <v>128</v>
      </c>
      <c r="C99">
        <v>20</v>
      </c>
      <c r="D99" t="s">
        <v>809</v>
      </c>
    </row>
    <row r="100" spans="1:4" hidden="1" x14ac:dyDescent="0.35">
      <c r="A100" t="s">
        <v>129</v>
      </c>
      <c r="C100">
        <v>21</v>
      </c>
      <c r="D100" t="s">
        <v>197</v>
      </c>
    </row>
    <row r="101" spans="1:4" hidden="1" x14ac:dyDescent="0.35">
      <c r="A101" t="s">
        <v>130</v>
      </c>
      <c r="C101">
        <v>22</v>
      </c>
      <c r="D101" t="s">
        <v>185</v>
      </c>
    </row>
    <row r="102" spans="1:4" hidden="1" x14ac:dyDescent="0.35">
      <c r="A102" t="s">
        <v>131</v>
      </c>
      <c r="C102">
        <v>23</v>
      </c>
      <c r="D102" t="s">
        <v>798</v>
      </c>
    </row>
    <row r="103" spans="1:4" hidden="1" x14ac:dyDescent="0.35">
      <c r="A103" t="s">
        <v>132</v>
      </c>
      <c r="C103">
        <v>24</v>
      </c>
      <c r="D103" t="s">
        <v>190</v>
      </c>
    </row>
    <row r="104" spans="1:4" hidden="1" x14ac:dyDescent="0.35">
      <c r="A104" t="s">
        <v>133</v>
      </c>
      <c r="C104">
        <v>25</v>
      </c>
      <c r="D104" t="s">
        <v>178</v>
      </c>
    </row>
    <row r="105" spans="1:4" hidden="1" x14ac:dyDescent="0.35">
      <c r="A105" t="s">
        <v>134</v>
      </c>
      <c r="C105">
        <v>26</v>
      </c>
      <c r="D105" t="s">
        <v>791</v>
      </c>
    </row>
    <row r="106" spans="1:4" hidden="1" x14ac:dyDescent="0.35">
      <c r="A106" t="s">
        <v>135</v>
      </c>
      <c r="C106">
        <v>27</v>
      </c>
      <c r="D106" t="s">
        <v>192</v>
      </c>
    </row>
    <row r="107" spans="1:4" hidden="1" x14ac:dyDescent="0.35">
      <c r="A107" t="s">
        <v>136</v>
      </c>
      <c r="C107">
        <v>28</v>
      </c>
      <c r="D107" t="s">
        <v>180</v>
      </c>
    </row>
    <row r="108" spans="1:4" hidden="1" x14ac:dyDescent="0.35">
      <c r="A108" t="s">
        <v>137</v>
      </c>
      <c r="C108">
        <v>29</v>
      </c>
      <c r="D108" t="s">
        <v>793</v>
      </c>
    </row>
    <row r="109" spans="1:4" hidden="1" x14ac:dyDescent="0.35">
      <c r="A109" t="s">
        <v>138</v>
      </c>
      <c r="C109">
        <v>30</v>
      </c>
      <c r="D109" t="s">
        <v>191</v>
      </c>
    </row>
    <row r="110" spans="1:4" hidden="1" x14ac:dyDescent="0.35">
      <c r="A110" t="s">
        <v>139</v>
      </c>
      <c r="C110">
        <v>31</v>
      </c>
      <c r="D110" t="s">
        <v>179</v>
      </c>
    </row>
    <row r="111" spans="1:4" hidden="1" x14ac:dyDescent="0.35">
      <c r="A111" t="s">
        <v>140</v>
      </c>
      <c r="C111">
        <v>32</v>
      </c>
      <c r="D111" t="s">
        <v>792</v>
      </c>
    </row>
    <row r="112" spans="1:4" hidden="1" x14ac:dyDescent="0.35">
      <c r="A112" t="s">
        <v>141</v>
      </c>
      <c r="C112">
        <v>33</v>
      </c>
      <c r="D112" t="s">
        <v>195</v>
      </c>
    </row>
    <row r="113" spans="1:4" hidden="1" x14ac:dyDescent="0.35">
      <c r="A113" t="s">
        <v>142</v>
      </c>
      <c r="C113">
        <v>34</v>
      </c>
      <c r="D113" t="s">
        <v>183</v>
      </c>
    </row>
    <row r="114" spans="1:4" hidden="1" x14ac:dyDescent="0.35">
      <c r="A114" t="s">
        <v>143</v>
      </c>
      <c r="C114">
        <v>35</v>
      </c>
      <c r="D114" t="s">
        <v>796</v>
      </c>
    </row>
    <row r="115" spans="1:4" hidden="1" x14ac:dyDescent="0.35">
      <c r="A115" t="s">
        <v>144</v>
      </c>
      <c r="C115">
        <v>36</v>
      </c>
      <c r="D115" t="s">
        <v>188</v>
      </c>
    </row>
    <row r="116" spans="1:4" hidden="1" x14ac:dyDescent="0.35">
      <c r="A116" t="s">
        <v>145</v>
      </c>
      <c r="C116">
        <v>37</v>
      </c>
      <c r="D116" t="s">
        <v>176</v>
      </c>
    </row>
    <row r="117" spans="1:4" hidden="1" x14ac:dyDescent="0.35">
      <c r="A117" t="s">
        <v>146</v>
      </c>
      <c r="C117">
        <v>38</v>
      </c>
      <c r="D117" t="s">
        <v>789</v>
      </c>
    </row>
    <row r="118" spans="1:4" hidden="1" x14ac:dyDescent="0.35">
      <c r="A118" t="s">
        <v>147</v>
      </c>
      <c r="C118">
        <v>101</v>
      </c>
      <c r="D118" t="s">
        <v>290</v>
      </c>
    </row>
    <row r="119" spans="1:4" hidden="1" x14ac:dyDescent="0.35">
      <c r="A119" t="s">
        <v>148</v>
      </c>
      <c r="C119">
        <v>102</v>
      </c>
      <c r="D119" t="s">
        <v>291</v>
      </c>
    </row>
    <row r="120" spans="1:4" hidden="1" x14ac:dyDescent="0.35">
      <c r="A120" t="s">
        <v>149</v>
      </c>
      <c r="C120">
        <v>103</v>
      </c>
      <c r="D120" t="s">
        <v>292</v>
      </c>
    </row>
    <row r="121" spans="1:4" hidden="1" x14ac:dyDescent="0.35">
      <c r="A121" t="s">
        <v>150</v>
      </c>
      <c r="C121">
        <v>104</v>
      </c>
      <c r="D121" t="s">
        <v>293</v>
      </c>
    </row>
    <row r="122" spans="1:4" hidden="1" x14ac:dyDescent="0.35">
      <c r="A122" t="s">
        <v>151</v>
      </c>
      <c r="C122">
        <v>105</v>
      </c>
      <c r="D122" t="s">
        <v>294</v>
      </c>
    </row>
    <row r="123" spans="1:4" hidden="1" x14ac:dyDescent="0.35">
      <c r="A123" t="s">
        <v>152</v>
      </c>
      <c r="C123">
        <v>106</v>
      </c>
      <c r="D123" t="s">
        <v>295</v>
      </c>
    </row>
    <row r="124" spans="1:4" hidden="1" x14ac:dyDescent="0.35">
      <c r="A124" t="s">
        <v>153</v>
      </c>
      <c r="C124">
        <v>107</v>
      </c>
      <c r="D124" t="s">
        <v>296</v>
      </c>
    </row>
    <row r="125" spans="1:4" hidden="1" x14ac:dyDescent="0.35">
      <c r="A125" t="s">
        <v>154</v>
      </c>
      <c r="C125">
        <v>108</v>
      </c>
      <c r="D125" t="s">
        <v>297</v>
      </c>
    </row>
    <row r="126" spans="1:4" hidden="1" x14ac:dyDescent="0.35">
      <c r="A126" t="s">
        <v>155</v>
      </c>
      <c r="C126">
        <v>109</v>
      </c>
      <c r="D126" t="s">
        <v>298</v>
      </c>
    </row>
    <row r="127" spans="1:4" hidden="1" x14ac:dyDescent="0.35">
      <c r="A127" t="s">
        <v>156</v>
      </c>
      <c r="C127">
        <v>110</v>
      </c>
      <c r="D127" t="s">
        <v>299</v>
      </c>
    </row>
    <row r="128" spans="1:4" hidden="1" x14ac:dyDescent="0.35">
      <c r="A128" t="s">
        <v>157</v>
      </c>
      <c r="C128">
        <v>111</v>
      </c>
      <c r="D128" t="s">
        <v>300</v>
      </c>
    </row>
    <row r="129" spans="1:4" hidden="1" x14ac:dyDescent="0.35">
      <c r="A129" t="s">
        <v>158</v>
      </c>
      <c r="C129">
        <v>201</v>
      </c>
      <c r="D129" t="s">
        <v>301</v>
      </c>
    </row>
    <row r="130" spans="1:4" hidden="1" x14ac:dyDescent="0.35">
      <c r="A130" t="s">
        <v>159</v>
      </c>
      <c r="C130">
        <v>202</v>
      </c>
      <c r="D130" t="s">
        <v>302</v>
      </c>
    </row>
    <row r="131" spans="1:4" hidden="1" x14ac:dyDescent="0.35">
      <c r="A131" t="s">
        <v>160</v>
      </c>
      <c r="C131">
        <v>203</v>
      </c>
      <c r="D131" t="s">
        <v>303</v>
      </c>
    </row>
    <row r="132" spans="1:4" hidden="1" x14ac:dyDescent="0.35">
      <c r="A132" t="s">
        <v>161</v>
      </c>
      <c r="C132">
        <v>204</v>
      </c>
      <c r="D132" t="s">
        <v>304</v>
      </c>
    </row>
    <row r="133" spans="1:4" hidden="1" x14ac:dyDescent="0.35">
      <c r="A133" t="s">
        <v>162</v>
      </c>
      <c r="C133">
        <v>205</v>
      </c>
      <c r="D133" t="s">
        <v>305</v>
      </c>
    </row>
    <row r="134" spans="1:4" hidden="1" x14ac:dyDescent="0.35">
      <c r="A134" t="s">
        <v>163</v>
      </c>
      <c r="C134">
        <v>206</v>
      </c>
      <c r="D134" t="s">
        <v>306</v>
      </c>
    </row>
    <row r="135" spans="1:4" hidden="1" x14ac:dyDescent="0.35">
      <c r="A135" t="s">
        <v>164</v>
      </c>
      <c r="C135">
        <v>207</v>
      </c>
      <c r="D135" t="s">
        <v>307</v>
      </c>
    </row>
    <row r="136" spans="1:4" hidden="1" x14ac:dyDescent="0.35">
      <c r="A136" t="s">
        <v>165</v>
      </c>
      <c r="C136">
        <v>208</v>
      </c>
      <c r="D136" t="s">
        <v>308</v>
      </c>
    </row>
    <row r="137" spans="1:4" hidden="1" x14ac:dyDescent="0.35">
      <c r="A137" t="s">
        <v>166</v>
      </c>
      <c r="C137">
        <v>209</v>
      </c>
      <c r="D137" t="s">
        <v>309</v>
      </c>
    </row>
    <row r="138" spans="1:4" hidden="1" x14ac:dyDescent="0.35">
      <c r="A138" t="s">
        <v>167</v>
      </c>
      <c r="C138">
        <v>210</v>
      </c>
      <c r="D138" t="s">
        <v>310</v>
      </c>
    </row>
    <row r="139" spans="1:4" hidden="1" x14ac:dyDescent="0.35">
      <c r="A139" t="s">
        <v>168</v>
      </c>
      <c r="C139">
        <v>211</v>
      </c>
      <c r="D139" t="s">
        <v>311</v>
      </c>
    </row>
    <row r="140" spans="1:4" hidden="1" x14ac:dyDescent="0.35">
      <c r="A140" t="s">
        <v>169</v>
      </c>
      <c r="C140">
        <v>212</v>
      </c>
      <c r="D140" t="s">
        <v>312</v>
      </c>
    </row>
    <row r="141" spans="1:4" hidden="1" x14ac:dyDescent="0.35">
      <c r="A141" t="s">
        <v>170</v>
      </c>
      <c r="C141">
        <v>213</v>
      </c>
      <c r="D141" t="s">
        <v>313</v>
      </c>
    </row>
    <row r="142" spans="1:4" hidden="1" x14ac:dyDescent="0.35">
      <c r="A142" t="s">
        <v>171</v>
      </c>
      <c r="C142">
        <v>214</v>
      </c>
      <c r="D142" t="s">
        <v>314</v>
      </c>
    </row>
    <row r="143" spans="1:4" hidden="1" x14ac:dyDescent="0.35">
      <c r="A143" t="s">
        <v>172</v>
      </c>
      <c r="C143">
        <v>215</v>
      </c>
      <c r="D143" t="s">
        <v>315</v>
      </c>
    </row>
    <row r="144" spans="1:4" hidden="1" x14ac:dyDescent="0.35">
      <c r="A144" t="s">
        <v>173</v>
      </c>
      <c r="C144">
        <v>216</v>
      </c>
      <c r="D144" t="s">
        <v>316</v>
      </c>
    </row>
    <row r="145" spans="1:4" hidden="1" x14ac:dyDescent="0.35">
      <c r="A145" t="s">
        <v>174</v>
      </c>
      <c r="C145">
        <v>217</v>
      </c>
      <c r="D145" t="s">
        <v>317</v>
      </c>
    </row>
    <row r="146" spans="1:4" hidden="1" x14ac:dyDescent="0.35">
      <c r="A146" t="s">
        <v>175</v>
      </c>
      <c r="C146">
        <v>218</v>
      </c>
      <c r="D146" t="s">
        <v>318</v>
      </c>
    </row>
    <row r="147" spans="1:4" hidden="1" x14ac:dyDescent="0.35">
      <c r="A147" t="s">
        <v>176</v>
      </c>
      <c r="C147">
        <v>219</v>
      </c>
      <c r="D147" t="s">
        <v>319</v>
      </c>
    </row>
    <row r="148" spans="1:4" hidden="1" x14ac:dyDescent="0.35">
      <c r="A148" t="s">
        <v>177</v>
      </c>
      <c r="C148">
        <v>220</v>
      </c>
      <c r="D148" t="s">
        <v>320</v>
      </c>
    </row>
    <row r="149" spans="1:4" hidden="1" x14ac:dyDescent="0.35">
      <c r="A149" t="s">
        <v>178</v>
      </c>
      <c r="C149">
        <v>221</v>
      </c>
      <c r="D149" t="s">
        <v>321</v>
      </c>
    </row>
    <row r="150" spans="1:4" hidden="1" x14ac:dyDescent="0.35">
      <c r="A150" t="s">
        <v>179</v>
      </c>
      <c r="C150">
        <v>222</v>
      </c>
      <c r="D150" t="s">
        <v>322</v>
      </c>
    </row>
    <row r="151" spans="1:4" hidden="1" x14ac:dyDescent="0.35">
      <c r="A151" t="s">
        <v>180</v>
      </c>
      <c r="C151">
        <v>223</v>
      </c>
      <c r="D151" t="s">
        <v>323</v>
      </c>
    </row>
    <row r="152" spans="1:4" hidden="1" x14ac:dyDescent="0.35">
      <c r="A152" t="s">
        <v>181</v>
      </c>
      <c r="C152">
        <v>224</v>
      </c>
      <c r="D152" t="s">
        <v>324</v>
      </c>
    </row>
    <row r="153" spans="1:4" hidden="1" x14ac:dyDescent="0.35">
      <c r="A153" t="s">
        <v>182</v>
      </c>
      <c r="C153">
        <v>225</v>
      </c>
      <c r="D153" t="s">
        <v>325</v>
      </c>
    </row>
    <row r="154" spans="1:4" hidden="1" x14ac:dyDescent="0.35">
      <c r="A154" t="s">
        <v>183</v>
      </c>
      <c r="C154">
        <v>226</v>
      </c>
      <c r="D154" t="s">
        <v>326</v>
      </c>
    </row>
    <row r="155" spans="1:4" hidden="1" x14ac:dyDescent="0.35">
      <c r="A155" t="s">
        <v>184</v>
      </c>
      <c r="C155">
        <v>227</v>
      </c>
      <c r="D155" t="s">
        <v>327</v>
      </c>
    </row>
    <row r="156" spans="1:4" hidden="1" x14ac:dyDescent="0.35">
      <c r="A156" t="s">
        <v>185</v>
      </c>
      <c r="C156">
        <v>228</v>
      </c>
      <c r="D156" t="s">
        <v>328</v>
      </c>
    </row>
    <row r="157" spans="1:4" hidden="1" x14ac:dyDescent="0.35">
      <c r="A157" t="s">
        <v>186</v>
      </c>
      <c r="C157">
        <v>229</v>
      </c>
      <c r="D157" t="s">
        <v>329</v>
      </c>
    </row>
    <row r="158" spans="1:4" hidden="1" x14ac:dyDescent="0.35">
      <c r="A158" t="s">
        <v>187</v>
      </c>
      <c r="C158">
        <v>230</v>
      </c>
      <c r="D158" t="s">
        <v>330</v>
      </c>
    </row>
    <row r="159" spans="1:4" hidden="1" x14ac:dyDescent="0.35">
      <c r="A159" t="s">
        <v>188</v>
      </c>
      <c r="C159">
        <v>231</v>
      </c>
      <c r="D159" t="s">
        <v>331</v>
      </c>
    </row>
    <row r="160" spans="1:4" hidden="1" x14ac:dyDescent="0.35">
      <c r="A160" t="s">
        <v>189</v>
      </c>
      <c r="C160">
        <v>232</v>
      </c>
      <c r="D160" t="s">
        <v>332</v>
      </c>
    </row>
    <row r="161" spans="1:4" hidden="1" x14ac:dyDescent="0.35">
      <c r="A161" t="s">
        <v>190</v>
      </c>
      <c r="C161">
        <v>233</v>
      </c>
      <c r="D161" t="s">
        <v>333</v>
      </c>
    </row>
    <row r="162" spans="1:4" hidden="1" x14ac:dyDescent="0.35">
      <c r="A162" t="s">
        <v>191</v>
      </c>
      <c r="C162">
        <v>234</v>
      </c>
      <c r="D162" t="s">
        <v>334</v>
      </c>
    </row>
    <row r="163" spans="1:4" hidden="1" x14ac:dyDescent="0.35">
      <c r="A163" t="s">
        <v>192</v>
      </c>
      <c r="C163">
        <v>235</v>
      </c>
      <c r="D163" t="s">
        <v>335</v>
      </c>
    </row>
    <row r="164" spans="1:4" hidden="1" x14ac:dyDescent="0.35">
      <c r="A164" t="s">
        <v>193</v>
      </c>
      <c r="C164">
        <v>236</v>
      </c>
      <c r="D164" t="s">
        <v>336</v>
      </c>
    </row>
    <row r="165" spans="1:4" hidden="1" x14ac:dyDescent="0.35">
      <c r="A165" t="s">
        <v>194</v>
      </c>
      <c r="C165">
        <v>237</v>
      </c>
      <c r="D165" t="s">
        <v>337</v>
      </c>
    </row>
    <row r="166" spans="1:4" hidden="1" x14ac:dyDescent="0.35">
      <c r="A166" t="s">
        <v>195</v>
      </c>
      <c r="C166">
        <v>238</v>
      </c>
      <c r="D166" t="s">
        <v>338</v>
      </c>
    </row>
    <row r="167" spans="1:4" hidden="1" x14ac:dyDescent="0.35">
      <c r="A167" t="s">
        <v>196</v>
      </c>
      <c r="C167">
        <v>239</v>
      </c>
      <c r="D167" t="s">
        <v>339</v>
      </c>
    </row>
    <row r="168" spans="1:4" hidden="1" x14ac:dyDescent="0.35">
      <c r="A168" t="s">
        <v>197</v>
      </c>
      <c r="C168">
        <v>240</v>
      </c>
      <c r="D168" t="s">
        <v>340</v>
      </c>
    </row>
    <row r="169" spans="1:4" hidden="1" x14ac:dyDescent="0.35">
      <c r="A169" t="s">
        <v>198</v>
      </c>
      <c r="C169">
        <v>241</v>
      </c>
      <c r="D169" t="s">
        <v>341</v>
      </c>
    </row>
    <row r="170" spans="1:4" hidden="1" x14ac:dyDescent="0.35">
      <c r="A170" t="s">
        <v>199</v>
      </c>
      <c r="C170">
        <v>242</v>
      </c>
      <c r="D170" t="s">
        <v>342</v>
      </c>
    </row>
    <row r="171" spans="1:4" hidden="1" x14ac:dyDescent="0.35">
      <c r="A171" t="s">
        <v>200</v>
      </c>
      <c r="C171">
        <v>243</v>
      </c>
      <c r="D171" t="s">
        <v>343</v>
      </c>
    </row>
    <row r="172" spans="1:4" hidden="1" x14ac:dyDescent="0.35">
      <c r="A172" t="s">
        <v>201</v>
      </c>
      <c r="C172">
        <v>244</v>
      </c>
      <c r="D172" t="s">
        <v>344</v>
      </c>
    </row>
    <row r="173" spans="1:4" hidden="1" x14ac:dyDescent="0.35">
      <c r="A173" t="s">
        <v>789</v>
      </c>
      <c r="C173">
        <v>245</v>
      </c>
      <c r="D173" t="s">
        <v>345</v>
      </c>
    </row>
    <row r="174" spans="1:4" hidden="1" x14ac:dyDescent="0.35">
      <c r="A174" t="s">
        <v>790</v>
      </c>
      <c r="C174">
        <v>246</v>
      </c>
      <c r="D174" t="s">
        <v>346</v>
      </c>
    </row>
    <row r="175" spans="1:4" hidden="1" x14ac:dyDescent="0.35">
      <c r="A175" t="s">
        <v>791</v>
      </c>
      <c r="C175">
        <v>247</v>
      </c>
      <c r="D175" t="s">
        <v>347</v>
      </c>
    </row>
    <row r="176" spans="1:4" hidden="1" x14ac:dyDescent="0.35">
      <c r="A176" t="s">
        <v>792</v>
      </c>
      <c r="C176">
        <v>248</v>
      </c>
      <c r="D176" t="s">
        <v>348</v>
      </c>
    </row>
    <row r="177" spans="1:4" hidden="1" x14ac:dyDescent="0.35">
      <c r="A177" t="s">
        <v>793</v>
      </c>
      <c r="C177">
        <v>249</v>
      </c>
      <c r="D177" t="s">
        <v>349</v>
      </c>
    </row>
    <row r="178" spans="1:4" hidden="1" x14ac:dyDescent="0.35">
      <c r="A178" t="s">
        <v>794</v>
      </c>
      <c r="C178">
        <v>250</v>
      </c>
      <c r="D178" t="s">
        <v>350</v>
      </c>
    </row>
    <row r="179" spans="1:4" hidden="1" x14ac:dyDescent="0.35">
      <c r="A179" t="s">
        <v>795</v>
      </c>
      <c r="C179">
        <v>251</v>
      </c>
      <c r="D179" t="s">
        <v>351</v>
      </c>
    </row>
    <row r="180" spans="1:4" hidden="1" x14ac:dyDescent="0.35">
      <c r="A180" t="s">
        <v>796</v>
      </c>
      <c r="C180">
        <v>252</v>
      </c>
      <c r="D180" t="s">
        <v>352</v>
      </c>
    </row>
    <row r="181" spans="1:4" hidden="1" x14ac:dyDescent="0.35">
      <c r="A181" t="s">
        <v>797</v>
      </c>
      <c r="C181">
        <v>253</v>
      </c>
      <c r="D181" t="s">
        <v>353</v>
      </c>
    </row>
    <row r="182" spans="1:4" hidden="1" x14ac:dyDescent="0.35">
      <c r="A182" t="s">
        <v>798</v>
      </c>
      <c r="C182">
        <v>254</v>
      </c>
      <c r="D182" t="s">
        <v>354</v>
      </c>
    </row>
    <row r="183" spans="1:4" hidden="1" x14ac:dyDescent="0.35">
      <c r="A183" t="s">
        <v>799</v>
      </c>
      <c r="C183">
        <v>255</v>
      </c>
      <c r="D183" t="s">
        <v>355</v>
      </c>
    </row>
    <row r="184" spans="1:4" hidden="1" x14ac:dyDescent="0.35">
      <c r="A184" t="s">
        <v>800</v>
      </c>
      <c r="C184">
        <v>256</v>
      </c>
      <c r="D184" t="s">
        <v>356</v>
      </c>
    </row>
    <row r="185" spans="1:4" hidden="1" x14ac:dyDescent="0.35">
      <c r="A185" t="s">
        <v>202</v>
      </c>
      <c r="C185">
        <v>257</v>
      </c>
      <c r="D185" t="s">
        <v>357</v>
      </c>
    </row>
    <row r="186" spans="1:4" hidden="1" x14ac:dyDescent="0.35">
      <c r="A186" t="s">
        <v>203</v>
      </c>
      <c r="C186">
        <v>258</v>
      </c>
      <c r="D186" t="s">
        <v>358</v>
      </c>
    </row>
    <row r="187" spans="1:4" hidden="1" x14ac:dyDescent="0.35">
      <c r="A187" t="s">
        <v>204</v>
      </c>
      <c r="C187">
        <v>259</v>
      </c>
      <c r="D187" t="s">
        <v>359</v>
      </c>
    </row>
    <row r="188" spans="1:4" hidden="1" x14ac:dyDescent="0.35">
      <c r="A188" t="s">
        <v>205</v>
      </c>
      <c r="C188">
        <v>260</v>
      </c>
      <c r="D188" t="s">
        <v>360</v>
      </c>
    </row>
    <row r="189" spans="1:4" hidden="1" x14ac:dyDescent="0.35">
      <c r="A189" t="s">
        <v>206</v>
      </c>
      <c r="C189">
        <v>261</v>
      </c>
      <c r="D189" t="s">
        <v>361</v>
      </c>
    </row>
    <row r="190" spans="1:4" hidden="1" x14ac:dyDescent="0.35">
      <c r="A190" t="s">
        <v>207</v>
      </c>
      <c r="C190">
        <v>262</v>
      </c>
      <c r="D190" t="s">
        <v>362</v>
      </c>
    </row>
    <row r="191" spans="1:4" hidden="1" x14ac:dyDescent="0.35">
      <c r="A191" t="s">
        <v>208</v>
      </c>
      <c r="C191">
        <v>263</v>
      </c>
      <c r="D191" t="s">
        <v>363</v>
      </c>
    </row>
    <row r="192" spans="1:4" hidden="1" x14ac:dyDescent="0.35">
      <c r="A192" t="s">
        <v>209</v>
      </c>
      <c r="C192">
        <v>264</v>
      </c>
      <c r="D192" t="s">
        <v>364</v>
      </c>
    </row>
    <row r="193" spans="1:4" hidden="1" x14ac:dyDescent="0.35">
      <c r="A193" t="s">
        <v>210</v>
      </c>
      <c r="C193">
        <v>265</v>
      </c>
      <c r="D193" t="s">
        <v>365</v>
      </c>
    </row>
    <row r="194" spans="1:4" hidden="1" x14ac:dyDescent="0.35">
      <c r="A194" t="s">
        <v>211</v>
      </c>
      <c r="C194">
        <v>266</v>
      </c>
      <c r="D194" t="s">
        <v>366</v>
      </c>
    </row>
    <row r="195" spans="1:4" hidden="1" x14ac:dyDescent="0.35">
      <c r="A195" t="s">
        <v>212</v>
      </c>
      <c r="C195">
        <v>267</v>
      </c>
      <c r="D195" t="s">
        <v>367</v>
      </c>
    </row>
    <row r="196" spans="1:4" hidden="1" x14ac:dyDescent="0.35">
      <c r="A196" t="s">
        <v>213</v>
      </c>
      <c r="C196">
        <v>268</v>
      </c>
      <c r="D196" t="s">
        <v>368</v>
      </c>
    </row>
    <row r="197" spans="1:4" hidden="1" x14ac:dyDescent="0.35">
      <c r="A197" t="s">
        <v>214</v>
      </c>
      <c r="C197">
        <v>269</v>
      </c>
      <c r="D197" t="s">
        <v>369</v>
      </c>
    </row>
    <row r="198" spans="1:4" hidden="1" x14ac:dyDescent="0.35">
      <c r="A198" t="s">
        <v>215</v>
      </c>
      <c r="C198">
        <v>270</v>
      </c>
      <c r="D198" t="s">
        <v>370</v>
      </c>
    </row>
    <row r="199" spans="1:4" hidden="1" x14ac:dyDescent="0.35">
      <c r="A199" t="s">
        <v>216</v>
      </c>
      <c r="C199">
        <v>271</v>
      </c>
      <c r="D199" t="s">
        <v>371</v>
      </c>
    </row>
    <row r="200" spans="1:4" hidden="1" x14ac:dyDescent="0.35">
      <c r="A200" t="s">
        <v>217</v>
      </c>
      <c r="C200">
        <v>272</v>
      </c>
      <c r="D200" t="s">
        <v>372</v>
      </c>
    </row>
    <row r="201" spans="1:4" hidden="1" x14ac:dyDescent="0.35">
      <c r="A201" t="s">
        <v>801</v>
      </c>
      <c r="C201">
        <v>273</v>
      </c>
      <c r="D201" t="s">
        <v>373</v>
      </c>
    </row>
    <row r="202" spans="1:4" hidden="1" x14ac:dyDescent="0.35">
      <c r="A202" t="s">
        <v>802</v>
      </c>
      <c r="C202">
        <v>274</v>
      </c>
      <c r="D202" t="s">
        <v>374</v>
      </c>
    </row>
    <row r="203" spans="1:4" hidden="1" x14ac:dyDescent="0.35">
      <c r="A203" t="s">
        <v>218</v>
      </c>
      <c r="C203">
        <v>275</v>
      </c>
      <c r="D203" t="s">
        <v>375</v>
      </c>
    </row>
    <row r="204" spans="1:4" hidden="1" x14ac:dyDescent="0.35">
      <c r="A204" t="s">
        <v>219</v>
      </c>
      <c r="C204">
        <v>276</v>
      </c>
      <c r="D204" t="s">
        <v>376</v>
      </c>
    </row>
    <row r="205" spans="1:4" hidden="1" x14ac:dyDescent="0.35">
      <c r="A205" t="s">
        <v>220</v>
      </c>
      <c r="C205">
        <v>277</v>
      </c>
      <c r="D205" t="s">
        <v>377</v>
      </c>
    </row>
    <row r="206" spans="1:4" hidden="1" x14ac:dyDescent="0.35">
      <c r="A206" t="s">
        <v>221</v>
      </c>
      <c r="C206">
        <v>278</v>
      </c>
      <c r="D206" t="s">
        <v>378</v>
      </c>
    </row>
    <row r="207" spans="1:4" hidden="1" x14ac:dyDescent="0.35">
      <c r="A207" t="s">
        <v>222</v>
      </c>
      <c r="C207">
        <v>279</v>
      </c>
      <c r="D207" t="s">
        <v>379</v>
      </c>
    </row>
    <row r="208" spans="1:4" hidden="1" x14ac:dyDescent="0.35">
      <c r="A208" t="s">
        <v>223</v>
      </c>
      <c r="C208">
        <v>280</v>
      </c>
      <c r="D208" t="s">
        <v>380</v>
      </c>
    </row>
    <row r="209" spans="1:4" hidden="1" x14ac:dyDescent="0.35">
      <c r="A209" t="s">
        <v>224</v>
      </c>
      <c r="C209">
        <v>281</v>
      </c>
      <c r="D209" t="s">
        <v>381</v>
      </c>
    </row>
    <row r="210" spans="1:4" hidden="1" x14ac:dyDescent="0.35">
      <c r="A210" t="s">
        <v>225</v>
      </c>
      <c r="C210">
        <v>282</v>
      </c>
      <c r="D210" t="s">
        <v>382</v>
      </c>
    </row>
    <row r="211" spans="1:4" hidden="1" x14ac:dyDescent="0.35">
      <c r="A211" t="s">
        <v>226</v>
      </c>
      <c r="C211">
        <v>283</v>
      </c>
      <c r="D211" t="s">
        <v>383</v>
      </c>
    </row>
    <row r="212" spans="1:4" hidden="1" x14ac:dyDescent="0.35">
      <c r="A212" t="s">
        <v>227</v>
      </c>
      <c r="C212">
        <v>284</v>
      </c>
      <c r="D212" t="s">
        <v>384</v>
      </c>
    </row>
    <row r="213" spans="1:4" hidden="1" x14ac:dyDescent="0.35">
      <c r="A213" t="s">
        <v>228</v>
      </c>
      <c r="C213">
        <v>285</v>
      </c>
      <c r="D213" t="s">
        <v>385</v>
      </c>
    </row>
    <row r="214" spans="1:4" hidden="1" x14ac:dyDescent="0.35">
      <c r="A214" t="s">
        <v>229</v>
      </c>
      <c r="C214">
        <v>286</v>
      </c>
      <c r="D214" t="s">
        <v>386</v>
      </c>
    </row>
    <row r="215" spans="1:4" hidden="1" x14ac:dyDescent="0.35">
      <c r="A215" t="s">
        <v>230</v>
      </c>
      <c r="C215">
        <v>287</v>
      </c>
      <c r="D215" t="s">
        <v>387</v>
      </c>
    </row>
    <row r="216" spans="1:4" hidden="1" x14ac:dyDescent="0.35">
      <c r="A216" t="s">
        <v>231</v>
      </c>
      <c r="C216">
        <v>301</v>
      </c>
      <c r="D216" t="s">
        <v>388</v>
      </c>
    </row>
    <row r="217" spans="1:4" hidden="1" x14ac:dyDescent="0.35">
      <c r="A217" t="s">
        <v>232</v>
      </c>
      <c r="C217">
        <v>302</v>
      </c>
      <c r="D217" t="s">
        <v>389</v>
      </c>
    </row>
    <row r="218" spans="1:4" hidden="1" x14ac:dyDescent="0.35">
      <c r="A218" t="s">
        <v>233</v>
      </c>
      <c r="C218">
        <v>303</v>
      </c>
      <c r="D218" t="s">
        <v>390</v>
      </c>
    </row>
    <row r="219" spans="1:4" hidden="1" x14ac:dyDescent="0.35">
      <c r="A219" t="s">
        <v>234</v>
      </c>
      <c r="C219">
        <v>304</v>
      </c>
      <c r="D219" t="s">
        <v>391</v>
      </c>
    </row>
    <row r="220" spans="1:4" hidden="1" x14ac:dyDescent="0.35">
      <c r="A220" t="s">
        <v>235</v>
      </c>
      <c r="C220">
        <v>305</v>
      </c>
      <c r="D220" t="s">
        <v>392</v>
      </c>
    </row>
    <row r="221" spans="1:4" hidden="1" x14ac:dyDescent="0.35">
      <c r="A221" t="s">
        <v>236</v>
      </c>
      <c r="C221">
        <v>306</v>
      </c>
      <c r="D221" t="s">
        <v>393</v>
      </c>
    </row>
    <row r="222" spans="1:4" hidden="1" x14ac:dyDescent="0.35">
      <c r="A222" t="s">
        <v>237</v>
      </c>
      <c r="C222">
        <v>307</v>
      </c>
      <c r="D222" t="s">
        <v>394</v>
      </c>
    </row>
    <row r="223" spans="1:4" hidden="1" x14ac:dyDescent="0.35">
      <c r="A223" t="s">
        <v>238</v>
      </c>
      <c r="C223">
        <v>308</v>
      </c>
      <c r="D223" t="s">
        <v>395</v>
      </c>
    </row>
    <row r="224" spans="1:4" hidden="1" x14ac:dyDescent="0.35">
      <c r="A224" t="s">
        <v>239</v>
      </c>
      <c r="C224">
        <v>309</v>
      </c>
      <c r="D224" t="s">
        <v>396</v>
      </c>
    </row>
    <row r="225" spans="1:4" hidden="1" x14ac:dyDescent="0.35">
      <c r="A225" t="s">
        <v>240</v>
      </c>
      <c r="C225">
        <v>310</v>
      </c>
      <c r="D225" t="s">
        <v>397</v>
      </c>
    </row>
    <row r="226" spans="1:4" hidden="1" x14ac:dyDescent="0.35">
      <c r="A226" t="s">
        <v>241</v>
      </c>
      <c r="C226">
        <v>311</v>
      </c>
      <c r="D226" t="s">
        <v>398</v>
      </c>
    </row>
    <row r="227" spans="1:4" hidden="1" x14ac:dyDescent="0.35">
      <c r="A227" t="s">
        <v>242</v>
      </c>
      <c r="C227">
        <v>312</v>
      </c>
      <c r="D227" t="s">
        <v>399</v>
      </c>
    </row>
    <row r="228" spans="1:4" hidden="1" x14ac:dyDescent="0.35">
      <c r="A228" t="s">
        <v>243</v>
      </c>
      <c r="C228">
        <v>313</v>
      </c>
      <c r="D228" t="s">
        <v>400</v>
      </c>
    </row>
    <row r="229" spans="1:4" hidden="1" x14ac:dyDescent="0.35">
      <c r="A229" t="s">
        <v>244</v>
      </c>
      <c r="C229">
        <v>314</v>
      </c>
      <c r="D229" t="s">
        <v>401</v>
      </c>
    </row>
    <row r="230" spans="1:4" hidden="1" x14ac:dyDescent="0.35">
      <c r="A230" t="s">
        <v>245</v>
      </c>
      <c r="C230">
        <v>315</v>
      </c>
      <c r="D230" t="s">
        <v>402</v>
      </c>
    </row>
    <row r="231" spans="1:4" hidden="1" x14ac:dyDescent="0.35">
      <c r="A231" t="s">
        <v>246</v>
      </c>
      <c r="C231">
        <v>316</v>
      </c>
      <c r="D231" t="s">
        <v>403</v>
      </c>
    </row>
    <row r="232" spans="1:4" hidden="1" x14ac:dyDescent="0.35">
      <c r="A232" t="s">
        <v>247</v>
      </c>
      <c r="C232">
        <v>401</v>
      </c>
      <c r="D232" t="s">
        <v>404</v>
      </c>
    </row>
    <row r="233" spans="1:4" hidden="1" x14ac:dyDescent="0.35">
      <c r="A233" t="s">
        <v>248</v>
      </c>
      <c r="C233">
        <v>402</v>
      </c>
      <c r="D233" t="s">
        <v>405</v>
      </c>
    </row>
    <row r="234" spans="1:4" hidden="1" x14ac:dyDescent="0.35">
      <c r="A234" t="s">
        <v>249</v>
      </c>
      <c r="C234">
        <v>403</v>
      </c>
      <c r="D234" t="s">
        <v>406</v>
      </c>
    </row>
    <row r="235" spans="1:4" hidden="1" x14ac:dyDescent="0.35">
      <c r="A235" t="s">
        <v>250</v>
      </c>
      <c r="C235">
        <v>404</v>
      </c>
      <c r="D235" t="s">
        <v>407</v>
      </c>
    </row>
    <row r="236" spans="1:4" hidden="1" x14ac:dyDescent="0.35">
      <c r="A236" t="s">
        <v>251</v>
      </c>
      <c r="C236">
        <v>405</v>
      </c>
      <c r="D236" t="s">
        <v>408</v>
      </c>
    </row>
    <row r="237" spans="1:4" hidden="1" x14ac:dyDescent="0.35">
      <c r="A237" t="s">
        <v>252</v>
      </c>
      <c r="C237">
        <v>406</v>
      </c>
      <c r="D237" t="s">
        <v>409</v>
      </c>
    </row>
    <row r="238" spans="1:4" hidden="1" x14ac:dyDescent="0.35">
      <c r="A238" t="s">
        <v>253</v>
      </c>
      <c r="C238">
        <v>407</v>
      </c>
      <c r="D238" t="s">
        <v>410</v>
      </c>
    </row>
    <row r="239" spans="1:4" hidden="1" x14ac:dyDescent="0.35">
      <c r="A239" t="s">
        <v>254</v>
      </c>
      <c r="C239">
        <v>501</v>
      </c>
      <c r="D239" t="s">
        <v>411</v>
      </c>
    </row>
    <row r="240" spans="1:4" hidden="1" x14ac:dyDescent="0.35">
      <c r="A240" t="s">
        <v>255</v>
      </c>
      <c r="C240">
        <v>502</v>
      </c>
      <c r="D240" t="s">
        <v>412</v>
      </c>
    </row>
    <row r="241" spans="1:4" hidden="1" x14ac:dyDescent="0.35">
      <c r="A241" t="s">
        <v>256</v>
      </c>
      <c r="C241">
        <v>503</v>
      </c>
      <c r="D241" t="s">
        <v>413</v>
      </c>
    </row>
    <row r="242" spans="1:4" hidden="1" x14ac:dyDescent="0.35">
      <c r="A242" t="s">
        <v>257</v>
      </c>
      <c r="C242">
        <v>504</v>
      </c>
      <c r="D242" t="s">
        <v>414</v>
      </c>
    </row>
    <row r="243" spans="1:4" hidden="1" x14ac:dyDescent="0.35">
      <c r="A243" t="s">
        <v>258</v>
      </c>
      <c r="C243">
        <v>505</v>
      </c>
      <c r="D243" t="s">
        <v>415</v>
      </c>
    </row>
    <row r="244" spans="1:4" hidden="1" x14ac:dyDescent="0.35">
      <c r="A244" t="s">
        <v>259</v>
      </c>
      <c r="C244">
        <v>506</v>
      </c>
      <c r="D244" t="s">
        <v>416</v>
      </c>
    </row>
    <row r="245" spans="1:4" hidden="1" x14ac:dyDescent="0.35">
      <c r="A245" t="s">
        <v>260</v>
      </c>
      <c r="C245">
        <v>507</v>
      </c>
      <c r="D245" t="s">
        <v>417</v>
      </c>
    </row>
    <row r="246" spans="1:4" hidden="1" x14ac:dyDescent="0.35">
      <c r="A246" t="s">
        <v>261</v>
      </c>
      <c r="C246">
        <v>508</v>
      </c>
      <c r="D246" t="s">
        <v>418</v>
      </c>
    </row>
    <row r="247" spans="1:4" hidden="1" x14ac:dyDescent="0.35">
      <c r="A247" t="s">
        <v>262</v>
      </c>
      <c r="C247">
        <v>509</v>
      </c>
      <c r="D247" t="s">
        <v>419</v>
      </c>
    </row>
    <row r="248" spans="1:4" hidden="1" x14ac:dyDescent="0.35">
      <c r="A248" t="s">
        <v>263</v>
      </c>
      <c r="C248">
        <v>510</v>
      </c>
      <c r="D248" t="s">
        <v>420</v>
      </c>
    </row>
    <row r="249" spans="1:4" hidden="1" x14ac:dyDescent="0.35">
      <c r="A249" t="s">
        <v>264</v>
      </c>
      <c r="C249">
        <v>511</v>
      </c>
      <c r="D249" t="s">
        <v>421</v>
      </c>
    </row>
    <row r="250" spans="1:4" hidden="1" x14ac:dyDescent="0.35">
      <c r="A250" t="s">
        <v>265</v>
      </c>
      <c r="C250">
        <v>512</v>
      </c>
      <c r="D250" t="s">
        <v>422</v>
      </c>
    </row>
    <row r="251" spans="1:4" hidden="1" x14ac:dyDescent="0.35">
      <c r="A251" t="s">
        <v>266</v>
      </c>
      <c r="C251">
        <v>513</v>
      </c>
      <c r="D251" t="s">
        <v>423</v>
      </c>
    </row>
    <row r="252" spans="1:4" hidden="1" x14ac:dyDescent="0.35">
      <c r="A252" t="s">
        <v>267</v>
      </c>
      <c r="C252">
        <v>514</v>
      </c>
      <c r="D252" t="s">
        <v>424</v>
      </c>
    </row>
    <row r="253" spans="1:4" hidden="1" x14ac:dyDescent="0.35">
      <c r="A253" t="s">
        <v>268</v>
      </c>
      <c r="C253">
        <v>515</v>
      </c>
      <c r="D253" t="s">
        <v>425</v>
      </c>
    </row>
    <row r="254" spans="1:4" hidden="1" x14ac:dyDescent="0.35">
      <c r="A254" t="s">
        <v>269</v>
      </c>
      <c r="C254">
        <v>516</v>
      </c>
      <c r="D254" t="s">
        <v>426</v>
      </c>
    </row>
    <row r="255" spans="1:4" hidden="1" x14ac:dyDescent="0.35">
      <c r="A255" t="s">
        <v>270</v>
      </c>
      <c r="C255">
        <v>517</v>
      </c>
      <c r="D255" t="s">
        <v>427</v>
      </c>
    </row>
    <row r="256" spans="1:4" hidden="1" x14ac:dyDescent="0.35">
      <c r="A256" t="s">
        <v>271</v>
      </c>
      <c r="C256">
        <v>518</v>
      </c>
      <c r="D256" t="s">
        <v>428</v>
      </c>
    </row>
    <row r="257" spans="1:4" hidden="1" x14ac:dyDescent="0.35">
      <c r="A257" t="s">
        <v>272</v>
      </c>
      <c r="C257">
        <v>519</v>
      </c>
      <c r="D257" t="s">
        <v>429</v>
      </c>
    </row>
    <row r="258" spans="1:4" hidden="1" x14ac:dyDescent="0.35">
      <c r="A258" t="s">
        <v>273</v>
      </c>
      <c r="C258">
        <v>520</v>
      </c>
      <c r="D258" t="s">
        <v>430</v>
      </c>
    </row>
    <row r="259" spans="1:4" hidden="1" x14ac:dyDescent="0.35">
      <c r="A259" t="s">
        <v>274</v>
      </c>
      <c r="C259">
        <v>521</v>
      </c>
      <c r="D259" t="s">
        <v>431</v>
      </c>
    </row>
    <row r="260" spans="1:4" hidden="1" x14ac:dyDescent="0.35">
      <c r="C260">
        <v>522</v>
      </c>
      <c r="D260" t="s">
        <v>432</v>
      </c>
    </row>
    <row r="261" spans="1:4" hidden="1" x14ac:dyDescent="0.35">
      <c r="C261">
        <v>523</v>
      </c>
      <c r="D261" t="s">
        <v>433</v>
      </c>
    </row>
    <row r="262" spans="1:4" hidden="1" x14ac:dyDescent="0.35">
      <c r="C262">
        <v>524</v>
      </c>
      <c r="D262" t="s">
        <v>434</v>
      </c>
    </row>
    <row r="263" spans="1:4" hidden="1" x14ac:dyDescent="0.35">
      <c r="C263">
        <v>525</v>
      </c>
      <c r="D263" t="s">
        <v>435</v>
      </c>
    </row>
    <row r="264" spans="1:4" hidden="1" x14ac:dyDescent="0.35">
      <c r="C264">
        <v>526</v>
      </c>
      <c r="D264" t="s">
        <v>436</v>
      </c>
    </row>
    <row r="265" spans="1:4" hidden="1" x14ac:dyDescent="0.35">
      <c r="C265">
        <v>527</v>
      </c>
      <c r="D265" t="s">
        <v>437</v>
      </c>
    </row>
    <row r="266" spans="1:4" hidden="1" x14ac:dyDescent="0.35">
      <c r="C266">
        <v>528</v>
      </c>
      <c r="D266" t="s">
        <v>438</v>
      </c>
    </row>
    <row r="267" spans="1:4" hidden="1" x14ac:dyDescent="0.35">
      <c r="C267">
        <v>529</v>
      </c>
      <c r="D267" t="s">
        <v>439</v>
      </c>
    </row>
    <row r="268" spans="1:4" hidden="1" x14ac:dyDescent="0.35">
      <c r="C268">
        <v>530</v>
      </c>
      <c r="D268" t="s">
        <v>440</v>
      </c>
    </row>
    <row r="269" spans="1:4" hidden="1" x14ac:dyDescent="0.35">
      <c r="C269">
        <v>531</v>
      </c>
      <c r="D269" t="s">
        <v>441</v>
      </c>
    </row>
    <row r="270" spans="1:4" hidden="1" x14ac:dyDescent="0.35">
      <c r="C270">
        <v>532</v>
      </c>
      <c r="D270" t="s">
        <v>442</v>
      </c>
    </row>
    <row r="271" spans="1:4" hidden="1" x14ac:dyDescent="0.35">
      <c r="C271">
        <v>601</v>
      </c>
      <c r="D271" t="s">
        <v>443</v>
      </c>
    </row>
    <row r="272" spans="1:4" hidden="1" x14ac:dyDescent="0.35">
      <c r="C272">
        <v>602</v>
      </c>
      <c r="D272" t="s">
        <v>444</v>
      </c>
    </row>
    <row r="273" spans="3:4" hidden="1" x14ac:dyDescent="0.35">
      <c r="C273">
        <v>701</v>
      </c>
      <c r="D273" t="s">
        <v>445</v>
      </c>
    </row>
    <row r="274" spans="3:4" hidden="1" x14ac:dyDescent="0.35">
      <c r="C274">
        <v>702</v>
      </c>
      <c r="D274" t="s">
        <v>446</v>
      </c>
    </row>
    <row r="275" spans="3:4" hidden="1" x14ac:dyDescent="0.35">
      <c r="C275">
        <v>721</v>
      </c>
      <c r="D275" t="s">
        <v>447</v>
      </c>
    </row>
    <row r="276" spans="3:4" hidden="1" x14ac:dyDescent="0.35">
      <c r="C276">
        <v>800</v>
      </c>
      <c r="D276" t="s">
        <v>448</v>
      </c>
    </row>
    <row r="277" spans="3:4" hidden="1" x14ac:dyDescent="0.35">
      <c r="C277">
        <v>900</v>
      </c>
      <c r="D277" t="s">
        <v>449</v>
      </c>
    </row>
    <row r="278" spans="3:4" hidden="1" x14ac:dyDescent="0.35">
      <c r="C278">
        <v>951</v>
      </c>
      <c r="D278" t="s">
        <v>450</v>
      </c>
    </row>
    <row r="279" spans="3:4" hidden="1" x14ac:dyDescent="0.35">
      <c r="C279">
        <v>961</v>
      </c>
      <c r="D279" t="s">
        <v>451</v>
      </c>
    </row>
    <row r="280" spans="3:4" hidden="1" x14ac:dyDescent="0.35">
      <c r="C280">
        <v>981</v>
      </c>
      <c r="D280" t="s">
        <v>452</v>
      </c>
    </row>
    <row r="281" spans="3:4" hidden="1" x14ac:dyDescent="0.35">
      <c r="C281">
        <v>991</v>
      </c>
      <c r="D281" t="s">
        <v>453</v>
      </c>
    </row>
    <row r="282" spans="3:4" hidden="1" x14ac:dyDescent="0.35">
      <c r="C282">
        <v>1001</v>
      </c>
      <c r="D282" t="s">
        <v>454</v>
      </c>
    </row>
    <row r="283" spans="3:4" hidden="1" x14ac:dyDescent="0.35">
      <c r="C283">
        <v>1002</v>
      </c>
      <c r="D283" t="s">
        <v>455</v>
      </c>
    </row>
    <row r="284" spans="3:4" hidden="1" x14ac:dyDescent="0.35">
      <c r="C284">
        <v>1003</v>
      </c>
      <c r="D284" t="s">
        <v>456</v>
      </c>
    </row>
    <row r="285" spans="3:4" hidden="1" x14ac:dyDescent="0.35">
      <c r="C285">
        <v>1004</v>
      </c>
      <c r="D285" t="s">
        <v>457</v>
      </c>
    </row>
    <row r="286" spans="3:4" hidden="1" x14ac:dyDescent="0.35">
      <c r="C286">
        <v>23512</v>
      </c>
      <c r="D286" t="s">
        <v>458</v>
      </c>
    </row>
    <row r="287" spans="3:4" hidden="1" x14ac:dyDescent="0.35">
      <c r="C287">
        <v>23513</v>
      </c>
      <c r="D287" t="s">
        <v>459</v>
      </c>
    </row>
    <row r="288" spans="3:4" hidden="1" x14ac:dyDescent="0.35">
      <c r="C288">
        <v>23514</v>
      </c>
      <c r="D288" t="s">
        <v>460</v>
      </c>
    </row>
    <row r="289" spans="3:4" hidden="1" x14ac:dyDescent="0.35">
      <c r="C289">
        <v>23515</v>
      </c>
      <c r="D289" t="s">
        <v>461</v>
      </c>
    </row>
    <row r="290" spans="3:4" hidden="1" x14ac:dyDescent="0.35">
      <c r="C290">
        <v>23516</v>
      </c>
      <c r="D290" t="s">
        <v>462</v>
      </c>
    </row>
    <row r="291" spans="3:4" hidden="1" x14ac:dyDescent="0.35">
      <c r="C291">
        <v>23517</v>
      </c>
      <c r="D291" t="s">
        <v>463</v>
      </c>
    </row>
    <row r="292" spans="3:4" hidden="1" x14ac:dyDescent="0.35">
      <c r="C292">
        <v>23518</v>
      </c>
      <c r="D292" t="s">
        <v>464</v>
      </c>
    </row>
    <row r="293" spans="3:4" hidden="1" x14ac:dyDescent="0.35">
      <c r="C293">
        <v>23519</v>
      </c>
      <c r="D293" t="s">
        <v>465</v>
      </c>
    </row>
    <row r="294" spans="3:4" hidden="1" x14ac:dyDescent="0.35">
      <c r="C294">
        <v>23520</v>
      </c>
      <c r="D294" t="s">
        <v>466</v>
      </c>
    </row>
    <row r="295" spans="3:4" hidden="1" x14ac:dyDescent="0.35">
      <c r="C295">
        <v>23522</v>
      </c>
      <c r="D295" t="s">
        <v>467</v>
      </c>
    </row>
    <row r="296" spans="3:4" hidden="1" x14ac:dyDescent="0.35">
      <c r="C296">
        <v>23523</v>
      </c>
      <c r="D296" t="s">
        <v>468</v>
      </c>
    </row>
    <row r="297" spans="3:4" hidden="1" x14ac:dyDescent="0.35">
      <c r="C297">
        <v>23524</v>
      </c>
      <c r="D297" t="s">
        <v>469</v>
      </c>
    </row>
    <row r="298" spans="3:4" hidden="1" x14ac:dyDescent="0.35">
      <c r="C298">
        <v>23526</v>
      </c>
      <c r="D298" t="s">
        <v>470</v>
      </c>
    </row>
    <row r="299" spans="3:4" hidden="1" x14ac:dyDescent="0.35">
      <c r="C299">
        <v>23527</v>
      </c>
      <c r="D299" t="s">
        <v>471</v>
      </c>
    </row>
    <row r="300" spans="3:4" hidden="1" x14ac:dyDescent="0.35">
      <c r="C300">
        <v>23528</v>
      </c>
      <c r="D300" t="s">
        <v>472</v>
      </c>
    </row>
    <row r="301" spans="3:4" hidden="1" x14ac:dyDescent="0.35">
      <c r="C301">
        <v>23530</v>
      </c>
      <c r="D301" t="s">
        <v>473</v>
      </c>
    </row>
    <row r="302" spans="3:4" hidden="1" x14ac:dyDescent="0.35">
      <c r="C302">
        <v>23531</v>
      </c>
      <c r="D302" t="s">
        <v>474</v>
      </c>
    </row>
    <row r="303" spans="3:4" hidden="1" x14ac:dyDescent="0.35">
      <c r="C303">
        <v>23533</v>
      </c>
      <c r="D303" t="s">
        <v>475</v>
      </c>
    </row>
    <row r="304" spans="3:4" hidden="1" x14ac:dyDescent="0.35">
      <c r="C304">
        <v>23534</v>
      </c>
      <c r="D304" t="s">
        <v>476</v>
      </c>
    </row>
    <row r="305" spans="3:4" hidden="1" x14ac:dyDescent="0.35">
      <c r="C305">
        <v>23535</v>
      </c>
      <c r="D305" t="s">
        <v>477</v>
      </c>
    </row>
    <row r="306" spans="3:4" hidden="1" x14ac:dyDescent="0.35">
      <c r="C306">
        <v>23538</v>
      </c>
      <c r="D306" t="s">
        <v>478</v>
      </c>
    </row>
    <row r="307" spans="3:4" hidden="1" x14ac:dyDescent="0.35">
      <c r="C307">
        <v>23540</v>
      </c>
      <c r="D307" t="s">
        <v>479</v>
      </c>
    </row>
    <row r="308" spans="3:4" hidden="1" x14ac:dyDescent="0.35">
      <c r="C308">
        <v>23541</v>
      </c>
      <c r="D308" t="s">
        <v>480</v>
      </c>
    </row>
    <row r="309" spans="3:4" hidden="1" x14ac:dyDescent="0.35">
      <c r="C309">
        <v>23543</v>
      </c>
      <c r="D309" t="s">
        <v>481</v>
      </c>
    </row>
    <row r="310" spans="3:4" hidden="1" x14ac:dyDescent="0.35">
      <c r="C310">
        <v>23545</v>
      </c>
      <c r="D310" t="s">
        <v>482</v>
      </c>
    </row>
    <row r="311" spans="3:4" hidden="1" x14ac:dyDescent="0.35">
      <c r="C311">
        <v>23546</v>
      </c>
      <c r="D311" t="s">
        <v>483</v>
      </c>
    </row>
    <row r="312" spans="3:4" hidden="1" x14ac:dyDescent="0.35">
      <c r="C312">
        <v>23547</v>
      </c>
      <c r="D312" t="s">
        <v>484</v>
      </c>
    </row>
    <row r="313" spans="3:4" hidden="1" x14ac:dyDescent="0.35">
      <c r="C313">
        <v>23548</v>
      </c>
      <c r="D313" t="s">
        <v>485</v>
      </c>
    </row>
    <row r="314" spans="3:4" hidden="1" x14ac:dyDescent="0.35">
      <c r="C314">
        <v>23550</v>
      </c>
      <c r="D314" t="s">
        <v>486</v>
      </c>
    </row>
    <row r="315" spans="3:4" hidden="1" x14ac:dyDescent="0.35">
      <c r="C315">
        <v>23551</v>
      </c>
      <c r="D315" t="s">
        <v>487</v>
      </c>
    </row>
    <row r="316" spans="3:4" hidden="1" x14ac:dyDescent="0.35">
      <c r="C316">
        <v>23552</v>
      </c>
      <c r="D316" t="s">
        <v>488</v>
      </c>
    </row>
    <row r="317" spans="3:4" hidden="1" x14ac:dyDescent="0.35">
      <c r="C317">
        <v>23553</v>
      </c>
      <c r="D317" t="s">
        <v>489</v>
      </c>
    </row>
    <row r="318" spans="3:4" hidden="1" x14ac:dyDescent="0.35">
      <c r="C318">
        <v>23555</v>
      </c>
      <c r="D318" t="s">
        <v>490</v>
      </c>
    </row>
    <row r="319" spans="3:4" hidden="1" x14ac:dyDescent="0.35">
      <c r="C319">
        <v>23557</v>
      </c>
      <c r="D319" t="s">
        <v>491</v>
      </c>
    </row>
    <row r="320" spans="3:4" hidden="1" x14ac:dyDescent="0.35">
      <c r="C320">
        <v>23558</v>
      </c>
      <c r="D320" t="s">
        <v>492</v>
      </c>
    </row>
    <row r="321" spans="3:4" hidden="1" x14ac:dyDescent="0.35">
      <c r="C321">
        <v>23559</v>
      </c>
      <c r="D321" t="s">
        <v>493</v>
      </c>
    </row>
    <row r="322" spans="3:4" hidden="1" x14ac:dyDescent="0.35">
      <c r="C322">
        <v>23560</v>
      </c>
      <c r="D322" t="s">
        <v>494</v>
      </c>
    </row>
    <row r="323" spans="3:4" hidden="1" x14ac:dyDescent="0.35">
      <c r="C323">
        <v>23561</v>
      </c>
      <c r="D323" t="s">
        <v>495</v>
      </c>
    </row>
    <row r="324" spans="3:4" hidden="1" x14ac:dyDescent="0.35">
      <c r="C324">
        <v>23562</v>
      </c>
      <c r="D324" t="s">
        <v>496</v>
      </c>
    </row>
    <row r="325" spans="3:4" hidden="1" x14ac:dyDescent="0.35">
      <c r="C325">
        <v>23563</v>
      </c>
      <c r="D325" t="s">
        <v>497</v>
      </c>
    </row>
    <row r="326" spans="3:4" hidden="1" x14ac:dyDescent="0.35">
      <c r="C326">
        <v>23564</v>
      </c>
      <c r="D326" t="s">
        <v>498</v>
      </c>
    </row>
    <row r="327" spans="3:4" hidden="1" x14ac:dyDescent="0.35">
      <c r="C327">
        <v>23565</v>
      </c>
      <c r="D327" t="s">
        <v>499</v>
      </c>
    </row>
    <row r="328" spans="3:4" hidden="1" x14ac:dyDescent="0.35">
      <c r="C328">
        <v>23566</v>
      </c>
      <c r="D328" t="s">
        <v>500</v>
      </c>
    </row>
    <row r="329" spans="3:4" hidden="1" x14ac:dyDescent="0.35">
      <c r="C329">
        <v>23567</v>
      </c>
      <c r="D329" t="s">
        <v>501</v>
      </c>
    </row>
    <row r="330" spans="3:4" hidden="1" x14ac:dyDescent="0.35">
      <c r="C330">
        <v>23571</v>
      </c>
      <c r="D330" t="s">
        <v>502</v>
      </c>
    </row>
    <row r="331" spans="3:4" hidden="1" x14ac:dyDescent="0.35">
      <c r="C331">
        <v>23572</v>
      </c>
      <c r="D331" t="s">
        <v>503</v>
      </c>
    </row>
    <row r="332" spans="3:4" hidden="1" x14ac:dyDescent="0.35">
      <c r="C332">
        <v>23573</v>
      </c>
      <c r="D332" t="s">
        <v>504</v>
      </c>
    </row>
    <row r="333" spans="3:4" hidden="1" x14ac:dyDescent="0.35">
      <c r="C333">
        <v>23574</v>
      </c>
      <c r="D333" t="s">
        <v>505</v>
      </c>
    </row>
    <row r="334" spans="3:4" hidden="1" x14ac:dyDescent="0.35">
      <c r="C334">
        <v>23575</v>
      </c>
      <c r="D334" t="s">
        <v>506</v>
      </c>
    </row>
    <row r="335" spans="3:4" hidden="1" x14ac:dyDescent="0.35">
      <c r="C335">
        <v>23579</v>
      </c>
      <c r="D335" t="s">
        <v>507</v>
      </c>
    </row>
    <row r="336" spans="3:4" hidden="1" x14ac:dyDescent="0.35">
      <c r="C336">
        <v>23580</v>
      </c>
      <c r="D336" t="s">
        <v>508</v>
      </c>
    </row>
    <row r="337" spans="3:4" hidden="1" x14ac:dyDescent="0.35">
      <c r="C337">
        <v>23582</v>
      </c>
      <c r="D337" t="s">
        <v>509</v>
      </c>
    </row>
    <row r="338" spans="3:4" hidden="1" x14ac:dyDescent="0.35">
      <c r="C338">
        <v>23583</v>
      </c>
      <c r="D338" t="s">
        <v>510</v>
      </c>
    </row>
    <row r="339" spans="3:4" hidden="1" x14ac:dyDescent="0.35">
      <c r="C339">
        <v>23584</v>
      </c>
      <c r="D339" t="s">
        <v>511</v>
      </c>
    </row>
    <row r="340" spans="3:4" hidden="1" x14ac:dyDescent="0.35">
      <c r="C340">
        <v>23585</v>
      </c>
      <c r="D340" t="s">
        <v>512</v>
      </c>
    </row>
    <row r="341" spans="3:4" hidden="1" x14ac:dyDescent="0.35">
      <c r="C341">
        <v>23586</v>
      </c>
      <c r="D341" t="s">
        <v>513</v>
      </c>
    </row>
    <row r="342" spans="3:4" hidden="1" x14ac:dyDescent="0.35">
      <c r="C342">
        <v>23587</v>
      </c>
      <c r="D342" t="s">
        <v>514</v>
      </c>
    </row>
    <row r="343" spans="3:4" hidden="1" x14ac:dyDescent="0.35">
      <c r="C343">
        <v>23588</v>
      </c>
      <c r="D343" t="s">
        <v>515</v>
      </c>
    </row>
    <row r="344" spans="3:4" hidden="1" x14ac:dyDescent="0.35">
      <c r="C344">
        <v>23589</v>
      </c>
      <c r="D344" t="s">
        <v>516</v>
      </c>
    </row>
    <row r="345" spans="3:4" hidden="1" x14ac:dyDescent="0.35">
      <c r="C345">
        <v>23590</v>
      </c>
      <c r="D345" t="s">
        <v>517</v>
      </c>
    </row>
    <row r="346" spans="3:4" hidden="1" x14ac:dyDescent="0.35">
      <c r="C346">
        <v>23591</v>
      </c>
      <c r="D346" t="s">
        <v>518</v>
      </c>
    </row>
    <row r="347" spans="3:4" hidden="1" x14ac:dyDescent="0.35">
      <c r="C347">
        <v>23592</v>
      </c>
      <c r="D347" t="s">
        <v>519</v>
      </c>
    </row>
    <row r="348" spans="3:4" hidden="1" x14ac:dyDescent="0.35">
      <c r="C348">
        <v>23593</v>
      </c>
      <c r="D348" t="s">
        <v>520</v>
      </c>
    </row>
    <row r="349" spans="3:4" hidden="1" x14ac:dyDescent="0.35">
      <c r="C349">
        <v>23595</v>
      </c>
      <c r="D349" t="s">
        <v>521</v>
      </c>
    </row>
    <row r="350" spans="3:4" hidden="1" x14ac:dyDescent="0.35">
      <c r="C350">
        <v>23598</v>
      </c>
      <c r="D350" t="s">
        <v>522</v>
      </c>
    </row>
    <row r="351" spans="3:4" hidden="1" x14ac:dyDescent="0.35">
      <c r="C351">
        <v>23600</v>
      </c>
      <c r="D351" t="s">
        <v>523</v>
      </c>
    </row>
    <row r="352" spans="3:4" hidden="1" x14ac:dyDescent="0.35">
      <c r="C352">
        <v>23601</v>
      </c>
      <c r="D352" t="s">
        <v>524</v>
      </c>
    </row>
    <row r="353" spans="3:4" hidden="1" x14ac:dyDescent="0.35">
      <c r="C353">
        <v>23603</v>
      </c>
      <c r="D353" t="s">
        <v>525</v>
      </c>
    </row>
    <row r="354" spans="3:4" hidden="1" x14ac:dyDescent="0.35">
      <c r="C354">
        <v>23604</v>
      </c>
      <c r="D354" t="s">
        <v>526</v>
      </c>
    </row>
    <row r="355" spans="3:4" hidden="1" x14ac:dyDescent="0.35">
      <c r="C355">
        <v>23606</v>
      </c>
      <c r="D355" t="s">
        <v>527</v>
      </c>
    </row>
    <row r="356" spans="3:4" hidden="1" x14ac:dyDescent="0.35">
      <c r="C356">
        <v>23607</v>
      </c>
      <c r="D356" t="s">
        <v>528</v>
      </c>
    </row>
    <row r="357" spans="3:4" hidden="1" x14ac:dyDescent="0.35">
      <c r="C357">
        <v>23608</v>
      </c>
      <c r="D357" t="s">
        <v>529</v>
      </c>
    </row>
    <row r="358" spans="3:4" hidden="1" x14ac:dyDescent="0.35">
      <c r="C358">
        <v>23609</v>
      </c>
      <c r="D358" t="s">
        <v>530</v>
      </c>
    </row>
    <row r="359" spans="3:4" hidden="1" x14ac:dyDescent="0.35">
      <c r="C359">
        <v>23610</v>
      </c>
      <c r="D359" t="s">
        <v>531</v>
      </c>
    </row>
    <row r="360" spans="3:4" hidden="1" x14ac:dyDescent="0.35">
      <c r="C360">
        <v>23611</v>
      </c>
      <c r="D360" t="s">
        <v>532</v>
      </c>
    </row>
    <row r="361" spans="3:4" hidden="1" x14ac:dyDescent="0.35">
      <c r="C361">
        <v>23612</v>
      </c>
      <c r="D361" t="s">
        <v>533</v>
      </c>
    </row>
    <row r="362" spans="3:4" hidden="1" x14ac:dyDescent="0.35">
      <c r="C362">
        <v>23613</v>
      </c>
      <c r="D362" t="s">
        <v>534</v>
      </c>
    </row>
    <row r="363" spans="3:4" hidden="1" x14ac:dyDescent="0.35">
      <c r="C363">
        <v>23614</v>
      </c>
      <c r="D363" t="s">
        <v>535</v>
      </c>
    </row>
    <row r="364" spans="3:4" hidden="1" x14ac:dyDescent="0.35">
      <c r="C364">
        <v>23616</v>
      </c>
      <c r="D364" t="s">
        <v>536</v>
      </c>
    </row>
    <row r="365" spans="3:4" hidden="1" x14ac:dyDescent="0.35">
      <c r="C365">
        <v>23619</v>
      </c>
      <c r="D365" t="s">
        <v>537</v>
      </c>
    </row>
    <row r="366" spans="3:4" hidden="1" x14ac:dyDescent="0.35">
      <c r="C366">
        <v>23620</v>
      </c>
      <c r="D366" t="s">
        <v>538</v>
      </c>
    </row>
    <row r="367" spans="3:4" hidden="1" x14ac:dyDescent="0.35">
      <c r="C367">
        <v>23621</v>
      </c>
      <c r="D367" t="s">
        <v>539</v>
      </c>
    </row>
    <row r="368" spans="3:4" hidden="1" x14ac:dyDescent="0.35">
      <c r="C368">
        <v>23622</v>
      </c>
      <c r="D368" t="s">
        <v>540</v>
      </c>
    </row>
    <row r="369" spans="3:4" hidden="1" x14ac:dyDescent="0.35">
      <c r="C369">
        <v>23625</v>
      </c>
      <c r="D369" t="s">
        <v>541</v>
      </c>
    </row>
    <row r="370" spans="3:4" hidden="1" x14ac:dyDescent="0.35">
      <c r="C370">
        <v>23626</v>
      </c>
      <c r="D370" t="s">
        <v>542</v>
      </c>
    </row>
    <row r="371" spans="3:4" hidden="1" x14ac:dyDescent="0.35">
      <c r="C371">
        <v>23627</v>
      </c>
      <c r="D371" t="s">
        <v>543</v>
      </c>
    </row>
    <row r="372" spans="3:4" hidden="1" x14ac:dyDescent="0.35">
      <c r="C372">
        <v>23628</v>
      </c>
      <c r="D372" t="s">
        <v>544</v>
      </c>
    </row>
    <row r="373" spans="3:4" hidden="1" x14ac:dyDescent="0.35">
      <c r="C373">
        <v>23629</v>
      </c>
      <c r="D373" t="s">
        <v>545</v>
      </c>
    </row>
    <row r="374" spans="3:4" hidden="1" x14ac:dyDescent="0.35">
      <c r="C374">
        <v>23632</v>
      </c>
      <c r="D374" t="s">
        <v>546</v>
      </c>
    </row>
    <row r="375" spans="3:4" hidden="1" x14ac:dyDescent="0.35">
      <c r="C375">
        <v>23639</v>
      </c>
      <c r="D375" t="s">
        <v>547</v>
      </c>
    </row>
    <row r="376" spans="3:4" hidden="1" x14ac:dyDescent="0.35">
      <c r="C376">
        <v>23640</v>
      </c>
      <c r="D376" t="s">
        <v>548</v>
      </c>
    </row>
    <row r="377" spans="3:4" hidden="1" x14ac:dyDescent="0.35">
      <c r="C377">
        <v>23641</v>
      </c>
      <c r="D377" t="s">
        <v>549</v>
      </c>
    </row>
    <row r="378" spans="3:4" hidden="1" x14ac:dyDescent="0.35">
      <c r="C378">
        <v>23642</v>
      </c>
      <c r="D378" t="s">
        <v>550</v>
      </c>
    </row>
    <row r="379" spans="3:4" hidden="1" x14ac:dyDescent="0.35">
      <c r="C379">
        <v>23644</v>
      </c>
      <c r="D379" t="s">
        <v>551</v>
      </c>
    </row>
    <row r="380" spans="3:4" hidden="1" x14ac:dyDescent="0.35">
      <c r="C380">
        <v>23645</v>
      </c>
      <c r="D380" t="s">
        <v>552</v>
      </c>
    </row>
    <row r="381" spans="3:4" hidden="1" x14ac:dyDescent="0.35">
      <c r="C381">
        <v>23646</v>
      </c>
      <c r="D381" t="s">
        <v>553</v>
      </c>
    </row>
    <row r="382" spans="3:4" hidden="1" x14ac:dyDescent="0.35">
      <c r="C382">
        <v>23647</v>
      </c>
      <c r="D382" t="s">
        <v>554</v>
      </c>
    </row>
    <row r="383" spans="3:4" hidden="1" x14ac:dyDescent="0.35">
      <c r="C383">
        <v>23650</v>
      </c>
      <c r="D383" t="s">
        <v>555</v>
      </c>
    </row>
    <row r="384" spans="3:4" hidden="1" x14ac:dyDescent="0.35">
      <c r="C384">
        <v>23651</v>
      </c>
      <c r="D384" t="s">
        <v>556</v>
      </c>
    </row>
    <row r="385" spans="3:4" hidden="1" x14ac:dyDescent="0.35">
      <c r="C385">
        <v>23652</v>
      </c>
      <c r="D385" t="s">
        <v>557</v>
      </c>
    </row>
    <row r="386" spans="3:4" hidden="1" x14ac:dyDescent="0.35">
      <c r="C386">
        <v>23653</v>
      </c>
      <c r="D386" t="s">
        <v>558</v>
      </c>
    </row>
    <row r="387" spans="3:4" hidden="1" x14ac:dyDescent="0.35">
      <c r="C387">
        <v>23654</v>
      </c>
      <c r="D387" t="s">
        <v>559</v>
      </c>
    </row>
    <row r="388" spans="3:4" hidden="1" x14ac:dyDescent="0.35">
      <c r="C388">
        <v>23655</v>
      </c>
      <c r="D388" t="s">
        <v>560</v>
      </c>
    </row>
    <row r="389" spans="3:4" hidden="1" x14ac:dyDescent="0.35">
      <c r="C389">
        <v>23656</v>
      </c>
      <c r="D389" t="s">
        <v>561</v>
      </c>
    </row>
    <row r="390" spans="3:4" hidden="1" x14ac:dyDescent="0.35">
      <c r="C390">
        <v>23657</v>
      </c>
      <c r="D390" t="s">
        <v>562</v>
      </c>
    </row>
    <row r="391" spans="3:4" hidden="1" x14ac:dyDescent="0.35">
      <c r="C391">
        <v>23659</v>
      </c>
      <c r="D391" t="s">
        <v>563</v>
      </c>
    </row>
    <row r="392" spans="3:4" hidden="1" x14ac:dyDescent="0.35">
      <c r="C392">
        <v>23660</v>
      </c>
      <c r="D392" t="s">
        <v>564</v>
      </c>
    </row>
    <row r="393" spans="3:4" hidden="1" x14ac:dyDescent="0.35">
      <c r="C393">
        <v>23663</v>
      </c>
      <c r="D393" t="s">
        <v>565</v>
      </c>
    </row>
    <row r="394" spans="3:4" hidden="1" x14ac:dyDescent="0.35">
      <c r="C394">
        <v>23687</v>
      </c>
      <c r="D394" t="s">
        <v>566</v>
      </c>
    </row>
    <row r="395" spans="3:4" hidden="1" x14ac:dyDescent="0.35">
      <c r="C395">
        <v>23688</v>
      </c>
      <c r="D395" t="s">
        <v>567</v>
      </c>
    </row>
    <row r="396" spans="3:4" hidden="1" x14ac:dyDescent="0.35">
      <c r="C396">
        <v>23689</v>
      </c>
      <c r="D396" t="s">
        <v>568</v>
      </c>
    </row>
    <row r="397" spans="3:4" hidden="1" x14ac:dyDescent="0.35">
      <c r="C397">
        <v>23690</v>
      </c>
      <c r="D397" t="s">
        <v>569</v>
      </c>
    </row>
    <row r="398" spans="3:4" hidden="1" x14ac:dyDescent="0.35">
      <c r="C398">
        <v>23691</v>
      </c>
      <c r="D398" t="s">
        <v>570</v>
      </c>
    </row>
    <row r="399" spans="3:4" hidden="1" x14ac:dyDescent="0.35">
      <c r="C399">
        <v>23692</v>
      </c>
      <c r="D399" t="s">
        <v>571</v>
      </c>
    </row>
    <row r="400" spans="3:4" hidden="1" x14ac:dyDescent="0.35">
      <c r="C400">
        <v>23693</v>
      </c>
      <c r="D400" t="s">
        <v>572</v>
      </c>
    </row>
    <row r="401" spans="3:4" hidden="1" x14ac:dyDescent="0.35">
      <c r="C401">
        <v>23694</v>
      </c>
      <c r="D401" t="s">
        <v>573</v>
      </c>
    </row>
    <row r="402" spans="3:4" hidden="1" x14ac:dyDescent="0.35">
      <c r="C402">
        <v>23695</v>
      </c>
      <c r="D402" t="s">
        <v>574</v>
      </c>
    </row>
    <row r="403" spans="3:4" hidden="1" x14ac:dyDescent="0.35">
      <c r="C403">
        <v>23696</v>
      </c>
      <c r="D403" t="s">
        <v>575</v>
      </c>
    </row>
    <row r="404" spans="3:4" hidden="1" x14ac:dyDescent="0.35">
      <c r="C404">
        <v>23697</v>
      </c>
      <c r="D404" t="s">
        <v>576</v>
      </c>
    </row>
    <row r="405" spans="3:4" hidden="1" x14ac:dyDescent="0.35">
      <c r="C405">
        <v>23698</v>
      </c>
      <c r="D405" t="s">
        <v>577</v>
      </c>
    </row>
    <row r="406" spans="3:4" hidden="1" x14ac:dyDescent="0.35">
      <c r="C406">
        <v>23699</v>
      </c>
      <c r="D406" t="s">
        <v>578</v>
      </c>
    </row>
    <row r="407" spans="3:4" hidden="1" x14ac:dyDescent="0.35">
      <c r="C407">
        <v>23700</v>
      </c>
      <c r="D407" t="s">
        <v>579</v>
      </c>
    </row>
    <row r="408" spans="3:4" hidden="1" x14ac:dyDescent="0.35">
      <c r="C408">
        <v>23701</v>
      </c>
      <c r="D408" t="s">
        <v>580</v>
      </c>
    </row>
    <row r="409" spans="3:4" hidden="1" x14ac:dyDescent="0.35">
      <c r="C409">
        <v>23702</v>
      </c>
      <c r="D409" t="s">
        <v>581</v>
      </c>
    </row>
    <row r="410" spans="3:4" hidden="1" x14ac:dyDescent="0.35">
      <c r="C410">
        <v>23703</v>
      </c>
      <c r="D410" t="s">
        <v>582</v>
      </c>
    </row>
    <row r="411" spans="3:4" hidden="1" x14ac:dyDescent="0.35">
      <c r="C411">
        <v>23704</v>
      </c>
      <c r="D411" t="s">
        <v>583</v>
      </c>
    </row>
    <row r="412" spans="3:4" hidden="1" x14ac:dyDescent="0.35">
      <c r="C412">
        <v>23705</v>
      </c>
      <c r="D412" t="s">
        <v>584</v>
      </c>
    </row>
    <row r="413" spans="3:4" hidden="1" x14ac:dyDescent="0.35">
      <c r="C413">
        <v>23706</v>
      </c>
      <c r="D413" t="s">
        <v>585</v>
      </c>
    </row>
    <row r="414" spans="3:4" hidden="1" x14ac:dyDescent="0.35">
      <c r="C414">
        <v>23707</v>
      </c>
      <c r="D414" t="s">
        <v>586</v>
      </c>
    </row>
    <row r="415" spans="3:4" hidden="1" x14ac:dyDescent="0.35">
      <c r="C415">
        <v>23708</v>
      </c>
      <c r="D415" t="s">
        <v>587</v>
      </c>
    </row>
    <row r="416" spans="3:4" hidden="1" x14ac:dyDescent="0.35">
      <c r="C416">
        <v>23709</v>
      </c>
      <c r="D416" t="s">
        <v>588</v>
      </c>
    </row>
    <row r="417" spans="3:4" hidden="1" x14ac:dyDescent="0.35">
      <c r="C417">
        <v>23710</v>
      </c>
      <c r="D417" t="s">
        <v>589</v>
      </c>
    </row>
    <row r="418" spans="3:4" hidden="1" x14ac:dyDescent="0.35">
      <c r="C418">
        <v>23711</v>
      </c>
      <c r="D418" t="s">
        <v>590</v>
      </c>
    </row>
    <row r="419" spans="3:4" hidden="1" x14ac:dyDescent="0.35">
      <c r="C419">
        <v>23712</v>
      </c>
      <c r="D419" t="s">
        <v>591</v>
      </c>
    </row>
    <row r="420" spans="3:4" hidden="1" x14ac:dyDescent="0.35">
      <c r="C420">
        <v>23713</v>
      </c>
      <c r="D420" t="s">
        <v>592</v>
      </c>
    </row>
    <row r="421" spans="3:4" hidden="1" x14ac:dyDescent="0.35">
      <c r="C421">
        <v>23714</v>
      </c>
      <c r="D421" t="s">
        <v>593</v>
      </c>
    </row>
    <row r="422" spans="3:4" hidden="1" x14ac:dyDescent="0.35">
      <c r="C422">
        <v>23715</v>
      </c>
      <c r="D422" t="s">
        <v>594</v>
      </c>
    </row>
    <row r="423" spans="3:4" hidden="1" x14ac:dyDescent="0.35">
      <c r="C423">
        <v>23716</v>
      </c>
      <c r="D423" t="s">
        <v>595</v>
      </c>
    </row>
    <row r="424" spans="3:4" hidden="1" x14ac:dyDescent="0.35">
      <c r="C424">
        <v>23717</v>
      </c>
      <c r="D424" t="s">
        <v>596</v>
      </c>
    </row>
    <row r="425" spans="3:4" hidden="1" x14ac:dyDescent="0.35">
      <c r="C425">
        <v>23718</v>
      </c>
      <c r="D425" t="s">
        <v>597</v>
      </c>
    </row>
    <row r="426" spans="3:4" hidden="1" x14ac:dyDescent="0.35">
      <c r="C426">
        <v>23719</v>
      </c>
      <c r="D426" t="s">
        <v>598</v>
      </c>
    </row>
    <row r="427" spans="3:4" hidden="1" x14ac:dyDescent="0.35">
      <c r="C427">
        <v>23720</v>
      </c>
      <c r="D427" t="s">
        <v>599</v>
      </c>
    </row>
    <row r="428" spans="3:4" hidden="1" x14ac:dyDescent="0.35">
      <c r="C428">
        <v>23721</v>
      </c>
      <c r="D428" t="s">
        <v>600</v>
      </c>
    </row>
    <row r="429" spans="3:4" hidden="1" x14ac:dyDescent="0.35">
      <c r="C429">
        <v>23722</v>
      </c>
      <c r="D429" t="s">
        <v>601</v>
      </c>
    </row>
    <row r="430" spans="3:4" hidden="1" x14ac:dyDescent="0.35">
      <c r="C430">
        <v>23729</v>
      </c>
      <c r="D430" t="s">
        <v>602</v>
      </c>
    </row>
    <row r="431" spans="3:4" hidden="1" x14ac:dyDescent="0.35">
      <c r="C431">
        <v>23743</v>
      </c>
      <c r="D431" t="s">
        <v>603</v>
      </c>
    </row>
    <row r="432" spans="3:4" hidden="1" x14ac:dyDescent="0.35">
      <c r="C432">
        <v>23744</v>
      </c>
      <c r="D432" t="s">
        <v>604</v>
      </c>
    </row>
    <row r="433" spans="3:4" hidden="1" x14ac:dyDescent="0.35">
      <c r="C433">
        <v>23754</v>
      </c>
      <c r="D433" t="s">
        <v>605</v>
      </c>
    </row>
    <row r="434" spans="3:4" hidden="1" x14ac:dyDescent="0.35">
      <c r="C434">
        <v>23756</v>
      </c>
      <c r="D434" t="s">
        <v>606</v>
      </c>
    </row>
    <row r="435" spans="3:4" hidden="1" x14ac:dyDescent="0.35">
      <c r="C435">
        <v>23757</v>
      </c>
      <c r="D435" t="s">
        <v>607</v>
      </c>
    </row>
    <row r="436" spans="3:4" hidden="1" x14ac:dyDescent="0.35">
      <c r="C436">
        <v>23758</v>
      </c>
      <c r="D436" t="s">
        <v>608</v>
      </c>
    </row>
    <row r="437" spans="3:4" hidden="1" x14ac:dyDescent="0.35">
      <c r="C437">
        <v>23759</v>
      </c>
      <c r="D437" t="s">
        <v>609</v>
      </c>
    </row>
    <row r="438" spans="3:4" hidden="1" x14ac:dyDescent="0.35">
      <c r="C438">
        <v>23760</v>
      </c>
      <c r="D438" t="s">
        <v>610</v>
      </c>
    </row>
    <row r="439" spans="3:4" hidden="1" x14ac:dyDescent="0.35">
      <c r="C439">
        <v>23765</v>
      </c>
      <c r="D439" t="s">
        <v>611</v>
      </c>
    </row>
    <row r="440" spans="3:4" hidden="1" x14ac:dyDescent="0.35">
      <c r="C440">
        <v>23766</v>
      </c>
      <c r="D440" t="s">
        <v>612</v>
      </c>
    </row>
    <row r="441" spans="3:4" hidden="1" x14ac:dyDescent="0.35">
      <c r="C441">
        <v>23767</v>
      </c>
      <c r="D441" t="s">
        <v>613</v>
      </c>
    </row>
    <row r="442" spans="3:4" hidden="1" x14ac:dyDescent="0.35">
      <c r="C442">
        <v>23768</v>
      </c>
      <c r="D442" t="s">
        <v>614</v>
      </c>
    </row>
    <row r="443" spans="3:4" hidden="1" x14ac:dyDescent="0.35">
      <c r="C443">
        <v>23769</v>
      </c>
      <c r="D443" t="s">
        <v>615</v>
      </c>
    </row>
    <row r="444" spans="3:4" hidden="1" x14ac:dyDescent="0.35">
      <c r="C444">
        <v>23770</v>
      </c>
      <c r="D444" t="s">
        <v>616</v>
      </c>
    </row>
    <row r="445" spans="3:4" hidden="1" x14ac:dyDescent="0.35">
      <c r="C445">
        <v>23776</v>
      </c>
      <c r="D445" t="s">
        <v>617</v>
      </c>
    </row>
    <row r="446" spans="3:4" hidden="1" x14ac:dyDescent="0.35">
      <c r="C446">
        <v>23777</v>
      </c>
      <c r="D446" t="s">
        <v>618</v>
      </c>
    </row>
    <row r="447" spans="3:4" hidden="1" x14ac:dyDescent="0.35">
      <c r="C447">
        <v>23778</v>
      </c>
      <c r="D447" t="s">
        <v>619</v>
      </c>
    </row>
    <row r="448" spans="3:4" hidden="1" x14ac:dyDescent="0.35">
      <c r="C448">
        <v>23779</v>
      </c>
      <c r="D448" t="s">
        <v>620</v>
      </c>
    </row>
    <row r="449" spans="3:4" hidden="1" x14ac:dyDescent="0.35">
      <c r="C449">
        <v>23780</v>
      </c>
      <c r="D449" t="s">
        <v>621</v>
      </c>
    </row>
    <row r="450" spans="3:4" hidden="1" x14ac:dyDescent="0.35">
      <c r="C450">
        <v>23780</v>
      </c>
      <c r="D450" t="s">
        <v>622</v>
      </c>
    </row>
    <row r="451" spans="3:4" hidden="1" x14ac:dyDescent="0.35">
      <c r="C451">
        <v>23781</v>
      </c>
      <c r="D451" t="s">
        <v>623</v>
      </c>
    </row>
    <row r="452" spans="3:4" hidden="1" x14ac:dyDescent="0.35">
      <c r="C452">
        <v>23783</v>
      </c>
      <c r="D452" t="s">
        <v>624</v>
      </c>
    </row>
    <row r="453" spans="3:4" hidden="1" x14ac:dyDescent="0.35">
      <c r="C453">
        <v>23786</v>
      </c>
      <c r="D453" t="s">
        <v>625</v>
      </c>
    </row>
    <row r="454" spans="3:4" hidden="1" x14ac:dyDescent="0.35">
      <c r="C454">
        <v>23790</v>
      </c>
      <c r="D454" t="s">
        <v>626</v>
      </c>
    </row>
    <row r="455" spans="3:4" hidden="1" x14ac:dyDescent="0.35">
      <c r="C455">
        <v>23791</v>
      </c>
      <c r="D455" t="s">
        <v>627</v>
      </c>
    </row>
    <row r="456" spans="3:4" hidden="1" x14ac:dyDescent="0.35">
      <c r="C456">
        <v>23792</v>
      </c>
      <c r="D456" t="s">
        <v>628</v>
      </c>
    </row>
    <row r="457" spans="3:4" hidden="1" x14ac:dyDescent="0.35">
      <c r="C457">
        <v>23793</v>
      </c>
      <c r="D457" t="s">
        <v>629</v>
      </c>
    </row>
    <row r="458" spans="3:4" hidden="1" x14ac:dyDescent="0.35">
      <c r="C458">
        <v>23794</v>
      </c>
      <c r="D458" t="s">
        <v>630</v>
      </c>
    </row>
    <row r="459" spans="3:4" hidden="1" x14ac:dyDescent="0.35">
      <c r="C459">
        <v>23796</v>
      </c>
      <c r="D459" t="s">
        <v>631</v>
      </c>
    </row>
    <row r="460" spans="3:4" hidden="1" x14ac:dyDescent="0.35">
      <c r="C460">
        <v>23797</v>
      </c>
      <c r="D460" t="s">
        <v>632</v>
      </c>
    </row>
    <row r="461" spans="3:4" hidden="1" x14ac:dyDescent="0.35">
      <c r="C461">
        <v>23798</v>
      </c>
      <c r="D461" t="s">
        <v>633</v>
      </c>
    </row>
    <row r="462" spans="3:4" hidden="1" x14ac:dyDescent="0.35">
      <c r="C462">
        <v>23799</v>
      </c>
      <c r="D462" t="s">
        <v>634</v>
      </c>
    </row>
    <row r="463" spans="3:4" hidden="1" x14ac:dyDescent="0.35">
      <c r="C463">
        <v>23800</v>
      </c>
      <c r="D463" t="s">
        <v>635</v>
      </c>
    </row>
    <row r="464" spans="3:4" hidden="1" x14ac:dyDescent="0.35">
      <c r="C464">
        <v>23801</v>
      </c>
      <c r="D464" t="s">
        <v>636</v>
      </c>
    </row>
    <row r="465" spans="3:4" hidden="1" x14ac:dyDescent="0.35">
      <c r="C465">
        <v>23802</v>
      </c>
      <c r="D465" t="s">
        <v>637</v>
      </c>
    </row>
    <row r="466" spans="3:4" hidden="1" x14ac:dyDescent="0.35">
      <c r="C466">
        <v>23803</v>
      </c>
      <c r="D466" t="s">
        <v>638</v>
      </c>
    </row>
    <row r="467" spans="3:4" hidden="1" x14ac:dyDescent="0.35">
      <c r="C467">
        <v>23805</v>
      </c>
      <c r="D467" t="s">
        <v>639</v>
      </c>
    </row>
    <row r="468" spans="3:4" hidden="1" x14ac:dyDescent="0.35">
      <c r="C468">
        <v>23807</v>
      </c>
      <c r="D468" t="s">
        <v>640</v>
      </c>
    </row>
    <row r="469" spans="3:4" hidden="1" x14ac:dyDescent="0.35">
      <c r="C469">
        <v>23808</v>
      </c>
      <c r="D469" t="s">
        <v>641</v>
      </c>
    </row>
    <row r="470" spans="3:4" hidden="1" x14ac:dyDescent="0.35">
      <c r="C470">
        <v>23810</v>
      </c>
      <c r="D470" t="s">
        <v>642</v>
      </c>
    </row>
    <row r="471" spans="3:4" hidden="1" x14ac:dyDescent="0.35">
      <c r="C471">
        <v>23811</v>
      </c>
      <c r="D471" t="s">
        <v>643</v>
      </c>
    </row>
    <row r="472" spans="3:4" hidden="1" x14ac:dyDescent="0.35">
      <c r="C472">
        <v>23856</v>
      </c>
      <c r="D472" t="s">
        <v>644</v>
      </c>
    </row>
    <row r="473" spans="3:4" hidden="1" x14ac:dyDescent="0.35">
      <c r="C473">
        <v>23857</v>
      </c>
      <c r="D473" t="s">
        <v>645</v>
      </c>
    </row>
    <row r="474" spans="3:4" hidden="1" x14ac:dyDescent="0.35">
      <c r="C474">
        <v>23858</v>
      </c>
      <c r="D474" t="s">
        <v>646</v>
      </c>
    </row>
    <row r="475" spans="3:4" hidden="1" x14ac:dyDescent="0.35">
      <c r="C475">
        <v>23895</v>
      </c>
      <c r="D475" t="s">
        <v>647</v>
      </c>
    </row>
    <row r="476" spans="3:4" hidden="1" x14ac:dyDescent="0.35">
      <c r="C476">
        <v>23900</v>
      </c>
      <c r="D476" t="s">
        <v>648</v>
      </c>
    </row>
    <row r="477" spans="3:4" hidden="1" x14ac:dyDescent="0.35">
      <c r="C477">
        <v>23901</v>
      </c>
      <c r="D477" t="s">
        <v>649</v>
      </c>
    </row>
    <row r="478" spans="3:4" hidden="1" x14ac:dyDescent="0.35">
      <c r="C478">
        <v>23902</v>
      </c>
      <c r="D478" t="s">
        <v>650</v>
      </c>
    </row>
    <row r="479" spans="3:4" hidden="1" x14ac:dyDescent="0.35">
      <c r="C479">
        <v>23903</v>
      </c>
      <c r="D479" t="s">
        <v>651</v>
      </c>
    </row>
    <row r="480" spans="3:4" hidden="1" x14ac:dyDescent="0.35">
      <c r="C480">
        <v>23913</v>
      </c>
      <c r="D480" t="s">
        <v>652</v>
      </c>
    </row>
    <row r="481" spans="3:4" hidden="1" x14ac:dyDescent="0.35">
      <c r="C481">
        <v>23914</v>
      </c>
      <c r="D481" t="s">
        <v>653</v>
      </c>
    </row>
    <row r="482" spans="3:4" hidden="1" x14ac:dyDescent="0.35">
      <c r="C482">
        <v>23915</v>
      </c>
      <c r="D482" t="s">
        <v>654</v>
      </c>
    </row>
    <row r="483" spans="3:4" hidden="1" x14ac:dyDescent="0.35">
      <c r="C483">
        <v>23982</v>
      </c>
      <c r="D483" t="s">
        <v>655</v>
      </c>
    </row>
    <row r="484" spans="3:4" hidden="1" x14ac:dyDescent="0.35">
      <c r="C484">
        <v>23983</v>
      </c>
      <c r="D484" t="s">
        <v>656</v>
      </c>
    </row>
    <row r="485" spans="3:4" hidden="1" x14ac:dyDescent="0.35">
      <c r="C485">
        <v>23985</v>
      </c>
      <c r="D485" t="s">
        <v>657</v>
      </c>
    </row>
    <row r="486" spans="3:4" hidden="1" x14ac:dyDescent="0.35">
      <c r="C486">
        <v>23986</v>
      </c>
      <c r="D486" t="s">
        <v>658</v>
      </c>
    </row>
    <row r="487" spans="3:4" hidden="1" x14ac:dyDescent="0.35">
      <c r="C487">
        <v>23987</v>
      </c>
      <c r="D487" t="s">
        <v>659</v>
      </c>
    </row>
    <row r="488" spans="3:4" hidden="1" x14ac:dyDescent="0.35">
      <c r="C488">
        <v>23988</v>
      </c>
      <c r="D488" t="s">
        <v>660</v>
      </c>
    </row>
    <row r="489" spans="3:4" hidden="1" x14ac:dyDescent="0.35">
      <c r="C489">
        <v>23990</v>
      </c>
      <c r="D489" t="s">
        <v>661</v>
      </c>
    </row>
    <row r="490" spans="3:4" hidden="1" x14ac:dyDescent="0.35">
      <c r="C490">
        <v>24000</v>
      </c>
      <c r="D490" t="s">
        <v>662</v>
      </c>
    </row>
    <row r="491" spans="3:4" hidden="1" x14ac:dyDescent="0.35">
      <c r="C491">
        <v>24008</v>
      </c>
      <c r="D491" t="s">
        <v>663</v>
      </c>
    </row>
    <row r="492" spans="3:4" hidden="1" x14ac:dyDescent="0.35">
      <c r="C492">
        <v>24010</v>
      </c>
      <c r="D492" t="s">
        <v>664</v>
      </c>
    </row>
    <row r="493" spans="3:4" hidden="1" x14ac:dyDescent="0.35">
      <c r="C493">
        <v>24011</v>
      </c>
      <c r="D493" t="s">
        <v>665</v>
      </c>
    </row>
    <row r="494" spans="3:4" hidden="1" x14ac:dyDescent="0.35">
      <c r="C494">
        <v>24013</v>
      </c>
      <c r="D494" t="s">
        <v>666</v>
      </c>
    </row>
    <row r="495" spans="3:4" hidden="1" x14ac:dyDescent="0.35">
      <c r="C495">
        <v>24014</v>
      </c>
      <c r="D495" t="s">
        <v>667</v>
      </c>
    </row>
    <row r="496" spans="3:4" hidden="1" x14ac:dyDescent="0.35">
      <c r="C496">
        <v>24015</v>
      </c>
      <c r="D496" t="s">
        <v>668</v>
      </c>
    </row>
    <row r="497" spans="3:4" hidden="1" x14ac:dyDescent="0.35">
      <c r="C497">
        <v>24016</v>
      </c>
      <c r="D497" t="s">
        <v>669</v>
      </c>
    </row>
    <row r="498" spans="3:4" hidden="1" x14ac:dyDescent="0.35">
      <c r="C498">
        <v>24017</v>
      </c>
      <c r="D498" t="s">
        <v>670</v>
      </c>
    </row>
    <row r="499" spans="3:4" hidden="1" x14ac:dyDescent="0.35">
      <c r="C499">
        <v>24018</v>
      </c>
      <c r="D499" t="s">
        <v>671</v>
      </c>
    </row>
    <row r="500" spans="3:4" hidden="1" x14ac:dyDescent="0.35">
      <c r="C500">
        <v>24019</v>
      </c>
      <c r="D500" t="s">
        <v>672</v>
      </c>
    </row>
    <row r="501" spans="3:4" hidden="1" x14ac:dyDescent="0.35">
      <c r="C501">
        <v>24020</v>
      </c>
      <c r="D501" t="s">
        <v>673</v>
      </c>
    </row>
    <row r="502" spans="3:4" hidden="1" x14ac:dyDescent="0.35">
      <c r="C502">
        <v>24021</v>
      </c>
      <c r="D502" t="s">
        <v>674</v>
      </c>
    </row>
    <row r="503" spans="3:4" hidden="1" x14ac:dyDescent="0.35">
      <c r="C503">
        <v>24023</v>
      </c>
      <c r="D503" t="s">
        <v>675</v>
      </c>
    </row>
    <row r="504" spans="3:4" hidden="1" x14ac:dyDescent="0.35">
      <c r="C504">
        <v>24024</v>
      </c>
      <c r="D504" t="s">
        <v>676</v>
      </c>
    </row>
    <row r="505" spans="3:4" hidden="1" x14ac:dyDescent="0.35">
      <c r="C505">
        <v>24026</v>
      </c>
      <c r="D505" t="s">
        <v>677</v>
      </c>
    </row>
    <row r="506" spans="3:4" hidden="1" x14ac:dyDescent="0.35">
      <c r="C506">
        <v>24028</v>
      </c>
      <c r="D506" t="s">
        <v>678</v>
      </c>
    </row>
    <row r="507" spans="3:4" hidden="1" x14ac:dyDescent="0.35">
      <c r="C507">
        <v>24039</v>
      </c>
      <c r="D507" t="s">
        <v>679</v>
      </c>
    </row>
    <row r="508" spans="3:4" hidden="1" x14ac:dyDescent="0.35">
      <c r="C508">
        <v>24041</v>
      </c>
      <c r="D508" t="s">
        <v>680</v>
      </c>
    </row>
    <row r="509" spans="3:4" hidden="1" x14ac:dyDescent="0.35">
      <c r="C509">
        <v>24042</v>
      </c>
      <c r="D509" t="s">
        <v>681</v>
      </c>
    </row>
    <row r="510" spans="3:4" hidden="1" x14ac:dyDescent="0.35">
      <c r="C510">
        <v>24043</v>
      </c>
      <c r="D510" t="s">
        <v>682</v>
      </c>
    </row>
    <row r="511" spans="3:4" hidden="1" x14ac:dyDescent="0.35">
      <c r="C511">
        <v>24044</v>
      </c>
      <c r="D511" t="s">
        <v>683</v>
      </c>
    </row>
    <row r="512" spans="3:4" hidden="1" x14ac:dyDescent="0.35">
      <c r="C512">
        <v>24046</v>
      </c>
      <c r="D512" t="s">
        <v>684</v>
      </c>
    </row>
    <row r="513" spans="3:4" hidden="1" x14ac:dyDescent="0.35">
      <c r="C513">
        <v>24047</v>
      </c>
      <c r="D513" t="s">
        <v>685</v>
      </c>
    </row>
    <row r="514" spans="3:4" hidden="1" x14ac:dyDescent="0.35">
      <c r="C514">
        <v>24048</v>
      </c>
      <c r="D514" t="s">
        <v>686</v>
      </c>
    </row>
    <row r="515" spans="3:4" hidden="1" x14ac:dyDescent="0.35">
      <c r="C515">
        <v>24049</v>
      </c>
      <c r="D515" t="s">
        <v>687</v>
      </c>
    </row>
    <row r="516" spans="3:4" hidden="1" x14ac:dyDescent="0.35">
      <c r="C516">
        <v>24050</v>
      </c>
      <c r="D516" t="s">
        <v>688</v>
      </c>
    </row>
    <row r="517" spans="3:4" hidden="1" x14ac:dyDescent="0.35">
      <c r="C517">
        <v>24051</v>
      </c>
      <c r="D517" t="s">
        <v>689</v>
      </c>
    </row>
    <row r="518" spans="3:4" hidden="1" x14ac:dyDescent="0.35">
      <c r="C518">
        <v>24053</v>
      </c>
      <c r="D518" t="s">
        <v>690</v>
      </c>
    </row>
    <row r="519" spans="3:4" hidden="1" x14ac:dyDescent="0.35">
      <c r="C519">
        <v>24054</v>
      </c>
      <c r="D519" t="s">
        <v>691</v>
      </c>
    </row>
    <row r="520" spans="3:4" hidden="1" x14ac:dyDescent="0.35">
      <c r="C520">
        <v>24056</v>
      </c>
      <c r="D520" t="s">
        <v>692</v>
      </c>
    </row>
    <row r="521" spans="3:4" hidden="1" x14ac:dyDescent="0.35">
      <c r="C521">
        <v>24057</v>
      </c>
      <c r="D521" t="s">
        <v>693</v>
      </c>
    </row>
    <row r="522" spans="3:4" hidden="1" x14ac:dyDescent="0.35">
      <c r="C522">
        <v>24058</v>
      </c>
      <c r="D522" t="s">
        <v>694</v>
      </c>
    </row>
    <row r="523" spans="3:4" hidden="1" x14ac:dyDescent="0.35">
      <c r="C523">
        <v>24059</v>
      </c>
      <c r="D523" t="s">
        <v>695</v>
      </c>
    </row>
    <row r="524" spans="3:4" hidden="1" x14ac:dyDescent="0.35">
      <c r="C524">
        <v>24060</v>
      </c>
      <c r="D524" t="s">
        <v>696</v>
      </c>
    </row>
    <row r="525" spans="3:4" hidden="1" x14ac:dyDescent="0.35">
      <c r="C525">
        <v>24062</v>
      </c>
      <c r="D525" t="s">
        <v>697</v>
      </c>
    </row>
    <row r="526" spans="3:4" hidden="1" x14ac:dyDescent="0.35">
      <c r="C526">
        <v>24063</v>
      </c>
      <c r="D526" t="s">
        <v>698</v>
      </c>
    </row>
    <row r="527" spans="3:4" hidden="1" x14ac:dyDescent="0.35">
      <c r="C527">
        <v>24065</v>
      </c>
      <c r="D527" t="s">
        <v>699</v>
      </c>
    </row>
    <row r="528" spans="3:4" hidden="1" x14ac:dyDescent="0.35">
      <c r="C528">
        <v>24077</v>
      </c>
      <c r="D528" t="s">
        <v>700</v>
      </c>
    </row>
    <row r="529" spans="3:4" hidden="1" x14ac:dyDescent="0.35">
      <c r="C529">
        <v>24078</v>
      </c>
      <c r="D529" t="s">
        <v>701</v>
      </c>
    </row>
    <row r="530" spans="3:4" hidden="1" x14ac:dyDescent="0.35">
      <c r="C530">
        <v>24079</v>
      </c>
      <c r="D530" t="s">
        <v>702</v>
      </c>
    </row>
    <row r="531" spans="3:4" hidden="1" x14ac:dyDescent="0.35">
      <c r="C531">
        <v>24080</v>
      </c>
      <c r="D531" t="s">
        <v>703</v>
      </c>
    </row>
    <row r="532" spans="3:4" hidden="1" x14ac:dyDescent="0.35">
      <c r="C532">
        <v>24084</v>
      </c>
      <c r="D532" t="s">
        <v>704</v>
      </c>
    </row>
    <row r="533" spans="3:4" hidden="1" x14ac:dyDescent="0.35">
      <c r="C533">
        <v>24094</v>
      </c>
      <c r="D533" t="s">
        <v>705</v>
      </c>
    </row>
    <row r="534" spans="3:4" hidden="1" x14ac:dyDescent="0.35">
      <c r="C534">
        <v>24095</v>
      </c>
      <c r="D534" t="s">
        <v>706</v>
      </c>
    </row>
    <row r="535" spans="3:4" hidden="1" x14ac:dyDescent="0.35">
      <c r="C535">
        <v>24096</v>
      </c>
      <c r="D535" t="s">
        <v>707</v>
      </c>
    </row>
    <row r="536" spans="3:4" hidden="1" x14ac:dyDescent="0.35">
      <c r="C536">
        <v>24097</v>
      </c>
      <c r="D536" t="s">
        <v>708</v>
      </c>
    </row>
    <row r="537" spans="3:4" hidden="1" x14ac:dyDescent="0.35">
      <c r="C537">
        <v>24098</v>
      </c>
      <c r="D537" t="s">
        <v>709</v>
      </c>
    </row>
    <row r="538" spans="3:4" hidden="1" x14ac:dyDescent="0.35">
      <c r="C538">
        <v>24099</v>
      </c>
      <c r="D538" t="s">
        <v>710</v>
      </c>
    </row>
    <row r="539" spans="3:4" hidden="1" x14ac:dyDescent="0.35">
      <c r="C539">
        <v>24100</v>
      </c>
      <c r="D539" t="s">
        <v>711</v>
      </c>
    </row>
    <row r="540" spans="3:4" hidden="1" x14ac:dyDescent="0.35">
      <c r="C540">
        <v>24101</v>
      </c>
      <c r="D540" t="s">
        <v>712</v>
      </c>
    </row>
    <row r="541" spans="3:4" hidden="1" x14ac:dyDescent="0.35">
      <c r="C541">
        <v>24102</v>
      </c>
      <c r="D541" t="s">
        <v>713</v>
      </c>
    </row>
    <row r="542" spans="3:4" hidden="1" x14ac:dyDescent="0.35">
      <c r="C542">
        <v>24103</v>
      </c>
      <c r="D542" t="s">
        <v>714</v>
      </c>
    </row>
    <row r="543" spans="3:4" hidden="1" x14ac:dyDescent="0.35">
      <c r="C543">
        <v>24104</v>
      </c>
      <c r="D543" t="s">
        <v>715</v>
      </c>
    </row>
    <row r="544" spans="3:4" hidden="1" x14ac:dyDescent="0.35">
      <c r="C544">
        <v>24105</v>
      </c>
      <c r="D544" t="s">
        <v>716</v>
      </c>
    </row>
    <row r="545" spans="3:4" hidden="1" x14ac:dyDescent="0.35">
      <c r="C545">
        <v>24106</v>
      </c>
      <c r="D545" t="s">
        <v>717</v>
      </c>
    </row>
    <row r="546" spans="3:4" hidden="1" x14ac:dyDescent="0.35">
      <c r="C546">
        <v>24107</v>
      </c>
      <c r="D546" t="s">
        <v>718</v>
      </c>
    </row>
    <row r="547" spans="3:4" hidden="1" x14ac:dyDescent="0.35">
      <c r="C547">
        <v>24108</v>
      </c>
      <c r="D547" t="s">
        <v>719</v>
      </c>
    </row>
    <row r="548" spans="3:4" hidden="1" x14ac:dyDescent="0.35">
      <c r="C548">
        <v>24109</v>
      </c>
      <c r="D548" t="s">
        <v>720</v>
      </c>
    </row>
    <row r="549" spans="3:4" hidden="1" x14ac:dyDescent="0.35">
      <c r="C549">
        <v>24110</v>
      </c>
      <c r="D549" t="s">
        <v>721</v>
      </c>
    </row>
    <row r="550" spans="3:4" hidden="1" x14ac:dyDescent="0.35">
      <c r="C550">
        <v>24111</v>
      </c>
      <c r="D550" t="s">
        <v>722</v>
      </c>
    </row>
    <row r="551" spans="3:4" hidden="1" x14ac:dyDescent="0.35">
      <c r="C551">
        <v>24112</v>
      </c>
      <c r="D551" t="s">
        <v>723</v>
      </c>
    </row>
    <row r="552" spans="3:4" hidden="1" x14ac:dyDescent="0.35">
      <c r="C552">
        <v>24113</v>
      </c>
      <c r="D552" t="s">
        <v>724</v>
      </c>
    </row>
    <row r="553" spans="3:4" hidden="1" x14ac:dyDescent="0.35">
      <c r="C553">
        <v>24114</v>
      </c>
      <c r="D553" t="s">
        <v>725</v>
      </c>
    </row>
    <row r="554" spans="3:4" hidden="1" x14ac:dyDescent="0.35">
      <c r="C554">
        <v>24115</v>
      </c>
      <c r="D554" t="s">
        <v>726</v>
      </c>
    </row>
    <row r="555" spans="3:4" hidden="1" x14ac:dyDescent="0.35">
      <c r="C555">
        <v>24116</v>
      </c>
      <c r="D555" t="s">
        <v>727</v>
      </c>
    </row>
    <row r="556" spans="3:4" hidden="1" x14ac:dyDescent="0.35">
      <c r="C556">
        <v>24117</v>
      </c>
      <c r="D556" t="s">
        <v>728</v>
      </c>
    </row>
    <row r="557" spans="3:4" hidden="1" x14ac:dyDescent="0.35">
      <c r="C557">
        <v>24118</v>
      </c>
      <c r="D557" t="s">
        <v>729</v>
      </c>
    </row>
    <row r="558" spans="3:4" hidden="1" x14ac:dyDescent="0.35">
      <c r="C558">
        <v>24119</v>
      </c>
      <c r="D558" t="s">
        <v>730</v>
      </c>
    </row>
    <row r="559" spans="3:4" hidden="1" x14ac:dyDescent="0.35">
      <c r="C559">
        <v>24120</v>
      </c>
      <c r="D559" t="s">
        <v>731</v>
      </c>
    </row>
    <row r="560" spans="3:4" hidden="1" x14ac:dyDescent="0.35">
      <c r="C560">
        <v>24121</v>
      </c>
      <c r="D560" t="s">
        <v>732</v>
      </c>
    </row>
    <row r="561" spans="3:4" hidden="1" x14ac:dyDescent="0.35">
      <c r="C561">
        <v>24122</v>
      </c>
      <c r="D561" t="s">
        <v>733</v>
      </c>
    </row>
    <row r="562" spans="3:4" hidden="1" x14ac:dyDescent="0.35">
      <c r="C562">
        <v>24123</v>
      </c>
      <c r="D562" t="s">
        <v>734</v>
      </c>
    </row>
    <row r="563" spans="3:4" hidden="1" x14ac:dyDescent="0.35">
      <c r="C563">
        <v>24124</v>
      </c>
      <c r="D563" t="s">
        <v>735</v>
      </c>
    </row>
    <row r="564" spans="3:4" hidden="1" x14ac:dyDescent="0.35">
      <c r="C564">
        <v>24125</v>
      </c>
      <c r="D564" t="s">
        <v>736</v>
      </c>
    </row>
    <row r="565" spans="3:4" hidden="1" x14ac:dyDescent="0.35">
      <c r="C565">
        <v>24126</v>
      </c>
      <c r="D565" t="s">
        <v>737</v>
      </c>
    </row>
    <row r="566" spans="3:4" hidden="1" x14ac:dyDescent="0.35">
      <c r="C566">
        <v>24127</v>
      </c>
      <c r="D566" t="s">
        <v>738</v>
      </c>
    </row>
    <row r="567" spans="3:4" hidden="1" x14ac:dyDescent="0.35">
      <c r="C567">
        <v>24128</v>
      </c>
      <c r="D567" t="s">
        <v>739</v>
      </c>
    </row>
    <row r="568" spans="3:4" hidden="1" x14ac:dyDescent="0.35">
      <c r="C568">
        <v>24129</v>
      </c>
      <c r="D568" t="s">
        <v>740</v>
      </c>
    </row>
    <row r="569" spans="3:4" hidden="1" x14ac:dyDescent="0.35">
      <c r="C569">
        <v>24130</v>
      </c>
      <c r="D569" t="s">
        <v>741</v>
      </c>
    </row>
    <row r="570" spans="3:4" hidden="1" x14ac:dyDescent="0.35">
      <c r="C570">
        <v>24131</v>
      </c>
      <c r="D570" t="s">
        <v>742</v>
      </c>
    </row>
    <row r="571" spans="3:4" hidden="1" x14ac:dyDescent="0.35">
      <c r="C571">
        <v>24132</v>
      </c>
      <c r="D571" t="s">
        <v>743</v>
      </c>
    </row>
    <row r="572" spans="3:4" hidden="1" x14ac:dyDescent="0.35">
      <c r="C572">
        <v>24133</v>
      </c>
      <c r="D572" t="s">
        <v>744</v>
      </c>
    </row>
    <row r="573" spans="3:4" hidden="1" x14ac:dyDescent="0.35">
      <c r="C573">
        <v>24134</v>
      </c>
      <c r="D573" t="s">
        <v>745</v>
      </c>
    </row>
    <row r="574" spans="3:4" hidden="1" x14ac:dyDescent="0.35">
      <c r="C574">
        <v>24135</v>
      </c>
      <c r="D574" t="s">
        <v>746</v>
      </c>
    </row>
    <row r="575" spans="3:4" hidden="1" x14ac:dyDescent="0.35">
      <c r="C575">
        <v>24136</v>
      </c>
      <c r="D575" t="s">
        <v>747</v>
      </c>
    </row>
    <row r="576" spans="3:4" hidden="1" x14ac:dyDescent="0.35">
      <c r="C576">
        <v>24137</v>
      </c>
      <c r="D576" t="s">
        <v>748</v>
      </c>
    </row>
    <row r="577" spans="3:4" hidden="1" x14ac:dyDescent="0.35">
      <c r="C577">
        <v>24138</v>
      </c>
      <c r="D577" t="s">
        <v>749</v>
      </c>
    </row>
    <row r="578" spans="3:4" hidden="1" x14ac:dyDescent="0.35">
      <c r="C578">
        <v>24139</v>
      </c>
      <c r="D578" t="s">
        <v>750</v>
      </c>
    </row>
    <row r="579" spans="3:4" hidden="1" x14ac:dyDescent="0.35">
      <c r="C579">
        <v>24147</v>
      </c>
      <c r="D579" t="s">
        <v>751</v>
      </c>
    </row>
    <row r="580" spans="3:4" hidden="1" x14ac:dyDescent="0.35">
      <c r="C580">
        <v>24167</v>
      </c>
      <c r="D580" t="s">
        <v>787</v>
      </c>
    </row>
    <row r="581" spans="3:4" hidden="1" x14ac:dyDescent="0.35">
      <c r="C581">
        <v>24225</v>
      </c>
      <c r="D581" t="s">
        <v>752</v>
      </c>
    </row>
    <row r="582" spans="3:4" hidden="1" x14ac:dyDescent="0.35">
      <c r="C582">
        <v>24226</v>
      </c>
      <c r="D582" t="s">
        <v>753</v>
      </c>
    </row>
    <row r="583" spans="3:4" hidden="1" x14ac:dyDescent="0.35">
      <c r="C583">
        <v>24227</v>
      </c>
      <c r="D583" t="s">
        <v>754</v>
      </c>
    </row>
    <row r="584" spans="3:4" hidden="1" x14ac:dyDescent="0.35">
      <c r="C584">
        <v>24228</v>
      </c>
      <c r="D584" t="s">
        <v>755</v>
      </c>
    </row>
    <row r="585" spans="3:4" hidden="1" x14ac:dyDescent="0.35">
      <c r="C585">
        <v>24229</v>
      </c>
      <c r="D585" t="s">
        <v>756</v>
      </c>
    </row>
    <row r="586" spans="3:4" hidden="1" x14ac:dyDescent="0.35">
      <c r="C586">
        <v>24230</v>
      </c>
      <c r="D586" t="s">
        <v>757</v>
      </c>
    </row>
    <row r="587" spans="3:4" hidden="1" x14ac:dyDescent="0.35">
      <c r="C587">
        <v>24231</v>
      </c>
      <c r="D587" t="s">
        <v>758</v>
      </c>
    </row>
    <row r="588" spans="3:4" hidden="1" x14ac:dyDescent="0.35">
      <c r="C588">
        <v>24232</v>
      </c>
      <c r="D588" t="s">
        <v>759</v>
      </c>
    </row>
    <row r="589" spans="3:4" hidden="1" x14ac:dyDescent="0.35">
      <c r="C589">
        <v>24233</v>
      </c>
      <c r="D589" t="s">
        <v>760</v>
      </c>
    </row>
    <row r="590" spans="3:4" hidden="1" x14ac:dyDescent="0.35">
      <c r="C590">
        <v>24234</v>
      </c>
      <c r="D590" t="s">
        <v>761</v>
      </c>
    </row>
    <row r="591" spans="3:4" hidden="1" x14ac:dyDescent="0.35">
      <c r="C591">
        <v>24235</v>
      </c>
      <c r="D591" t="s">
        <v>762</v>
      </c>
    </row>
    <row r="592" spans="3:4" hidden="1" x14ac:dyDescent="0.35">
      <c r="C592">
        <v>24236</v>
      </c>
      <c r="D592" t="s">
        <v>763</v>
      </c>
    </row>
    <row r="593" spans="3:4" hidden="1" x14ac:dyDescent="0.35">
      <c r="C593">
        <v>24237</v>
      </c>
      <c r="D593" t="s">
        <v>764</v>
      </c>
    </row>
    <row r="594" spans="3:4" hidden="1" x14ac:dyDescent="0.35">
      <c r="C594">
        <v>24238</v>
      </c>
      <c r="D594" t="s">
        <v>765</v>
      </c>
    </row>
    <row r="595" spans="3:4" hidden="1" x14ac:dyDescent="0.35">
      <c r="C595">
        <v>24239</v>
      </c>
      <c r="D595" t="s">
        <v>766</v>
      </c>
    </row>
    <row r="596" spans="3:4" hidden="1" x14ac:dyDescent="0.35">
      <c r="C596">
        <v>24240</v>
      </c>
      <c r="D596" t="s">
        <v>767</v>
      </c>
    </row>
    <row r="597" spans="3:4" hidden="1" x14ac:dyDescent="0.35">
      <c r="C597">
        <v>24241</v>
      </c>
      <c r="D597" t="s">
        <v>768</v>
      </c>
    </row>
    <row r="598" spans="3:4" hidden="1" x14ac:dyDescent="0.35">
      <c r="C598">
        <v>24242</v>
      </c>
      <c r="D598" t="s">
        <v>769</v>
      </c>
    </row>
    <row r="599" spans="3:4" hidden="1" x14ac:dyDescent="0.35">
      <c r="C599">
        <v>24243</v>
      </c>
      <c r="D599" t="s">
        <v>770</v>
      </c>
    </row>
    <row r="600" spans="3:4" hidden="1" x14ac:dyDescent="0.35">
      <c r="C600">
        <v>24244</v>
      </c>
      <c r="D600" t="s">
        <v>810</v>
      </c>
    </row>
    <row r="601" spans="3:4" hidden="1" x14ac:dyDescent="0.35">
      <c r="C601">
        <v>24245</v>
      </c>
      <c r="D601" t="s">
        <v>771</v>
      </c>
    </row>
    <row r="602" spans="3:4" hidden="1" x14ac:dyDescent="0.35">
      <c r="C602">
        <v>24246</v>
      </c>
      <c r="D602" t="s">
        <v>772</v>
      </c>
    </row>
    <row r="603" spans="3:4" hidden="1" x14ac:dyDescent="0.35">
      <c r="C603">
        <v>24247</v>
      </c>
      <c r="D603" t="s">
        <v>773</v>
      </c>
    </row>
    <row r="604" spans="3:4" hidden="1" x14ac:dyDescent="0.35">
      <c r="C604">
        <v>24248</v>
      </c>
      <c r="D604" t="s">
        <v>811</v>
      </c>
    </row>
    <row r="605" spans="3:4" hidden="1" x14ac:dyDescent="0.35">
      <c r="C605">
        <v>24249</v>
      </c>
      <c r="D605" t="s">
        <v>774</v>
      </c>
    </row>
    <row r="606" spans="3:4" hidden="1" x14ac:dyDescent="0.35">
      <c r="C606">
        <v>24250</v>
      </c>
      <c r="D606" t="s">
        <v>775</v>
      </c>
    </row>
    <row r="607" spans="3:4" hidden="1" x14ac:dyDescent="0.35">
      <c r="C607">
        <v>24251</v>
      </c>
      <c r="D607" t="s">
        <v>776</v>
      </c>
    </row>
    <row r="608" spans="3:4" hidden="1" x14ac:dyDescent="0.35">
      <c r="C608">
        <v>24252</v>
      </c>
      <c r="D608" t="s">
        <v>777</v>
      </c>
    </row>
    <row r="609" spans="3:4" hidden="1" x14ac:dyDescent="0.35">
      <c r="C609">
        <v>24253</v>
      </c>
      <c r="D609" t="s">
        <v>779</v>
      </c>
    </row>
    <row r="610" spans="3:4" hidden="1" x14ac:dyDescent="0.35">
      <c r="C610">
        <v>24254</v>
      </c>
      <c r="D610" t="s">
        <v>778</v>
      </c>
    </row>
    <row r="611" spans="3:4" hidden="1" x14ac:dyDescent="0.35">
      <c r="C611">
        <v>24255</v>
      </c>
      <c r="D611" t="s">
        <v>780</v>
      </c>
    </row>
    <row r="612" spans="3:4" hidden="1" x14ac:dyDescent="0.35">
      <c r="C612">
        <v>24256</v>
      </c>
      <c r="D612" t="s">
        <v>812</v>
      </c>
    </row>
    <row r="613" spans="3:4" hidden="1" x14ac:dyDescent="0.35">
      <c r="C613">
        <v>24257</v>
      </c>
      <c r="D613" t="s">
        <v>781</v>
      </c>
    </row>
    <row r="614" spans="3:4" hidden="1" x14ac:dyDescent="0.35">
      <c r="C614">
        <v>24258</v>
      </c>
      <c r="D614" t="s">
        <v>782</v>
      </c>
    </row>
    <row r="615" spans="3:4" hidden="1" x14ac:dyDescent="0.35">
      <c r="C615">
        <v>24259</v>
      </c>
      <c r="D615" t="s">
        <v>783</v>
      </c>
    </row>
    <row r="616" spans="3:4" hidden="1" x14ac:dyDescent="0.35">
      <c r="C616">
        <v>24260</v>
      </c>
      <c r="D616" t="s">
        <v>784</v>
      </c>
    </row>
    <row r="617" spans="3:4" hidden="1" x14ac:dyDescent="0.35">
      <c r="C617">
        <v>24261</v>
      </c>
      <c r="D617" t="s">
        <v>785</v>
      </c>
    </row>
    <row r="618" spans="3:4" hidden="1" x14ac:dyDescent="0.35">
      <c r="C618">
        <v>999999</v>
      </c>
      <c r="D618" t="s">
        <v>788</v>
      </c>
    </row>
    <row r="619" spans="3:4" hidden="1" x14ac:dyDescent="0.35"/>
    <row r="620" spans="3:4" hidden="1" x14ac:dyDescent="0.35"/>
    <row r="621" spans="3:4" hidden="1" x14ac:dyDescent="0.35"/>
    <row r="622" spans="3:4" hidden="1" x14ac:dyDescent="0.35"/>
    <row r="623" spans="3:4" hidden="1" x14ac:dyDescent="0.35"/>
    <row r="624" spans="3:4" hidden="1" x14ac:dyDescent="0.35"/>
    <row r="625" hidden="1" x14ac:dyDescent="0.35"/>
    <row r="626" hidden="1" x14ac:dyDescent="0.35"/>
    <row r="627" hidden="1" x14ac:dyDescent="0.35"/>
    <row r="628" hidden="1" x14ac:dyDescent="0.35"/>
    <row r="629" hidden="1" x14ac:dyDescent="0.35"/>
    <row r="630" hidden="1" x14ac:dyDescent="0.35"/>
    <row r="631" hidden="1" x14ac:dyDescent="0.35"/>
    <row r="632" hidden="1" x14ac:dyDescent="0.35"/>
    <row r="633" hidden="1" x14ac:dyDescent="0.35"/>
    <row r="634" hidden="1" x14ac:dyDescent="0.35"/>
    <row r="635" hidden="1" x14ac:dyDescent="0.35"/>
    <row r="636" hidden="1" x14ac:dyDescent="0.35"/>
    <row r="637" hidden="1" x14ac:dyDescent="0.35"/>
    <row r="638" hidden="1" x14ac:dyDescent="0.35"/>
    <row r="639" hidden="1" x14ac:dyDescent="0.35"/>
    <row r="640" hidden="1" x14ac:dyDescent="0.35"/>
    <row r="641" hidden="1" x14ac:dyDescent="0.35"/>
    <row r="642" hidden="1" x14ac:dyDescent="0.35"/>
    <row r="643" hidden="1" x14ac:dyDescent="0.35"/>
    <row r="644" hidden="1" x14ac:dyDescent="0.35"/>
    <row r="645" hidden="1" x14ac:dyDescent="0.35"/>
    <row r="646" hidden="1" x14ac:dyDescent="0.35"/>
    <row r="647" hidden="1" x14ac:dyDescent="0.35"/>
    <row r="648" hidden="1" x14ac:dyDescent="0.35"/>
    <row r="649" hidden="1" x14ac:dyDescent="0.35"/>
    <row r="650" hidden="1" x14ac:dyDescent="0.35"/>
    <row r="651" hidden="1" x14ac:dyDescent="0.35"/>
    <row r="652" hidden="1" x14ac:dyDescent="0.35"/>
    <row r="653" hidden="1" x14ac:dyDescent="0.35"/>
    <row r="654" hidden="1" x14ac:dyDescent="0.35"/>
    <row r="655" hidden="1" x14ac:dyDescent="0.35"/>
    <row r="656" hidden="1" x14ac:dyDescent="0.35"/>
    <row r="657" hidden="1" x14ac:dyDescent="0.35"/>
    <row r="658" hidden="1" x14ac:dyDescent="0.35"/>
    <row r="659" hidden="1" x14ac:dyDescent="0.35"/>
    <row r="660" hidden="1" x14ac:dyDescent="0.35"/>
    <row r="661" hidden="1" x14ac:dyDescent="0.35"/>
    <row r="662" hidden="1" x14ac:dyDescent="0.35"/>
    <row r="663" hidden="1" x14ac:dyDescent="0.35"/>
    <row r="664" hidden="1" x14ac:dyDescent="0.35"/>
    <row r="665" hidden="1" x14ac:dyDescent="0.35"/>
    <row r="666" hidden="1" x14ac:dyDescent="0.35"/>
    <row r="667" hidden="1" x14ac:dyDescent="0.35"/>
    <row r="668" hidden="1" x14ac:dyDescent="0.35"/>
    <row r="669" hidden="1" x14ac:dyDescent="0.35"/>
    <row r="670" hidden="1" x14ac:dyDescent="0.35"/>
    <row r="671" hidden="1" x14ac:dyDescent="0.35"/>
    <row r="672" hidden="1" x14ac:dyDescent="0.35"/>
    <row r="673" hidden="1" x14ac:dyDescent="0.35"/>
    <row r="674" hidden="1" x14ac:dyDescent="0.35"/>
    <row r="675" hidden="1" x14ac:dyDescent="0.35"/>
    <row r="676" hidden="1" x14ac:dyDescent="0.35"/>
    <row r="677" hidden="1" x14ac:dyDescent="0.35"/>
    <row r="678" hidden="1" x14ac:dyDescent="0.35"/>
    <row r="679" hidden="1" x14ac:dyDescent="0.35"/>
    <row r="680" hidden="1" x14ac:dyDescent="0.35"/>
    <row r="681" hidden="1" x14ac:dyDescent="0.35"/>
    <row r="682" hidden="1" x14ac:dyDescent="0.35"/>
    <row r="683" hidden="1" x14ac:dyDescent="0.35"/>
    <row r="684" hidden="1" x14ac:dyDescent="0.35"/>
    <row r="685" hidden="1" x14ac:dyDescent="0.35"/>
    <row r="686" hidden="1" x14ac:dyDescent="0.35"/>
    <row r="687" hidden="1" x14ac:dyDescent="0.35"/>
    <row r="688" hidden="1" x14ac:dyDescent="0.35"/>
    <row r="689" hidden="1" x14ac:dyDescent="0.35"/>
    <row r="690" hidden="1" x14ac:dyDescent="0.35"/>
    <row r="691" hidden="1" x14ac:dyDescent="0.35"/>
    <row r="692" hidden="1" x14ac:dyDescent="0.35"/>
    <row r="693" hidden="1" x14ac:dyDescent="0.35"/>
    <row r="694" hidden="1" x14ac:dyDescent="0.35"/>
    <row r="695" hidden="1" x14ac:dyDescent="0.35"/>
    <row r="696" hidden="1" x14ac:dyDescent="0.35"/>
    <row r="697" hidden="1" x14ac:dyDescent="0.35"/>
    <row r="698" hidden="1" x14ac:dyDescent="0.35"/>
    <row r="699" hidden="1" x14ac:dyDescent="0.35"/>
    <row r="700" hidden="1" x14ac:dyDescent="0.35"/>
    <row r="1201" hidden="1" x14ac:dyDescent="0.35"/>
    <row r="1202" hidden="1" x14ac:dyDescent="0.35"/>
    <row r="1203" hidden="1" x14ac:dyDescent="0.35"/>
    <row r="1204" hidden="1" x14ac:dyDescent="0.35"/>
    <row r="1205" hidden="1" x14ac:dyDescent="0.35"/>
    <row r="1206" hidden="1" x14ac:dyDescent="0.35"/>
    <row r="1207" hidden="1" x14ac:dyDescent="0.35"/>
    <row r="1208" hidden="1" x14ac:dyDescent="0.35"/>
    <row r="1209" hidden="1" x14ac:dyDescent="0.35"/>
    <row r="1210" hidden="1" x14ac:dyDescent="0.35"/>
    <row r="1211" hidden="1" x14ac:dyDescent="0.35"/>
    <row r="1212" hidden="1" x14ac:dyDescent="0.35"/>
    <row r="1213" hidden="1" x14ac:dyDescent="0.35"/>
    <row r="1214" hidden="1" x14ac:dyDescent="0.35"/>
    <row r="1215" hidden="1" x14ac:dyDescent="0.35"/>
    <row r="1216" hidden="1" x14ac:dyDescent="0.35"/>
    <row r="1217" hidden="1" x14ac:dyDescent="0.35"/>
    <row r="1218" hidden="1" x14ac:dyDescent="0.35"/>
    <row r="1219" hidden="1" x14ac:dyDescent="0.35"/>
    <row r="1220" hidden="1" x14ac:dyDescent="0.35"/>
    <row r="1221" hidden="1" x14ac:dyDescent="0.35"/>
    <row r="1222" hidden="1" x14ac:dyDescent="0.35"/>
    <row r="1223" hidden="1" x14ac:dyDescent="0.35"/>
    <row r="1224" hidden="1" x14ac:dyDescent="0.35"/>
    <row r="1225" hidden="1" x14ac:dyDescent="0.35"/>
    <row r="1226" hidden="1" x14ac:dyDescent="0.35"/>
    <row r="1227" hidden="1" x14ac:dyDescent="0.35"/>
    <row r="1228" hidden="1" x14ac:dyDescent="0.35"/>
    <row r="1229" hidden="1" x14ac:dyDescent="0.35"/>
    <row r="1230" hidden="1" x14ac:dyDescent="0.35"/>
    <row r="1231" hidden="1" x14ac:dyDescent="0.35"/>
    <row r="1232" hidden="1" x14ac:dyDescent="0.35"/>
    <row r="1233" hidden="1" x14ac:dyDescent="0.35"/>
    <row r="1234" hidden="1" x14ac:dyDescent="0.35"/>
    <row r="1235" hidden="1" x14ac:dyDescent="0.35"/>
    <row r="1236" hidden="1" x14ac:dyDescent="0.35"/>
    <row r="1237" hidden="1" x14ac:dyDescent="0.35"/>
    <row r="1238" hidden="1" x14ac:dyDescent="0.35"/>
    <row r="1239" hidden="1" x14ac:dyDescent="0.35"/>
    <row r="1240" hidden="1" x14ac:dyDescent="0.35"/>
    <row r="1241" hidden="1" x14ac:dyDescent="0.35"/>
    <row r="1242" hidden="1" x14ac:dyDescent="0.35"/>
    <row r="1243" hidden="1" x14ac:dyDescent="0.35"/>
    <row r="1244" hidden="1" x14ac:dyDescent="0.35"/>
    <row r="1245" hidden="1" x14ac:dyDescent="0.35"/>
    <row r="1246" hidden="1" x14ac:dyDescent="0.35"/>
    <row r="1247" hidden="1" x14ac:dyDescent="0.35"/>
    <row r="1248" hidden="1" x14ac:dyDescent="0.35"/>
    <row r="1249" hidden="1" x14ac:dyDescent="0.35"/>
    <row r="1250" hidden="1" x14ac:dyDescent="0.35"/>
    <row r="1251" hidden="1" x14ac:dyDescent="0.35"/>
  </sheetData>
  <mergeCells count="1">
    <mergeCell ref="F33:X41"/>
  </mergeCells>
  <phoneticPr fontId="26" type="noConversion"/>
  <dataValidations count="3">
    <dataValidation type="list" allowBlank="1" showInputMessage="1" showErrorMessage="1" errorTitle="Registrant Name" error="You have entered your Registrant Name incorrectly_x000a_" sqref="E11" xr:uid="{91B9CA6A-9C7D-49CB-80DC-196DF3EDD39A}">
      <formula1>$A$80:$A$300</formula1>
    </dataValidation>
    <dataValidation type="list" allowBlank="1" showInputMessage="1" showErrorMessage="1" errorTitle="Mitigated Units" error="NYC mitigated units must enter Y._x000a_All other units must enter N." sqref="C17:C24" xr:uid="{0188FA75-001B-4746-BAF8-60D35411FD31}">
      <formula1>$B$80:$B$81</formula1>
    </dataValidation>
    <dataValidation type="list" allowBlank="1" showInputMessage="1" showErrorMessage="1" errorTitle="PTID Number" error="Please enter the PTID number provided in the list." sqref="D17:D24" xr:uid="{FEFD1115-AB4D-45D5-9804-A2E7C2DD00BF}">
      <formula1>$C$80:$C$700</formula1>
    </dataValidation>
  </dataValidations>
  <pageMargins left="0.75" right="0.75" top="1" bottom="1" header="0.5" footer="0.5"/>
  <pageSetup scale="65" orientation="landscape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9219" r:id="rId4" name="CommandButton3">
          <controlPr autoLine="0" r:id="rId5">
            <anchor moveWithCells="1">
              <from>
                <xdr:col>12</xdr:col>
                <xdr:colOff>481013</xdr:colOff>
                <xdr:row>9</xdr:row>
                <xdr:rowOff>157163</xdr:rowOff>
              </from>
              <to>
                <xdr:col>23</xdr:col>
                <xdr:colOff>271463</xdr:colOff>
                <xdr:row>11</xdr:row>
                <xdr:rowOff>119063</xdr:rowOff>
              </to>
            </anchor>
          </controlPr>
        </control>
      </mc:Choice>
      <mc:Fallback>
        <control shapeId="9219" r:id="rId4" name="CommandButton3"/>
      </mc:Fallback>
    </mc:AlternateContent>
    <mc:AlternateContent xmlns:mc="http://schemas.openxmlformats.org/markup-compatibility/2006">
      <mc:Choice Requires="x14">
        <control shapeId="9218" r:id="rId6" name="CommandButton2">
          <controlPr defaultSize="0" autoLine="0" r:id="rId7">
            <anchor moveWithCells="1">
              <from>
                <xdr:col>10</xdr:col>
                <xdr:colOff>533400</xdr:colOff>
                <xdr:row>9</xdr:row>
                <xdr:rowOff>119063</xdr:rowOff>
              </from>
              <to>
                <xdr:col>12</xdr:col>
                <xdr:colOff>219075</xdr:colOff>
                <xdr:row>12</xdr:row>
                <xdr:rowOff>66675</xdr:rowOff>
              </to>
            </anchor>
          </controlPr>
        </control>
      </mc:Choice>
      <mc:Fallback>
        <control shapeId="9218" r:id="rId6" name="CommandButton2"/>
      </mc:Fallback>
    </mc:AlternateContent>
    <mc:AlternateContent xmlns:mc="http://schemas.openxmlformats.org/markup-compatibility/2006">
      <mc:Choice Requires="x14">
        <control shapeId="9217" r:id="rId8" name="CommandButton1">
          <controlPr defaultSize="0" autoLine="0" r:id="rId9">
            <anchor moveWithCells="1">
              <from>
                <xdr:col>9</xdr:col>
                <xdr:colOff>0</xdr:colOff>
                <xdr:row>9</xdr:row>
                <xdr:rowOff>109538</xdr:rowOff>
              </from>
              <to>
                <xdr:col>10</xdr:col>
                <xdr:colOff>304800</xdr:colOff>
                <xdr:row>12</xdr:row>
                <xdr:rowOff>57150</xdr:rowOff>
              </to>
            </anchor>
          </controlPr>
        </control>
      </mc:Choice>
      <mc:Fallback>
        <control shapeId="9217" r:id="rId8" name="CommandButton1"/>
      </mc:Fallback>
    </mc:AlternateContent>
  </control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04B4B-E370-4ACF-9713-B4A421946B2E}">
  <sheetPr codeName="Sheet10"/>
  <dimension ref="A11:I39"/>
  <sheetViews>
    <sheetView showGridLines="0" showOutlineSymbols="0" workbookViewId="0">
      <selection activeCell="I4" sqref="I4"/>
    </sheetView>
  </sheetViews>
  <sheetFormatPr defaultRowHeight="12.75" x14ac:dyDescent="0.35"/>
  <cols>
    <col min="1" max="1" width="6.3984375" style="67" bestFit="1" customWidth="1"/>
    <col min="2" max="2" width="6.1328125" style="67" bestFit="1" customWidth="1"/>
    <col min="3" max="3" width="19.3984375" style="67" customWidth="1"/>
    <col min="4" max="4" width="13.73046875" style="67" bestFit="1" customWidth="1"/>
    <col min="5" max="5" width="4.86328125" style="67" bestFit="1" customWidth="1"/>
    <col min="6" max="6" width="10.3984375" style="67" customWidth="1"/>
    <col min="7" max="7" width="10.59765625" style="67" customWidth="1"/>
    <col min="8" max="8" width="11.1328125" style="67" bestFit="1" customWidth="1"/>
  </cols>
  <sheetData>
    <row r="11" spans="1:9" x14ac:dyDescent="0.35">
      <c r="A11" s="23"/>
      <c r="B11" s="23"/>
      <c r="C11" s="23"/>
      <c r="D11" s="23"/>
    </row>
    <row r="12" spans="1:9" x14ac:dyDescent="0.35">
      <c r="B12" s="75"/>
      <c r="C12" s="76"/>
      <c r="D12" s="74"/>
      <c r="E12" s="74"/>
      <c r="F12" s="74"/>
      <c r="G12" s="74"/>
      <c r="H12" s="74"/>
    </row>
    <row r="13" spans="1:9" ht="13.15" x14ac:dyDescent="0.4">
      <c r="A13" s="84" t="s">
        <v>74</v>
      </c>
    </row>
    <row r="15" spans="1:9" ht="13.15" thickBot="1" x14ac:dyDescent="0.4"/>
    <row r="16" spans="1:9" ht="30.4" x14ac:dyDescent="0.4">
      <c r="A16" s="108" t="s">
        <v>39</v>
      </c>
      <c r="B16" s="109" t="s">
        <v>41</v>
      </c>
      <c r="C16" s="110" t="s">
        <v>51</v>
      </c>
      <c r="D16" s="110" t="s">
        <v>52</v>
      </c>
      <c r="E16" s="111" t="s">
        <v>55</v>
      </c>
      <c r="F16" s="111" t="s">
        <v>69</v>
      </c>
      <c r="G16" s="111" t="s">
        <v>50</v>
      </c>
      <c r="H16" s="111" t="s">
        <v>91</v>
      </c>
      <c r="I16" s="112" t="s">
        <v>107</v>
      </c>
    </row>
    <row r="17" spans="1:9" ht="13.15" x14ac:dyDescent="0.4">
      <c r="A17" s="124">
        <v>1</v>
      </c>
      <c r="B17" s="119">
        <f>+'Offers-Strip'!D17</f>
        <v>0</v>
      </c>
      <c r="C17" s="119">
        <f>+'Offers-Strip'!F17</f>
        <v>0</v>
      </c>
      <c r="D17" s="119">
        <f>+'Offers-Strip'!G17</f>
        <v>0</v>
      </c>
      <c r="E17" s="120" t="str">
        <f>IF('Offers-Strip'!G17=0," ",IF('Offers-Strip'!H17=1,"NYC",IF('Offers-Strip'!I17=1,"LI",IF('Offers-Strip'!J17=1,"ROS",IF('Offers-Strip'!K17=1,"NE",IF('Offers-Strip'!L17=1,"NE",IF('Offers-Strip'!M17=1,"HQ",IF('Offers-Strip'!N17=1,"OH"," "))))))))</f>
        <v xml:space="preserve"> </v>
      </c>
      <c r="F17" s="121"/>
      <c r="G17" s="122"/>
      <c r="H17" s="123">
        <f t="shared" ref="H17:H24" si="0">F17*G17*1000</f>
        <v>0</v>
      </c>
      <c r="I17" s="125" t="str">
        <f>+'Offers-Strip'!C17</f>
        <v>N</v>
      </c>
    </row>
    <row r="18" spans="1:9" ht="13.15" x14ac:dyDescent="0.4">
      <c r="A18" s="124">
        <f>COUNT($A$17:A17)+1</f>
        <v>2</v>
      </c>
      <c r="B18" s="119">
        <f>+'Offers-Strip'!D18</f>
        <v>0</v>
      </c>
      <c r="C18" s="119">
        <f>+'Offers-Strip'!F18</f>
        <v>0</v>
      </c>
      <c r="D18" s="119">
        <f>+'Offers-Strip'!G18</f>
        <v>0</v>
      </c>
      <c r="E18" s="120" t="str">
        <f>IF('Offers-Strip'!G18=0," ",IF('Offers-Strip'!H18=1,"NYC",IF('Offers-Strip'!I18=1,"LI",IF('Offers-Strip'!J18=1,"ROS",IF('Offers-Strip'!K18=1,"NE",IF('Offers-Strip'!L18=1,"NE",IF('Offers-Strip'!M18=1,"HQ",IF('Offers-Strip'!N18=1,"OH"," "))))))))</f>
        <v xml:space="preserve"> </v>
      </c>
      <c r="F18" s="121"/>
      <c r="G18" s="122"/>
      <c r="H18" s="123">
        <f t="shared" si="0"/>
        <v>0</v>
      </c>
      <c r="I18" s="125" t="str">
        <f>+'Offers-Strip'!C18</f>
        <v>N</v>
      </c>
    </row>
    <row r="19" spans="1:9" ht="13.15" x14ac:dyDescent="0.4">
      <c r="A19" s="124">
        <f>COUNT($A$17:A18)+1</f>
        <v>3</v>
      </c>
      <c r="B19" s="119">
        <f>+'Offers-Strip'!D19</f>
        <v>0</v>
      </c>
      <c r="C19" s="119">
        <f>+'Offers-Strip'!F19</f>
        <v>0</v>
      </c>
      <c r="D19" s="119">
        <f>+'Offers-Strip'!G19</f>
        <v>0</v>
      </c>
      <c r="E19" s="120" t="str">
        <f>IF('Offers-Strip'!G19=0," ",IF('Offers-Strip'!H19=1,"NYC",IF('Offers-Strip'!I19=1,"LI",IF('Offers-Strip'!J19=1,"ROS",IF('Offers-Strip'!K19=1,"NE",IF('Offers-Strip'!L19=1,"NE",IF('Offers-Strip'!M19=1,"HQ",IF('Offers-Strip'!N19=1,"OH"," "))))))))</f>
        <v xml:space="preserve"> </v>
      </c>
      <c r="F19" s="121"/>
      <c r="G19" s="122"/>
      <c r="H19" s="123">
        <f t="shared" si="0"/>
        <v>0</v>
      </c>
      <c r="I19" s="125" t="str">
        <f>+'Offers-Strip'!C19</f>
        <v>N</v>
      </c>
    </row>
    <row r="20" spans="1:9" ht="13.15" x14ac:dyDescent="0.4">
      <c r="A20" s="124">
        <f>COUNT($A$17:A19)+1</f>
        <v>4</v>
      </c>
      <c r="B20" s="119">
        <f>+'Offers-Strip'!D20</f>
        <v>0</v>
      </c>
      <c r="C20" s="119">
        <f>+'Offers-Strip'!F20</f>
        <v>0</v>
      </c>
      <c r="D20" s="119">
        <f>+'Offers-Strip'!G20</f>
        <v>0</v>
      </c>
      <c r="E20" s="120" t="str">
        <f>IF('Offers-Strip'!G20=0," ",IF('Offers-Strip'!H20=1,"NYC",IF('Offers-Strip'!I20=1,"LI",IF('Offers-Strip'!J20=1,"ROS",IF('Offers-Strip'!K20=1,"NE",IF('Offers-Strip'!L20=1,"NE",IF('Offers-Strip'!M20=1,"HQ",IF('Offers-Strip'!N20=1,"OH"," "))))))))</f>
        <v xml:space="preserve"> </v>
      </c>
      <c r="F20" s="121"/>
      <c r="G20" s="122"/>
      <c r="H20" s="123">
        <f t="shared" si="0"/>
        <v>0</v>
      </c>
      <c r="I20" s="125" t="str">
        <f>+'Offers-Strip'!C20</f>
        <v>N</v>
      </c>
    </row>
    <row r="21" spans="1:9" ht="13.15" x14ac:dyDescent="0.4">
      <c r="A21" s="124">
        <f>COUNT($A$17:A20)+1</f>
        <v>5</v>
      </c>
      <c r="B21" s="119">
        <f>+'Offers-Strip'!D21</f>
        <v>0</v>
      </c>
      <c r="C21" s="119">
        <f>+'Offers-Strip'!F21</f>
        <v>0</v>
      </c>
      <c r="D21" s="119">
        <f>+'Offers-Strip'!G21</f>
        <v>0</v>
      </c>
      <c r="E21" s="120" t="str">
        <f>IF('Offers-Strip'!G21=0," ",IF('Offers-Strip'!H21=1,"NYC",IF('Offers-Strip'!I21=1,"LI",IF('Offers-Strip'!J21=1,"ROS",IF('Offers-Strip'!K21=1,"NE",IF('Offers-Strip'!L21=1,"NE",IF('Offers-Strip'!M21=1,"HQ",IF('Offers-Strip'!N21=1,"OH"," "))))))))</f>
        <v xml:space="preserve"> </v>
      </c>
      <c r="F21" s="121"/>
      <c r="G21" s="122"/>
      <c r="H21" s="123">
        <f t="shared" si="0"/>
        <v>0</v>
      </c>
      <c r="I21" s="125" t="str">
        <f>+'Offers-Strip'!C21</f>
        <v>N</v>
      </c>
    </row>
    <row r="22" spans="1:9" ht="13.15" x14ac:dyDescent="0.4">
      <c r="A22" s="124">
        <f>COUNT($A$17:A21)+1</f>
        <v>6</v>
      </c>
      <c r="B22" s="119">
        <f>+'Offers-Strip'!D22</f>
        <v>0</v>
      </c>
      <c r="C22" s="119">
        <f>+'Offers-Strip'!F22</f>
        <v>0</v>
      </c>
      <c r="D22" s="119">
        <f>+'Offers-Strip'!G22</f>
        <v>0</v>
      </c>
      <c r="E22" s="120" t="str">
        <f>IF('Offers-Strip'!G22=0," ",IF('Offers-Strip'!H22=1,"NYC",IF('Offers-Strip'!I22=1,"LI",IF('Offers-Strip'!J22=1,"ROS",IF('Offers-Strip'!K22=1,"NE",IF('Offers-Strip'!L22=1,"NE",IF('Offers-Strip'!M22=1,"HQ",IF('Offers-Strip'!N22=1,"OH"," "))))))))</f>
        <v xml:space="preserve"> </v>
      </c>
      <c r="F22" s="121"/>
      <c r="G22" s="122"/>
      <c r="H22" s="123">
        <f t="shared" si="0"/>
        <v>0</v>
      </c>
      <c r="I22" s="125" t="str">
        <f>+'Offers-Strip'!C22</f>
        <v>N</v>
      </c>
    </row>
    <row r="23" spans="1:9" ht="12.75" customHeight="1" x14ac:dyDescent="0.4">
      <c r="A23" s="124">
        <f>COUNT($A$17:A22)+1</f>
        <v>7</v>
      </c>
      <c r="B23" s="119">
        <f>+'Offers-Strip'!D23</f>
        <v>0</v>
      </c>
      <c r="C23" s="119">
        <f>+'Offers-Strip'!F23</f>
        <v>0</v>
      </c>
      <c r="D23" s="119">
        <f>+'Offers-Strip'!G23</f>
        <v>0</v>
      </c>
      <c r="E23" s="120" t="str">
        <f>IF('Offers-Strip'!G23=0," ",IF('Offers-Strip'!H23=1,"NYC",IF('Offers-Strip'!I23=1,"LI",IF('Offers-Strip'!J23=1,"ROS",IF('Offers-Strip'!K23=1,"NE",IF('Offers-Strip'!L23=1,"NE",IF('Offers-Strip'!M23=1,"HQ",IF('Offers-Strip'!N23=1,"OH"," "))))))))</f>
        <v xml:space="preserve"> </v>
      </c>
      <c r="F23" s="121"/>
      <c r="G23" s="122"/>
      <c r="H23" s="123">
        <f t="shared" si="0"/>
        <v>0</v>
      </c>
      <c r="I23" s="125" t="str">
        <f>+'Offers-Strip'!C23</f>
        <v>N</v>
      </c>
    </row>
    <row r="24" spans="1:9" ht="13.5" thickBot="1" x14ac:dyDescent="0.45">
      <c r="A24" s="124">
        <f>COUNT($A$17:A23)+1</f>
        <v>8</v>
      </c>
      <c r="B24" s="119">
        <f>+'Offers-Strip'!D24</f>
        <v>0</v>
      </c>
      <c r="C24" s="119">
        <f>+'Offers-Strip'!F24</f>
        <v>0</v>
      </c>
      <c r="D24" s="119">
        <f>+'Offers-Strip'!G24</f>
        <v>0</v>
      </c>
      <c r="E24" s="120" t="str">
        <f>IF('Offers-Strip'!G24=0," ",IF('Offers-Strip'!H24=1,"NYC",IF('Offers-Strip'!I24=1,"LI",IF('Offers-Strip'!J24=1,"ROS",IF('Offers-Strip'!K24=1,"NE",IF('Offers-Strip'!L24=1,"NE",IF('Offers-Strip'!M24=1,"HQ",IF('Offers-Strip'!N24=1,"OH"," "))))))))</f>
        <v xml:space="preserve"> </v>
      </c>
      <c r="F24" s="121"/>
      <c r="G24" s="122"/>
      <c r="H24" s="126">
        <f t="shared" si="0"/>
        <v>0</v>
      </c>
      <c r="I24" s="125" t="str">
        <f>+'Offers-Strip'!C24</f>
        <v>N</v>
      </c>
    </row>
    <row r="25" spans="1:9" ht="13.15" thickBot="1" x14ac:dyDescent="0.4">
      <c r="A25" s="113"/>
      <c r="B25" s="114"/>
      <c r="C25" s="115" t="s">
        <v>56</v>
      </c>
      <c r="D25" s="116">
        <f>+'Offers-Strip'!E8</f>
        <v>0</v>
      </c>
      <c r="E25" s="71"/>
      <c r="F25" s="117" t="s">
        <v>70</v>
      </c>
      <c r="G25" s="71"/>
      <c r="H25" s="127">
        <f>SUM(H17:H24)</f>
        <v>0</v>
      </c>
      <c r="I25" s="118"/>
    </row>
    <row r="27" spans="1:9" x14ac:dyDescent="0.35">
      <c r="A27" s="77"/>
      <c r="B27" s="77"/>
      <c r="C27" s="77"/>
      <c r="D27" s="77"/>
    </row>
    <row r="28" spans="1:9" x14ac:dyDescent="0.35">
      <c r="A28" s="77"/>
      <c r="B28" s="77"/>
      <c r="C28" s="77"/>
      <c r="D28" s="77"/>
    </row>
    <row r="29" spans="1:9" hidden="1" x14ac:dyDescent="0.35">
      <c r="A29" s="77"/>
      <c r="B29" s="77"/>
      <c r="C29" s="77"/>
      <c r="D29" s="77"/>
    </row>
    <row r="30" spans="1:9" x14ac:dyDescent="0.35">
      <c r="A30" s="77"/>
      <c r="B30" s="77"/>
      <c r="C30" s="77"/>
      <c r="D30" s="77"/>
    </row>
    <row r="31" spans="1:9" x14ac:dyDescent="0.35">
      <c r="A31" s="77"/>
      <c r="B31" s="77"/>
      <c r="C31" s="77"/>
      <c r="D31" s="77"/>
    </row>
    <row r="32" spans="1:9" x14ac:dyDescent="0.35">
      <c r="A32" s="77"/>
      <c r="B32" s="77"/>
      <c r="C32" s="77"/>
      <c r="D32" s="77"/>
    </row>
    <row r="33" spans="1:4" x14ac:dyDescent="0.35">
      <c r="A33" s="77"/>
      <c r="B33" s="77"/>
      <c r="C33" s="77"/>
      <c r="D33" s="77"/>
    </row>
    <row r="34" spans="1:4" x14ac:dyDescent="0.35">
      <c r="A34" s="77"/>
      <c r="B34" s="77"/>
      <c r="C34" s="77"/>
      <c r="D34" s="77"/>
    </row>
    <row r="35" spans="1:4" x14ac:dyDescent="0.35">
      <c r="A35" s="77"/>
      <c r="B35" s="77"/>
      <c r="C35" s="77"/>
      <c r="D35" s="77"/>
    </row>
    <row r="36" spans="1:4" x14ac:dyDescent="0.35">
      <c r="A36" s="77"/>
      <c r="B36" s="77"/>
      <c r="C36" s="77"/>
      <c r="D36" s="77"/>
    </row>
    <row r="37" spans="1:4" x14ac:dyDescent="0.35">
      <c r="A37" s="77"/>
      <c r="B37" s="77"/>
      <c r="C37" s="77"/>
      <c r="D37" s="77"/>
    </row>
    <row r="38" spans="1:4" x14ac:dyDescent="0.35">
      <c r="A38" s="77"/>
      <c r="B38" s="77"/>
      <c r="C38" s="77"/>
      <c r="D38" s="77"/>
    </row>
    <row r="39" spans="1:4" x14ac:dyDescent="0.35">
      <c r="A39" s="77"/>
      <c r="B39" s="77"/>
      <c r="C39" s="77"/>
      <c r="D39" s="77"/>
    </row>
  </sheetData>
  <phoneticPr fontId="26" type="noConversion"/>
  <pageMargins left="0.75" right="0.75" top="1" bottom="1" header="0.5" footer="0.5"/>
  <pageSetup orientation="landscape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4099" r:id="rId4" name="CommandButton3">
          <controlPr defaultSize="0" autoLine="0" r:id="rId5">
            <anchor moveWithCells="1">
              <from>
                <xdr:col>5</xdr:col>
                <xdr:colOff>223838</xdr:colOff>
                <xdr:row>6</xdr:row>
                <xdr:rowOff>38100</xdr:rowOff>
              </from>
              <to>
                <xdr:col>6</xdr:col>
                <xdr:colOff>500063</xdr:colOff>
                <xdr:row>8</xdr:row>
                <xdr:rowOff>95250</xdr:rowOff>
              </to>
            </anchor>
          </controlPr>
        </control>
      </mc:Choice>
      <mc:Fallback>
        <control shapeId="4099" r:id="rId4" name="CommandButton3"/>
      </mc:Fallback>
    </mc:AlternateContent>
    <mc:AlternateContent xmlns:mc="http://schemas.openxmlformats.org/markup-compatibility/2006">
      <mc:Choice Requires="x14">
        <control shapeId="4098" r:id="rId6" name="CommandButton2">
          <controlPr defaultSize="0" autoLine="0" r:id="rId7">
            <anchor moveWithCells="1">
              <from>
                <xdr:col>3</xdr:col>
                <xdr:colOff>161925</xdr:colOff>
                <xdr:row>6</xdr:row>
                <xdr:rowOff>19050</xdr:rowOff>
              </from>
              <to>
                <xdr:col>3</xdr:col>
                <xdr:colOff>952500</xdr:colOff>
                <xdr:row>8</xdr:row>
                <xdr:rowOff>142875</xdr:rowOff>
              </to>
            </anchor>
          </controlPr>
        </control>
      </mc:Choice>
      <mc:Fallback>
        <control shapeId="4098" r:id="rId6" name="CommandButton2"/>
      </mc:Fallback>
    </mc:AlternateContent>
    <mc:AlternateContent xmlns:mc="http://schemas.openxmlformats.org/markup-compatibility/2006">
      <mc:Choice Requires="x14">
        <control shapeId="4097" r:id="rId8" name="CommandButton1">
          <controlPr defaultSize="0" autoLine="0" r:id="rId9">
            <anchor moveWithCells="1">
              <from>
                <xdr:col>2</xdr:col>
                <xdr:colOff>0</xdr:colOff>
                <xdr:row>5</xdr:row>
                <xdr:rowOff>133350</xdr:rowOff>
              </from>
              <to>
                <xdr:col>2</xdr:col>
                <xdr:colOff>857250</xdr:colOff>
                <xdr:row>8</xdr:row>
                <xdr:rowOff>95250</xdr:rowOff>
              </to>
            </anchor>
          </controlPr>
        </control>
      </mc:Choice>
      <mc:Fallback>
        <control shapeId="4097" r:id="rId8" name="CommandButton1"/>
      </mc:Fallback>
    </mc:AlternateContent>
  </control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262A3-61C9-4F22-A060-66ADA5DB4338}">
  <sheetPr codeName="Sheet12"/>
  <dimension ref="A1:IN115"/>
  <sheetViews>
    <sheetView showOutlineSymbols="0" topLeftCell="A37" zoomScale="75" workbookViewId="0">
      <selection activeCell="I4" sqref="I4"/>
    </sheetView>
  </sheetViews>
  <sheetFormatPr defaultRowHeight="12.75" x14ac:dyDescent="0.35"/>
  <cols>
    <col min="1" max="1" width="7.59765625" style="67" bestFit="1" customWidth="1"/>
    <col min="2" max="2" width="7.1328125" style="67" customWidth="1"/>
    <col min="3" max="3" width="22.86328125" style="68" bestFit="1" customWidth="1"/>
    <col min="4" max="4" width="15.59765625" style="69" customWidth="1"/>
    <col min="5" max="5" width="5.265625" style="69" bestFit="1" customWidth="1"/>
    <col min="6" max="6" width="7.59765625" style="69" customWidth="1"/>
    <col min="7" max="7" width="8.86328125" style="67" bestFit="1" customWidth="1"/>
    <col min="8" max="8" width="9.3984375" style="67" customWidth="1"/>
    <col min="9" max="9" width="10.1328125" customWidth="1"/>
    <col min="10" max="10" width="12.86328125" customWidth="1"/>
    <col min="12" max="12" width="11.86328125" customWidth="1"/>
    <col min="14" max="14" width="15.3984375" customWidth="1"/>
  </cols>
  <sheetData>
    <row r="1" spans="1:248" ht="22.15" x14ac:dyDescent="0.55000000000000004">
      <c r="A1" s="91" t="s">
        <v>93</v>
      </c>
      <c r="B1" s="92"/>
      <c r="C1" s="93"/>
      <c r="D1" s="94"/>
      <c r="E1" s="94"/>
      <c r="F1" s="94"/>
      <c r="G1" s="92"/>
      <c r="H1" s="92"/>
      <c r="I1" s="33"/>
      <c r="J1" s="33"/>
      <c r="K1" s="33"/>
      <c r="L1" s="33"/>
      <c r="M1" s="33"/>
      <c r="N1" s="33"/>
      <c r="O1" s="33"/>
    </row>
    <row r="2" spans="1:248" ht="22.15" x14ac:dyDescent="0.55000000000000004">
      <c r="A2" s="95" t="s">
        <v>95</v>
      </c>
      <c r="B2" s="96"/>
      <c r="C2" s="97"/>
      <c r="D2" s="98"/>
      <c r="E2" s="98"/>
      <c r="F2" s="98"/>
      <c r="G2" s="96"/>
      <c r="H2" s="96"/>
      <c r="I2" s="99"/>
      <c r="J2" s="99"/>
      <c r="K2" s="99"/>
      <c r="L2" s="99"/>
      <c r="M2" s="99"/>
      <c r="N2" s="99"/>
      <c r="O2" s="99"/>
    </row>
    <row r="3" spans="1:248" x14ac:dyDescent="0.35">
      <c r="I3" s="86" t="s">
        <v>76</v>
      </c>
    </row>
    <row r="4" spans="1:248" ht="13.15" thickBot="1" x14ac:dyDescent="0.4">
      <c r="I4" s="86" t="s">
        <v>77</v>
      </c>
    </row>
    <row r="5" spans="1:248" ht="30.75" x14ac:dyDescent="0.35">
      <c r="A5" s="108" t="s">
        <v>39</v>
      </c>
      <c r="B5" s="109" t="s">
        <v>41</v>
      </c>
      <c r="C5" s="131" t="s">
        <v>54</v>
      </c>
      <c r="D5" s="132" t="s">
        <v>52</v>
      </c>
      <c r="E5" s="133" t="s">
        <v>55</v>
      </c>
      <c r="F5" s="133" t="s">
        <v>69</v>
      </c>
      <c r="G5" s="111" t="s">
        <v>50</v>
      </c>
      <c r="H5" s="111" t="s">
        <v>91</v>
      </c>
      <c r="I5" s="134" t="s">
        <v>107</v>
      </c>
    </row>
    <row r="6" spans="1:248" ht="13.15" x14ac:dyDescent="0.4">
      <c r="A6" s="124">
        <v>1</v>
      </c>
      <c r="B6" s="119">
        <f>+'Nov OPP'!D17</f>
        <v>0</v>
      </c>
      <c r="C6" s="136">
        <f>+'Nov OPP'!F17</f>
        <v>0</v>
      </c>
      <c r="D6" s="137">
        <f>+'Nov OPP'!G17</f>
        <v>0</v>
      </c>
      <c r="E6" s="120" t="str">
        <f>IF('Nov OPP'!G17=0," ",IF('Nov OPP'!H17=1,"NYC",IF('Nov OPP'!I17=1,"LI",IF('Nov OPP'!J17=1,"ROS",IF('Nov OPP'!K17=1,"NE",IF('Nov OPP'!L17=1,"NE",IF('Nov OPP'!M17=1,"HQ",IF('Nov OPP'!N17=1,"OH"," "))))))))</f>
        <v xml:space="preserve"> </v>
      </c>
      <c r="F6" s="121"/>
      <c r="G6" s="138"/>
      <c r="H6" s="123">
        <f>F6*G6*1000</f>
        <v>0</v>
      </c>
      <c r="I6" s="179" t="str">
        <f>+'Nov OPP'!C17</f>
        <v>N</v>
      </c>
      <c r="J6" s="70" t="str">
        <f>+IF(+SUM(A6:A13)&lt;SUM('Nov OPP'!$A$17:$A$24),"INSERT Rows",IF(SUM(A6:A13)&gt;SUM('Nov OPP'!$A$17:$A$24),"                                         DELETE Rows"," "))</f>
        <v xml:space="preserve"> </v>
      </c>
    </row>
    <row r="7" spans="1:248" ht="13.15" x14ac:dyDescent="0.4">
      <c r="A7" s="124">
        <f>COUNT($A$6:A6)+1</f>
        <v>2</v>
      </c>
      <c r="B7" s="119">
        <f>+'Nov OPP'!D18</f>
        <v>0</v>
      </c>
      <c r="C7" s="136">
        <f>+'Nov OPP'!F18</f>
        <v>0</v>
      </c>
      <c r="D7" s="137">
        <f>+'Nov OPP'!G18</f>
        <v>0</v>
      </c>
      <c r="E7" s="120" t="str">
        <f>IF('Nov OPP'!G18=0," ",IF('Nov OPP'!H18=1,"NYC",IF('Nov OPP'!I18=1,"LI",IF('Nov OPP'!J18=1,"ROS",IF('Nov OPP'!K18=1,"NE",IF('Nov OPP'!L18=1,"NE",IF('Nov OPP'!M18=1,"HQ",IF('Nov OPP'!N18=1,"OH"," "))))))))</f>
        <v xml:space="preserve"> </v>
      </c>
      <c r="F7" s="121"/>
      <c r="G7" s="138"/>
      <c r="H7" s="123">
        <f t="shared" ref="H7:H13" si="0">F7*G7*1000</f>
        <v>0</v>
      </c>
      <c r="I7" s="179" t="str">
        <f>+'Nov OPP'!C18</f>
        <v>N</v>
      </c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3"/>
      <c r="BR7" s="53"/>
      <c r="BS7" s="53"/>
      <c r="BT7" s="53"/>
      <c r="BU7" s="53"/>
      <c r="BV7" s="53"/>
      <c r="BW7" s="53"/>
      <c r="BX7" s="53"/>
      <c r="BY7" s="53"/>
      <c r="BZ7" s="53"/>
      <c r="CA7" s="53"/>
      <c r="CB7" s="53"/>
      <c r="CC7" s="53"/>
      <c r="CD7" s="53"/>
      <c r="CE7" s="53"/>
      <c r="CF7" s="53"/>
      <c r="CG7" s="53"/>
      <c r="CH7" s="53"/>
      <c r="CI7" s="53"/>
      <c r="CJ7" s="53"/>
      <c r="CK7" s="53"/>
      <c r="CL7" s="53"/>
      <c r="CM7" s="53"/>
      <c r="CN7" s="53"/>
      <c r="CO7" s="53"/>
      <c r="CP7" s="53"/>
      <c r="CQ7" s="53"/>
      <c r="CR7" s="53"/>
      <c r="CS7" s="53"/>
      <c r="CT7" s="53"/>
      <c r="CU7" s="53"/>
      <c r="CV7" s="53"/>
      <c r="CW7" s="53"/>
      <c r="CX7" s="53"/>
      <c r="CY7" s="53"/>
      <c r="CZ7" s="53"/>
      <c r="DA7" s="53"/>
      <c r="DB7" s="53"/>
      <c r="DC7" s="53"/>
      <c r="DD7" s="53"/>
      <c r="DE7" s="53"/>
      <c r="DF7" s="53"/>
      <c r="DG7" s="53"/>
      <c r="DH7" s="53"/>
      <c r="DI7" s="53"/>
      <c r="DJ7" s="53"/>
      <c r="DK7" s="53"/>
      <c r="DL7" s="53"/>
      <c r="DM7" s="53"/>
      <c r="DN7" s="53"/>
      <c r="DO7" s="53"/>
      <c r="DP7" s="53"/>
      <c r="DQ7" s="53"/>
      <c r="DR7" s="53"/>
      <c r="DS7" s="53"/>
      <c r="DT7" s="53"/>
      <c r="DU7" s="53"/>
      <c r="DV7" s="53"/>
      <c r="DW7" s="53"/>
      <c r="DX7" s="53"/>
      <c r="DY7" s="53"/>
      <c r="DZ7" s="53"/>
      <c r="EA7" s="53"/>
      <c r="EB7" s="53"/>
      <c r="EC7" s="53"/>
      <c r="ED7" s="53"/>
      <c r="EE7" s="53"/>
      <c r="EF7" s="53"/>
      <c r="EG7" s="53"/>
      <c r="EH7" s="53"/>
      <c r="EI7" s="53"/>
      <c r="EJ7" s="53"/>
      <c r="EK7" s="53"/>
      <c r="EL7" s="53"/>
      <c r="EM7" s="53"/>
      <c r="EN7" s="53"/>
      <c r="EO7" s="53"/>
      <c r="EP7" s="53"/>
      <c r="EQ7" s="53"/>
      <c r="ER7" s="53"/>
      <c r="ES7" s="53"/>
      <c r="ET7" s="53"/>
      <c r="EU7" s="53"/>
      <c r="EV7" s="53"/>
      <c r="EW7" s="53"/>
      <c r="EX7" s="53"/>
      <c r="EY7" s="53"/>
      <c r="EZ7" s="53"/>
      <c r="FA7" s="53"/>
      <c r="FB7" s="53"/>
      <c r="FC7" s="53"/>
      <c r="FD7" s="53"/>
      <c r="FE7" s="53"/>
      <c r="FF7" s="53"/>
      <c r="FG7" s="53"/>
      <c r="FH7" s="53"/>
      <c r="FI7" s="53"/>
      <c r="FJ7" s="53"/>
      <c r="FK7" s="53"/>
      <c r="FL7" s="53"/>
      <c r="FM7" s="53"/>
      <c r="FN7" s="53"/>
      <c r="FO7" s="53"/>
      <c r="FP7" s="53"/>
      <c r="FQ7" s="53"/>
      <c r="FR7" s="53"/>
      <c r="FS7" s="53"/>
      <c r="FT7" s="53"/>
      <c r="FU7" s="53"/>
      <c r="FV7" s="53"/>
      <c r="FW7" s="53"/>
      <c r="FX7" s="53"/>
      <c r="FY7" s="53"/>
      <c r="FZ7" s="53"/>
      <c r="GA7" s="53"/>
      <c r="GB7" s="53"/>
      <c r="GC7" s="53"/>
      <c r="GD7" s="53"/>
      <c r="GE7" s="53"/>
      <c r="GF7" s="53"/>
      <c r="GG7" s="53"/>
      <c r="GH7" s="53"/>
      <c r="GI7" s="53"/>
      <c r="GJ7" s="53"/>
      <c r="GK7" s="53"/>
      <c r="GL7" s="53"/>
      <c r="GM7" s="53"/>
      <c r="GN7" s="53"/>
      <c r="GO7" s="53"/>
      <c r="GP7" s="53"/>
      <c r="GQ7" s="53"/>
      <c r="GR7" s="53"/>
      <c r="GS7" s="53"/>
      <c r="GT7" s="53"/>
      <c r="GU7" s="53"/>
      <c r="GV7" s="53"/>
      <c r="GW7" s="53"/>
      <c r="GX7" s="53"/>
      <c r="GY7" s="53"/>
      <c r="GZ7" s="53"/>
      <c r="HA7" s="53"/>
      <c r="HB7" s="53"/>
      <c r="HC7" s="53"/>
      <c r="HD7" s="53"/>
      <c r="HE7" s="53"/>
      <c r="HF7" s="53"/>
      <c r="HG7" s="53"/>
      <c r="HH7" s="53"/>
      <c r="HI7" s="53"/>
      <c r="HJ7" s="53"/>
      <c r="HK7" s="53"/>
      <c r="HL7" s="53"/>
      <c r="HM7" s="53"/>
      <c r="HN7" s="53"/>
      <c r="HO7" s="53"/>
      <c r="HP7" s="53"/>
      <c r="HQ7" s="53"/>
      <c r="HR7" s="53"/>
      <c r="HS7" s="53"/>
      <c r="HT7" s="53"/>
      <c r="HU7" s="53"/>
      <c r="HV7" s="53"/>
      <c r="HW7" s="53"/>
      <c r="HX7" s="53"/>
      <c r="HY7" s="53"/>
      <c r="HZ7" s="53"/>
      <c r="IA7" s="53"/>
      <c r="IB7" s="53"/>
      <c r="IC7" s="53"/>
      <c r="ID7" s="53"/>
      <c r="IE7" s="53"/>
      <c r="IF7" s="53"/>
      <c r="IG7" s="53"/>
      <c r="IH7" s="53"/>
      <c r="II7" s="53"/>
      <c r="IJ7" s="53"/>
      <c r="IK7" s="53"/>
      <c r="IL7" s="53"/>
      <c r="IM7" s="53"/>
      <c r="IN7" s="53"/>
    </row>
    <row r="8" spans="1:248" ht="13.15" x14ac:dyDescent="0.4">
      <c r="A8" s="124">
        <f>COUNT($A$6:A7)+1</f>
        <v>3</v>
      </c>
      <c r="B8" s="119">
        <f>+'Nov OPP'!D19</f>
        <v>0</v>
      </c>
      <c r="C8" s="136">
        <f>+'Nov OPP'!F19</f>
        <v>0</v>
      </c>
      <c r="D8" s="137">
        <f>+'Nov OPP'!G19</f>
        <v>0</v>
      </c>
      <c r="E8" s="120" t="str">
        <f>IF('Nov OPP'!G19=0," ",IF('Nov OPP'!H19=1,"NYC",IF('Nov OPP'!I19=1,"LI",IF('Nov OPP'!J19=1,"ROS",IF('Nov OPP'!K19=1,"NE",IF('Nov OPP'!L19=1,"NE",IF('Nov OPP'!M19=1,"HQ",IF('Nov OPP'!N19=1,"OH"," "))))))))</f>
        <v xml:space="preserve"> </v>
      </c>
      <c r="F8" s="121"/>
      <c r="G8" s="138"/>
      <c r="H8" s="123">
        <f t="shared" si="0"/>
        <v>0</v>
      </c>
      <c r="I8" s="179" t="str">
        <f>+'Nov OPP'!C19</f>
        <v>N</v>
      </c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  <c r="BN8" s="53"/>
      <c r="BO8" s="53"/>
      <c r="BP8" s="53"/>
      <c r="BQ8" s="53"/>
      <c r="BR8" s="53"/>
      <c r="BS8" s="53"/>
      <c r="BT8" s="53"/>
      <c r="BU8" s="53"/>
      <c r="BV8" s="53"/>
      <c r="BW8" s="53"/>
      <c r="BX8" s="53"/>
      <c r="BY8" s="53"/>
      <c r="BZ8" s="53"/>
      <c r="CA8" s="53"/>
      <c r="CB8" s="53"/>
      <c r="CC8" s="53"/>
      <c r="CD8" s="53"/>
      <c r="CE8" s="53"/>
      <c r="CF8" s="53"/>
      <c r="CG8" s="53"/>
      <c r="CH8" s="53"/>
      <c r="CI8" s="53"/>
      <c r="CJ8" s="53"/>
      <c r="CK8" s="53"/>
      <c r="CL8" s="53"/>
      <c r="CM8" s="53"/>
      <c r="CN8" s="53"/>
      <c r="CO8" s="53"/>
      <c r="CP8" s="53"/>
      <c r="CQ8" s="53"/>
      <c r="CR8" s="53"/>
      <c r="CS8" s="53"/>
      <c r="CT8" s="53"/>
      <c r="CU8" s="53"/>
      <c r="CV8" s="53"/>
      <c r="CW8" s="53"/>
      <c r="CX8" s="53"/>
      <c r="CY8" s="53"/>
      <c r="CZ8" s="53"/>
      <c r="DA8" s="53"/>
      <c r="DB8" s="53"/>
      <c r="DC8" s="53"/>
      <c r="DD8" s="53"/>
      <c r="DE8" s="53"/>
      <c r="DF8" s="53"/>
      <c r="DG8" s="53"/>
      <c r="DH8" s="53"/>
      <c r="DI8" s="53"/>
      <c r="DJ8" s="53"/>
      <c r="DK8" s="53"/>
      <c r="DL8" s="53"/>
      <c r="DM8" s="53"/>
      <c r="DN8" s="53"/>
      <c r="DO8" s="53"/>
      <c r="DP8" s="53"/>
      <c r="DQ8" s="53"/>
      <c r="DR8" s="53"/>
      <c r="DS8" s="53"/>
      <c r="DT8" s="53"/>
      <c r="DU8" s="53"/>
      <c r="DV8" s="53"/>
      <c r="DW8" s="53"/>
      <c r="DX8" s="53"/>
      <c r="DY8" s="53"/>
      <c r="DZ8" s="53"/>
      <c r="EA8" s="53"/>
      <c r="EB8" s="53"/>
      <c r="EC8" s="53"/>
      <c r="ED8" s="53"/>
      <c r="EE8" s="53"/>
      <c r="EF8" s="53"/>
      <c r="EG8" s="53"/>
      <c r="EH8" s="53"/>
      <c r="EI8" s="53"/>
      <c r="EJ8" s="53"/>
      <c r="EK8" s="53"/>
      <c r="EL8" s="53"/>
      <c r="EM8" s="53"/>
      <c r="EN8" s="53"/>
      <c r="EO8" s="53"/>
      <c r="EP8" s="53"/>
      <c r="EQ8" s="53"/>
      <c r="ER8" s="53"/>
      <c r="ES8" s="53"/>
      <c r="ET8" s="53"/>
      <c r="EU8" s="53"/>
      <c r="EV8" s="53"/>
      <c r="EW8" s="53"/>
      <c r="EX8" s="53"/>
      <c r="EY8" s="53"/>
      <c r="EZ8" s="53"/>
      <c r="FA8" s="53"/>
      <c r="FB8" s="53"/>
      <c r="FC8" s="53"/>
      <c r="FD8" s="53"/>
      <c r="FE8" s="53"/>
      <c r="FF8" s="53"/>
      <c r="FG8" s="53"/>
      <c r="FH8" s="53"/>
      <c r="FI8" s="53"/>
      <c r="FJ8" s="53"/>
      <c r="FK8" s="53"/>
      <c r="FL8" s="53"/>
      <c r="FM8" s="53"/>
      <c r="FN8" s="53"/>
      <c r="FO8" s="53"/>
      <c r="FP8" s="53"/>
      <c r="FQ8" s="53"/>
      <c r="FR8" s="53"/>
      <c r="FS8" s="53"/>
      <c r="FT8" s="53"/>
      <c r="FU8" s="53"/>
      <c r="FV8" s="53"/>
      <c r="FW8" s="53"/>
      <c r="FX8" s="53"/>
      <c r="FY8" s="53"/>
      <c r="FZ8" s="53"/>
      <c r="GA8" s="53"/>
      <c r="GB8" s="53"/>
      <c r="GC8" s="53"/>
      <c r="GD8" s="53"/>
      <c r="GE8" s="53"/>
      <c r="GF8" s="53"/>
      <c r="GG8" s="53"/>
      <c r="GH8" s="53"/>
      <c r="GI8" s="53"/>
      <c r="GJ8" s="53"/>
      <c r="GK8" s="53"/>
      <c r="GL8" s="53"/>
      <c r="GM8" s="53"/>
      <c r="GN8" s="53"/>
      <c r="GO8" s="53"/>
      <c r="GP8" s="53"/>
      <c r="GQ8" s="53"/>
      <c r="GR8" s="53"/>
      <c r="GS8" s="53"/>
      <c r="GT8" s="53"/>
      <c r="GU8" s="53"/>
      <c r="GV8" s="53"/>
      <c r="GW8" s="53"/>
      <c r="GX8" s="53"/>
      <c r="GY8" s="53"/>
      <c r="GZ8" s="53"/>
      <c r="HA8" s="53"/>
      <c r="HB8" s="53"/>
      <c r="HC8" s="53"/>
      <c r="HD8" s="53"/>
      <c r="HE8" s="53"/>
      <c r="HF8" s="53"/>
      <c r="HG8" s="53"/>
      <c r="HH8" s="53"/>
      <c r="HI8" s="53"/>
      <c r="HJ8" s="53"/>
      <c r="HK8" s="53"/>
      <c r="HL8" s="53"/>
      <c r="HM8" s="53"/>
      <c r="HN8" s="53"/>
      <c r="HO8" s="53"/>
      <c r="HP8" s="53"/>
      <c r="HQ8" s="53"/>
      <c r="HR8" s="53"/>
      <c r="HS8" s="53"/>
      <c r="HT8" s="53"/>
      <c r="HU8" s="53"/>
      <c r="HV8" s="53"/>
      <c r="HW8" s="53"/>
      <c r="HX8" s="53"/>
      <c r="HY8" s="53"/>
      <c r="HZ8" s="53"/>
      <c r="IA8" s="53"/>
      <c r="IB8" s="53"/>
      <c r="IC8" s="53"/>
      <c r="ID8" s="53"/>
      <c r="IE8" s="53"/>
      <c r="IF8" s="53"/>
      <c r="IG8" s="53"/>
      <c r="IH8" s="53"/>
      <c r="II8" s="53"/>
      <c r="IJ8" s="53"/>
      <c r="IK8" s="53"/>
      <c r="IL8" s="53"/>
      <c r="IM8" s="53"/>
      <c r="IN8" s="53"/>
    </row>
    <row r="9" spans="1:248" ht="13.15" x14ac:dyDescent="0.4">
      <c r="A9" s="124">
        <f>COUNT($A$6:A8)+1</f>
        <v>4</v>
      </c>
      <c r="B9" s="119">
        <f>+'Nov OPP'!D20</f>
        <v>0</v>
      </c>
      <c r="C9" s="136">
        <f>+'Nov OPP'!F20</f>
        <v>0</v>
      </c>
      <c r="D9" s="137">
        <f>+'Nov OPP'!G20</f>
        <v>0</v>
      </c>
      <c r="E9" s="120" t="str">
        <f>IF('Nov OPP'!G20=0," ",IF('Nov OPP'!H20=1,"NYC",IF('Nov OPP'!I20=1,"LI",IF('Nov OPP'!J20=1,"ROS",IF('Nov OPP'!K20=1,"NE",IF('Nov OPP'!L20=1,"NE",IF('Nov OPP'!M20=1,"HQ",IF('Nov OPP'!N20=1,"OH"," "))))))))</f>
        <v xml:space="preserve"> </v>
      </c>
      <c r="F9" s="121"/>
      <c r="G9" s="138"/>
      <c r="H9" s="123">
        <f t="shared" si="0"/>
        <v>0</v>
      </c>
      <c r="I9" s="179" t="str">
        <f>+'Nov OPP'!C20</f>
        <v>N</v>
      </c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53"/>
      <c r="BJ9" s="53"/>
      <c r="BK9" s="53"/>
      <c r="BL9" s="53"/>
      <c r="BM9" s="53"/>
      <c r="BN9" s="53"/>
      <c r="BO9" s="53"/>
      <c r="BP9" s="53"/>
      <c r="BQ9" s="53"/>
      <c r="BR9" s="53"/>
      <c r="BS9" s="53"/>
      <c r="BT9" s="53"/>
      <c r="BU9" s="53"/>
      <c r="BV9" s="53"/>
      <c r="BW9" s="53"/>
      <c r="BX9" s="53"/>
      <c r="BY9" s="53"/>
      <c r="BZ9" s="53"/>
      <c r="CA9" s="53"/>
      <c r="CB9" s="53"/>
      <c r="CC9" s="53"/>
      <c r="CD9" s="53"/>
      <c r="CE9" s="53"/>
      <c r="CF9" s="53"/>
      <c r="CG9" s="53"/>
      <c r="CH9" s="53"/>
      <c r="CI9" s="53"/>
      <c r="CJ9" s="53"/>
      <c r="CK9" s="53"/>
      <c r="CL9" s="53"/>
      <c r="CM9" s="53"/>
      <c r="CN9" s="53"/>
      <c r="CO9" s="53"/>
      <c r="CP9" s="53"/>
      <c r="CQ9" s="53"/>
      <c r="CR9" s="53"/>
      <c r="CS9" s="53"/>
      <c r="CT9" s="53"/>
      <c r="CU9" s="53"/>
      <c r="CV9" s="53"/>
      <c r="CW9" s="53"/>
      <c r="CX9" s="53"/>
      <c r="CY9" s="53"/>
      <c r="CZ9" s="53"/>
      <c r="DA9" s="53"/>
      <c r="DB9" s="53"/>
      <c r="DC9" s="53"/>
      <c r="DD9" s="53"/>
      <c r="DE9" s="53"/>
      <c r="DF9" s="53"/>
      <c r="DG9" s="53"/>
      <c r="DH9" s="53"/>
      <c r="DI9" s="53"/>
      <c r="DJ9" s="53"/>
      <c r="DK9" s="53"/>
      <c r="DL9" s="53"/>
      <c r="DM9" s="53"/>
      <c r="DN9" s="53"/>
      <c r="DO9" s="53"/>
      <c r="DP9" s="53"/>
      <c r="DQ9" s="53"/>
      <c r="DR9" s="53"/>
      <c r="DS9" s="53"/>
      <c r="DT9" s="53"/>
      <c r="DU9" s="53"/>
      <c r="DV9" s="53"/>
      <c r="DW9" s="53"/>
      <c r="DX9" s="53"/>
      <c r="DY9" s="53"/>
      <c r="DZ9" s="53"/>
      <c r="EA9" s="53"/>
      <c r="EB9" s="53"/>
      <c r="EC9" s="53"/>
      <c r="ED9" s="53"/>
      <c r="EE9" s="53"/>
      <c r="EF9" s="53"/>
      <c r="EG9" s="53"/>
      <c r="EH9" s="53"/>
      <c r="EI9" s="53"/>
      <c r="EJ9" s="53"/>
      <c r="EK9" s="53"/>
      <c r="EL9" s="53"/>
      <c r="EM9" s="53"/>
      <c r="EN9" s="53"/>
      <c r="EO9" s="53"/>
      <c r="EP9" s="53"/>
      <c r="EQ9" s="53"/>
      <c r="ER9" s="53"/>
      <c r="ES9" s="53"/>
      <c r="ET9" s="53"/>
      <c r="EU9" s="53"/>
      <c r="EV9" s="53"/>
      <c r="EW9" s="53"/>
      <c r="EX9" s="53"/>
      <c r="EY9" s="53"/>
      <c r="EZ9" s="53"/>
      <c r="FA9" s="53"/>
      <c r="FB9" s="53"/>
      <c r="FC9" s="53"/>
      <c r="FD9" s="53"/>
      <c r="FE9" s="53"/>
      <c r="FF9" s="53"/>
      <c r="FG9" s="53"/>
      <c r="FH9" s="53"/>
      <c r="FI9" s="53"/>
      <c r="FJ9" s="53"/>
      <c r="FK9" s="53"/>
      <c r="FL9" s="53"/>
      <c r="FM9" s="53"/>
      <c r="FN9" s="53"/>
      <c r="FO9" s="53"/>
      <c r="FP9" s="53"/>
      <c r="FQ9" s="53"/>
      <c r="FR9" s="53"/>
      <c r="FS9" s="53"/>
      <c r="FT9" s="53"/>
      <c r="FU9" s="53"/>
      <c r="FV9" s="53"/>
      <c r="FW9" s="53"/>
      <c r="FX9" s="53"/>
      <c r="FY9" s="53"/>
      <c r="FZ9" s="53"/>
      <c r="GA9" s="53"/>
      <c r="GB9" s="53"/>
      <c r="GC9" s="53"/>
      <c r="GD9" s="53"/>
      <c r="GE9" s="53"/>
      <c r="GF9" s="53"/>
      <c r="GG9" s="53"/>
      <c r="GH9" s="53"/>
      <c r="GI9" s="53"/>
      <c r="GJ9" s="53"/>
      <c r="GK9" s="53"/>
      <c r="GL9" s="53"/>
      <c r="GM9" s="53"/>
      <c r="GN9" s="53"/>
      <c r="GO9" s="53"/>
      <c r="GP9" s="53"/>
      <c r="GQ9" s="53"/>
      <c r="GR9" s="53"/>
      <c r="GS9" s="53"/>
      <c r="GT9" s="53"/>
      <c r="GU9" s="53"/>
      <c r="GV9" s="53"/>
      <c r="GW9" s="53"/>
      <c r="GX9" s="53"/>
      <c r="GY9" s="53"/>
      <c r="GZ9" s="53"/>
      <c r="HA9" s="53"/>
      <c r="HB9" s="53"/>
      <c r="HC9" s="53"/>
      <c r="HD9" s="53"/>
      <c r="HE9" s="53"/>
      <c r="HF9" s="53"/>
      <c r="HG9" s="53"/>
      <c r="HH9" s="53"/>
      <c r="HI9" s="53"/>
      <c r="HJ9" s="53"/>
      <c r="HK9" s="53"/>
      <c r="HL9" s="53"/>
      <c r="HM9" s="53"/>
      <c r="HN9" s="53"/>
      <c r="HO9" s="53"/>
      <c r="HP9" s="53"/>
      <c r="HQ9" s="53"/>
      <c r="HR9" s="53"/>
      <c r="HS9" s="53"/>
      <c r="HT9" s="53"/>
      <c r="HU9" s="53"/>
      <c r="HV9" s="53"/>
      <c r="HW9" s="53"/>
      <c r="HX9" s="53"/>
      <c r="HY9" s="53"/>
      <c r="HZ9" s="53"/>
      <c r="IA9" s="53"/>
      <c r="IB9" s="53"/>
      <c r="IC9" s="53"/>
      <c r="ID9" s="53"/>
      <c r="IE9" s="53"/>
      <c r="IF9" s="53"/>
      <c r="IG9" s="53"/>
      <c r="IH9" s="53"/>
      <c r="II9" s="53"/>
      <c r="IJ9" s="53"/>
      <c r="IK9" s="53"/>
      <c r="IL9" s="53"/>
      <c r="IM9" s="53"/>
      <c r="IN9" s="53"/>
    </row>
    <row r="10" spans="1:248" ht="13.15" x14ac:dyDescent="0.4">
      <c r="A10" s="124">
        <f>COUNT($A$6:A9)+1</f>
        <v>5</v>
      </c>
      <c r="B10" s="119">
        <f>+'Nov OPP'!D21</f>
        <v>0</v>
      </c>
      <c r="C10" s="136">
        <f>+'Nov OPP'!F21</f>
        <v>0</v>
      </c>
      <c r="D10" s="137">
        <f>+'Nov OPP'!G21</f>
        <v>0</v>
      </c>
      <c r="E10" s="120" t="str">
        <f>IF('Nov OPP'!G21=0," ",IF('Nov OPP'!H21=1,"NYC",IF('Nov OPP'!I21=1,"LI",IF('Nov OPP'!J21=1,"ROS",IF('Nov OPP'!K21=1,"NE",IF('Nov OPP'!L21=1,"NE",IF('Nov OPP'!M21=1,"HQ",IF('Nov OPP'!N21=1,"OH"," "))))))))</f>
        <v xml:space="preserve"> </v>
      </c>
      <c r="F10" s="121"/>
      <c r="G10" s="138"/>
      <c r="H10" s="123">
        <f t="shared" si="0"/>
        <v>0</v>
      </c>
      <c r="I10" s="179" t="str">
        <f>+'Nov OPP'!C21</f>
        <v>N</v>
      </c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  <c r="BN10" s="53"/>
      <c r="BO10" s="53"/>
      <c r="BP10" s="53"/>
      <c r="BQ10" s="53"/>
      <c r="BR10" s="53"/>
      <c r="BS10" s="53"/>
      <c r="BT10" s="53"/>
      <c r="BU10" s="53"/>
      <c r="BV10" s="53"/>
      <c r="BW10" s="53"/>
      <c r="BX10" s="53"/>
      <c r="BY10" s="53"/>
      <c r="BZ10" s="53"/>
      <c r="CA10" s="53"/>
      <c r="CB10" s="53"/>
      <c r="CC10" s="53"/>
      <c r="CD10" s="53"/>
      <c r="CE10" s="53"/>
      <c r="CF10" s="53"/>
      <c r="CG10" s="53"/>
      <c r="CH10" s="53"/>
      <c r="CI10" s="53"/>
      <c r="CJ10" s="53"/>
      <c r="CK10" s="53"/>
      <c r="CL10" s="53"/>
      <c r="CM10" s="53"/>
      <c r="CN10" s="53"/>
      <c r="CO10" s="53"/>
      <c r="CP10" s="53"/>
      <c r="CQ10" s="53"/>
      <c r="CR10" s="53"/>
      <c r="CS10" s="53"/>
      <c r="CT10" s="53"/>
      <c r="CU10" s="53"/>
      <c r="CV10" s="53"/>
      <c r="CW10" s="53"/>
      <c r="CX10" s="53"/>
      <c r="CY10" s="53"/>
      <c r="CZ10" s="53"/>
      <c r="DA10" s="53"/>
      <c r="DB10" s="53"/>
      <c r="DC10" s="53"/>
      <c r="DD10" s="53"/>
      <c r="DE10" s="53"/>
      <c r="DF10" s="53"/>
      <c r="DG10" s="53"/>
      <c r="DH10" s="53"/>
      <c r="DI10" s="53"/>
      <c r="DJ10" s="53"/>
      <c r="DK10" s="53"/>
      <c r="DL10" s="53"/>
      <c r="DM10" s="53"/>
      <c r="DN10" s="53"/>
      <c r="DO10" s="53"/>
      <c r="DP10" s="53"/>
      <c r="DQ10" s="53"/>
      <c r="DR10" s="53"/>
      <c r="DS10" s="53"/>
      <c r="DT10" s="53"/>
      <c r="DU10" s="53"/>
      <c r="DV10" s="53"/>
      <c r="DW10" s="53"/>
      <c r="DX10" s="53"/>
      <c r="DY10" s="53"/>
      <c r="DZ10" s="53"/>
      <c r="EA10" s="53"/>
      <c r="EB10" s="53"/>
      <c r="EC10" s="53"/>
      <c r="ED10" s="53"/>
      <c r="EE10" s="53"/>
      <c r="EF10" s="53"/>
      <c r="EG10" s="53"/>
      <c r="EH10" s="53"/>
      <c r="EI10" s="53"/>
      <c r="EJ10" s="53"/>
      <c r="EK10" s="53"/>
      <c r="EL10" s="53"/>
      <c r="EM10" s="53"/>
      <c r="EN10" s="53"/>
      <c r="EO10" s="53"/>
      <c r="EP10" s="53"/>
      <c r="EQ10" s="53"/>
      <c r="ER10" s="53"/>
      <c r="ES10" s="53"/>
      <c r="ET10" s="53"/>
      <c r="EU10" s="53"/>
      <c r="EV10" s="53"/>
      <c r="EW10" s="53"/>
      <c r="EX10" s="53"/>
      <c r="EY10" s="53"/>
      <c r="EZ10" s="53"/>
      <c r="FA10" s="53"/>
      <c r="FB10" s="53"/>
      <c r="FC10" s="53"/>
      <c r="FD10" s="53"/>
      <c r="FE10" s="53"/>
      <c r="FF10" s="53"/>
      <c r="FG10" s="53"/>
      <c r="FH10" s="53"/>
      <c r="FI10" s="53"/>
      <c r="FJ10" s="53"/>
      <c r="FK10" s="53"/>
      <c r="FL10" s="53"/>
      <c r="FM10" s="53"/>
      <c r="FN10" s="53"/>
      <c r="FO10" s="53"/>
      <c r="FP10" s="53"/>
      <c r="FQ10" s="53"/>
      <c r="FR10" s="53"/>
      <c r="FS10" s="53"/>
      <c r="FT10" s="53"/>
      <c r="FU10" s="53"/>
      <c r="FV10" s="53"/>
      <c r="FW10" s="53"/>
      <c r="FX10" s="53"/>
      <c r="FY10" s="53"/>
      <c r="FZ10" s="53"/>
      <c r="GA10" s="53"/>
      <c r="GB10" s="53"/>
      <c r="GC10" s="53"/>
      <c r="GD10" s="53"/>
      <c r="GE10" s="53"/>
      <c r="GF10" s="53"/>
      <c r="GG10" s="53"/>
      <c r="GH10" s="53"/>
      <c r="GI10" s="53"/>
      <c r="GJ10" s="53"/>
      <c r="GK10" s="53"/>
      <c r="GL10" s="53"/>
      <c r="GM10" s="53"/>
      <c r="GN10" s="53"/>
      <c r="GO10" s="53"/>
      <c r="GP10" s="53"/>
      <c r="GQ10" s="53"/>
      <c r="GR10" s="53"/>
      <c r="GS10" s="53"/>
      <c r="GT10" s="53"/>
      <c r="GU10" s="53"/>
      <c r="GV10" s="53"/>
      <c r="GW10" s="53"/>
      <c r="GX10" s="53"/>
      <c r="GY10" s="53"/>
      <c r="GZ10" s="53"/>
      <c r="HA10" s="53"/>
      <c r="HB10" s="53"/>
      <c r="HC10" s="53"/>
      <c r="HD10" s="53"/>
      <c r="HE10" s="53"/>
      <c r="HF10" s="53"/>
      <c r="HG10" s="53"/>
      <c r="HH10" s="53"/>
      <c r="HI10" s="53"/>
      <c r="HJ10" s="53"/>
      <c r="HK10" s="53"/>
      <c r="HL10" s="53"/>
      <c r="HM10" s="53"/>
      <c r="HN10" s="53"/>
      <c r="HO10" s="53"/>
      <c r="HP10" s="53"/>
      <c r="HQ10" s="53"/>
      <c r="HR10" s="53"/>
      <c r="HS10" s="53"/>
      <c r="HT10" s="53"/>
      <c r="HU10" s="53"/>
      <c r="HV10" s="53"/>
      <c r="HW10" s="53"/>
      <c r="HX10" s="53"/>
      <c r="HY10" s="53"/>
      <c r="HZ10" s="53"/>
      <c r="IA10" s="53"/>
      <c r="IB10" s="53"/>
      <c r="IC10" s="53"/>
      <c r="ID10" s="53"/>
      <c r="IE10" s="53"/>
      <c r="IF10" s="53"/>
      <c r="IG10" s="53"/>
      <c r="IH10" s="53"/>
      <c r="II10" s="53"/>
      <c r="IJ10" s="53"/>
      <c r="IK10" s="53"/>
      <c r="IL10" s="53"/>
      <c r="IM10" s="53"/>
      <c r="IN10" s="53"/>
    </row>
    <row r="11" spans="1:248" ht="13.15" x14ac:dyDescent="0.4">
      <c r="A11" s="124">
        <f>COUNT($A$6:A10)+1</f>
        <v>6</v>
      </c>
      <c r="B11" s="119">
        <f>+'Nov OPP'!D22</f>
        <v>0</v>
      </c>
      <c r="C11" s="136">
        <f>+'Nov OPP'!F22</f>
        <v>0</v>
      </c>
      <c r="D11" s="137">
        <f>+'Nov OPP'!G22</f>
        <v>0</v>
      </c>
      <c r="E11" s="120" t="str">
        <f>IF('Nov OPP'!G22=0," ",IF('Nov OPP'!H22=1,"NYC",IF('Nov OPP'!I22=1,"LI",IF('Nov OPP'!J22=1,"ROS",IF('Nov OPP'!K22=1,"NE",IF('Nov OPP'!L22=1,"NE",IF('Nov OPP'!M22=1,"HQ",IF('Nov OPP'!N22=1,"OH"," "))))))))</f>
        <v xml:space="preserve"> </v>
      </c>
      <c r="F11" s="121"/>
      <c r="G11" s="138"/>
      <c r="H11" s="123">
        <f t="shared" si="0"/>
        <v>0</v>
      </c>
      <c r="I11" s="179" t="str">
        <f>+'Nov OPP'!C22</f>
        <v>N</v>
      </c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53"/>
      <c r="BJ11" s="53"/>
      <c r="BK11" s="53"/>
      <c r="BL11" s="53"/>
      <c r="BM11" s="53"/>
      <c r="BN11" s="53"/>
      <c r="BO11" s="53"/>
      <c r="BP11" s="53"/>
      <c r="BQ11" s="53"/>
      <c r="BR11" s="53"/>
      <c r="BS11" s="53"/>
      <c r="BT11" s="53"/>
      <c r="BU11" s="53"/>
      <c r="BV11" s="53"/>
      <c r="BW11" s="53"/>
      <c r="BX11" s="53"/>
      <c r="BY11" s="53"/>
      <c r="BZ11" s="53"/>
      <c r="CA11" s="53"/>
      <c r="CB11" s="53"/>
      <c r="CC11" s="53"/>
      <c r="CD11" s="53"/>
      <c r="CE11" s="53"/>
      <c r="CF11" s="53"/>
      <c r="CG11" s="53"/>
      <c r="CH11" s="53"/>
      <c r="CI11" s="53"/>
      <c r="CJ11" s="53"/>
      <c r="CK11" s="53"/>
      <c r="CL11" s="53"/>
      <c r="CM11" s="53"/>
      <c r="CN11" s="53"/>
      <c r="CO11" s="53"/>
      <c r="CP11" s="53"/>
      <c r="CQ11" s="53"/>
      <c r="CR11" s="53"/>
      <c r="CS11" s="53"/>
      <c r="CT11" s="53"/>
      <c r="CU11" s="53"/>
      <c r="CV11" s="53"/>
      <c r="CW11" s="53"/>
      <c r="CX11" s="53"/>
      <c r="CY11" s="53"/>
      <c r="CZ11" s="53"/>
      <c r="DA11" s="53"/>
      <c r="DB11" s="53"/>
      <c r="DC11" s="53"/>
      <c r="DD11" s="53"/>
      <c r="DE11" s="53"/>
      <c r="DF11" s="53"/>
      <c r="DG11" s="53"/>
      <c r="DH11" s="53"/>
      <c r="DI11" s="53"/>
      <c r="DJ11" s="53"/>
      <c r="DK11" s="53"/>
      <c r="DL11" s="53"/>
      <c r="DM11" s="53"/>
      <c r="DN11" s="53"/>
      <c r="DO11" s="53"/>
      <c r="DP11" s="53"/>
      <c r="DQ11" s="53"/>
      <c r="DR11" s="53"/>
      <c r="DS11" s="53"/>
      <c r="DT11" s="53"/>
      <c r="DU11" s="53"/>
      <c r="DV11" s="53"/>
      <c r="DW11" s="53"/>
      <c r="DX11" s="53"/>
      <c r="DY11" s="53"/>
      <c r="DZ11" s="53"/>
      <c r="EA11" s="53"/>
      <c r="EB11" s="53"/>
      <c r="EC11" s="53"/>
      <c r="ED11" s="53"/>
      <c r="EE11" s="53"/>
      <c r="EF11" s="53"/>
      <c r="EG11" s="53"/>
      <c r="EH11" s="53"/>
      <c r="EI11" s="53"/>
      <c r="EJ11" s="53"/>
      <c r="EK11" s="53"/>
      <c r="EL11" s="53"/>
      <c r="EM11" s="53"/>
      <c r="EN11" s="53"/>
      <c r="EO11" s="53"/>
      <c r="EP11" s="53"/>
      <c r="EQ11" s="53"/>
      <c r="ER11" s="53"/>
      <c r="ES11" s="53"/>
      <c r="ET11" s="53"/>
      <c r="EU11" s="53"/>
      <c r="EV11" s="53"/>
      <c r="EW11" s="53"/>
      <c r="EX11" s="53"/>
      <c r="EY11" s="53"/>
      <c r="EZ11" s="53"/>
      <c r="FA11" s="53"/>
      <c r="FB11" s="53"/>
      <c r="FC11" s="53"/>
      <c r="FD11" s="53"/>
      <c r="FE11" s="53"/>
      <c r="FF11" s="53"/>
      <c r="FG11" s="53"/>
      <c r="FH11" s="53"/>
      <c r="FI11" s="53"/>
      <c r="FJ11" s="53"/>
      <c r="FK11" s="53"/>
      <c r="FL11" s="53"/>
      <c r="FM11" s="53"/>
      <c r="FN11" s="53"/>
      <c r="FO11" s="53"/>
      <c r="FP11" s="53"/>
      <c r="FQ11" s="53"/>
      <c r="FR11" s="53"/>
      <c r="FS11" s="53"/>
      <c r="FT11" s="53"/>
      <c r="FU11" s="53"/>
      <c r="FV11" s="53"/>
      <c r="FW11" s="53"/>
      <c r="FX11" s="53"/>
      <c r="FY11" s="53"/>
      <c r="FZ11" s="53"/>
      <c r="GA11" s="53"/>
      <c r="GB11" s="53"/>
      <c r="GC11" s="53"/>
      <c r="GD11" s="53"/>
      <c r="GE11" s="53"/>
      <c r="GF11" s="53"/>
      <c r="GG11" s="53"/>
      <c r="GH11" s="53"/>
      <c r="GI11" s="53"/>
      <c r="GJ11" s="53"/>
      <c r="GK11" s="53"/>
      <c r="GL11" s="53"/>
      <c r="GM11" s="53"/>
      <c r="GN11" s="53"/>
      <c r="GO11" s="53"/>
      <c r="GP11" s="53"/>
      <c r="GQ11" s="53"/>
      <c r="GR11" s="53"/>
      <c r="GS11" s="53"/>
      <c r="GT11" s="53"/>
      <c r="GU11" s="53"/>
      <c r="GV11" s="53"/>
      <c r="GW11" s="53"/>
      <c r="GX11" s="53"/>
      <c r="GY11" s="53"/>
      <c r="GZ11" s="53"/>
      <c r="HA11" s="53"/>
      <c r="HB11" s="53"/>
      <c r="HC11" s="53"/>
      <c r="HD11" s="53"/>
      <c r="HE11" s="53"/>
      <c r="HF11" s="53"/>
      <c r="HG11" s="53"/>
      <c r="HH11" s="53"/>
      <c r="HI11" s="53"/>
      <c r="HJ11" s="53"/>
      <c r="HK11" s="53"/>
      <c r="HL11" s="53"/>
      <c r="HM11" s="53"/>
      <c r="HN11" s="53"/>
      <c r="HO11" s="53"/>
      <c r="HP11" s="53"/>
      <c r="HQ11" s="53"/>
      <c r="HR11" s="53"/>
      <c r="HS11" s="53"/>
      <c r="HT11" s="53"/>
      <c r="HU11" s="53"/>
      <c r="HV11" s="53"/>
      <c r="HW11" s="53"/>
      <c r="HX11" s="53"/>
      <c r="HY11" s="53"/>
      <c r="HZ11" s="53"/>
      <c r="IA11" s="53"/>
      <c r="IB11" s="53"/>
      <c r="IC11" s="53"/>
      <c r="ID11" s="53"/>
      <c r="IE11" s="53"/>
      <c r="IF11" s="53"/>
      <c r="IG11" s="53"/>
      <c r="IH11" s="53"/>
      <c r="II11" s="53"/>
      <c r="IJ11" s="53"/>
      <c r="IK11" s="53"/>
      <c r="IL11" s="53"/>
      <c r="IM11" s="53"/>
      <c r="IN11" s="53"/>
    </row>
    <row r="12" spans="1:248" ht="13.15" x14ac:dyDescent="0.4">
      <c r="A12" s="124">
        <f>COUNT($A$6:A11)+1</f>
        <v>7</v>
      </c>
      <c r="B12" s="119">
        <f>+'Nov OPP'!D23</f>
        <v>0</v>
      </c>
      <c r="C12" s="136">
        <f>+'Nov OPP'!F23</f>
        <v>0</v>
      </c>
      <c r="D12" s="137">
        <f>+'Nov OPP'!G23</f>
        <v>0</v>
      </c>
      <c r="E12" s="120" t="str">
        <f>IF('Nov OPP'!G23=0," ",IF('Nov OPP'!H23=1,"NYC",IF('Nov OPP'!I23=1,"LI",IF('Nov OPP'!J23=1,"ROS",IF('Nov OPP'!K23=1,"NE",IF('Nov OPP'!L23=1,"NE",IF('Nov OPP'!M23=1,"HQ",IF('Nov OPP'!N23=1,"OH"," "))))))))</f>
        <v xml:space="preserve"> </v>
      </c>
      <c r="F12" s="121"/>
      <c r="G12" s="138"/>
      <c r="H12" s="123">
        <f t="shared" si="0"/>
        <v>0</v>
      </c>
      <c r="I12" s="179" t="str">
        <f>+'Nov OPP'!C23</f>
        <v>N</v>
      </c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53"/>
      <c r="BJ12" s="53"/>
      <c r="BK12" s="53"/>
      <c r="BL12" s="53"/>
      <c r="BM12" s="53"/>
      <c r="BN12" s="53"/>
      <c r="BO12" s="53"/>
      <c r="BP12" s="53"/>
      <c r="BQ12" s="53"/>
      <c r="BR12" s="53"/>
      <c r="BS12" s="53"/>
      <c r="BT12" s="53"/>
      <c r="BU12" s="53"/>
      <c r="BV12" s="53"/>
      <c r="BW12" s="53"/>
      <c r="BX12" s="53"/>
      <c r="BY12" s="53"/>
      <c r="BZ12" s="53"/>
      <c r="CA12" s="53"/>
      <c r="CB12" s="53"/>
      <c r="CC12" s="53"/>
      <c r="CD12" s="53"/>
      <c r="CE12" s="53"/>
      <c r="CF12" s="53"/>
      <c r="CG12" s="53"/>
      <c r="CH12" s="53"/>
      <c r="CI12" s="53"/>
      <c r="CJ12" s="53"/>
      <c r="CK12" s="53"/>
      <c r="CL12" s="53"/>
      <c r="CM12" s="53"/>
      <c r="CN12" s="53"/>
      <c r="CO12" s="53"/>
      <c r="CP12" s="53"/>
      <c r="CQ12" s="53"/>
      <c r="CR12" s="53"/>
      <c r="CS12" s="53"/>
      <c r="CT12" s="53"/>
      <c r="CU12" s="53"/>
      <c r="CV12" s="53"/>
      <c r="CW12" s="53"/>
      <c r="CX12" s="53"/>
      <c r="CY12" s="53"/>
      <c r="CZ12" s="53"/>
      <c r="DA12" s="53"/>
      <c r="DB12" s="53"/>
      <c r="DC12" s="53"/>
      <c r="DD12" s="53"/>
      <c r="DE12" s="53"/>
      <c r="DF12" s="53"/>
      <c r="DG12" s="53"/>
      <c r="DH12" s="53"/>
      <c r="DI12" s="53"/>
      <c r="DJ12" s="53"/>
      <c r="DK12" s="53"/>
      <c r="DL12" s="53"/>
      <c r="DM12" s="53"/>
      <c r="DN12" s="53"/>
      <c r="DO12" s="53"/>
      <c r="DP12" s="53"/>
      <c r="DQ12" s="53"/>
      <c r="DR12" s="53"/>
      <c r="DS12" s="53"/>
      <c r="DT12" s="53"/>
      <c r="DU12" s="53"/>
      <c r="DV12" s="53"/>
      <c r="DW12" s="53"/>
      <c r="DX12" s="53"/>
      <c r="DY12" s="53"/>
      <c r="DZ12" s="53"/>
      <c r="EA12" s="53"/>
      <c r="EB12" s="53"/>
      <c r="EC12" s="53"/>
      <c r="ED12" s="53"/>
      <c r="EE12" s="53"/>
      <c r="EF12" s="53"/>
      <c r="EG12" s="53"/>
      <c r="EH12" s="53"/>
      <c r="EI12" s="53"/>
      <c r="EJ12" s="53"/>
      <c r="EK12" s="53"/>
      <c r="EL12" s="53"/>
      <c r="EM12" s="53"/>
      <c r="EN12" s="53"/>
      <c r="EO12" s="53"/>
      <c r="EP12" s="53"/>
      <c r="EQ12" s="53"/>
      <c r="ER12" s="53"/>
      <c r="ES12" s="53"/>
      <c r="ET12" s="53"/>
      <c r="EU12" s="53"/>
      <c r="EV12" s="53"/>
      <c r="EW12" s="53"/>
      <c r="EX12" s="53"/>
      <c r="EY12" s="53"/>
      <c r="EZ12" s="53"/>
      <c r="FA12" s="53"/>
      <c r="FB12" s="53"/>
      <c r="FC12" s="53"/>
      <c r="FD12" s="53"/>
      <c r="FE12" s="53"/>
      <c r="FF12" s="53"/>
      <c r="FG12" s="53"/>
      <c r="FH12" s="53"/>
      <c r="FI12" s="53"/>
      <c r="FJ12" s="53"/>
      <c r="FK12" s="53"/>
      <c r="FL12" s="53"/>
      <c r="FM12" s="53"/>
      <c r="FN12" s="53"/>
      <c r="FO12" s="53"/>
      <c r="FP12" s="53"/>
      <c r="FQ12" s="53"/>
      <c r="FR12" s="53"/>
      <c r="FS12" s="53"/>
      <c r="FT12" s="53"/>
      <c r="FU12" s="53"/>
      <c r="FV12" s="53"/>
      <c r="FW12" s="53"/>
      <c r="FX12" s="53"/>
      <c r="FY12" s="53"/>
      <c r="FZ12" s="53"/>
      <c r="GA12" s="53"/>
      <c r="GB12" s="53"/>
      <c r="GC12" s="53"/>
      <c r="GD12" s="53"/>
      <c r="GE12" s="53"/>
      <c r="GF12" s="53"/>
      <c r="GG12" s="53"/>
      <c r="GH12" s="53"/>
      <c r="GI12" s="53"/>
      <c r="GJ12" s="53"/>
      <c r="GK12" s="53"/>
      <c r="GL12" s="53"/>
      <c r="GM12" s="53"/>
      <c r="GN12" s="53"/>
      <c r="GO12" s="53"/>
      <c r="GP12" s="53"/>
      <c r="GQ12" s="53"/>
      <c r="GR12" s="53"/>
      <c r="GS12" s="53"/>
      <c r="GT12" s="53"/>
      <c r="GU12" s="53"/>
      <c r="GV12" s="53"/>
      <c r="GW12" s="53"/>
      <c r="GX12" s="53"/>
      <c r="GY12" s="53"/>
      <c r="GZ12" s="53"/>
      <c r="HA12" s="53"/>
      <c r="HB12" s="53"/>
      <c r="HC12" s="53"/>
      <c r="HD12" s="53"/>
      <c r="HE12" s="53"/>
      <c r="HF12" s="53"/>
      <c r="HG12" s="53"/>
      <c r="HH12" s="53"/>
      <c r="HI12" s="53"/>
      <c r="HJ12" s="53"/>
      <c r="HK12" s="53"/>
      <c r="HL12" s="53"/>
      <c r="HM12" s="53"/>
      <c r="HN12" s="53"/>
      <c r="HO12" s="53"/>
      <c r="HP12" s="53"/>
      <c r="HQ12" s="53"/>
      <c r="HR12" s="53"/>
      <c r="HS12" s="53"/>
      <c r="HT12" s="53"/>
      <c r="HU12" s="53"/>
      <c r="HV12" s="53"/>
      <c r="HW12" s="53"/>
      <c r="HX12" s="53"/>
      <c r="HY12" s="53"/>
      <c r="HZ12" s="53"/>
      <c r="IA12" s="53"/>
      <c r="IB12" s="53"/>
      <c r="IC12" s="53"/>
      <c r="ID12" s="53"/>
      <c r="IE12" s="53"/>
      <c r="IF12" s="53"/>
      <c r="IG12" s="53"/>
      <c r="IH12" s="53"/>
      <c r="II12" s="53"/>
      <c r="IJ12" s="53"/>
      <c r="IK12" s="53"/>
      <c r="IL12" s="53"/>
      <c r="IM12" s="53"/>
      <c r="IN12" s="53"/>
    </row>
    <row r="13" spans="1:248" ht="13.5" thickBot="1" x14ac:dyDescent="0.45">
      <c r="A13" s="124">
        <f>COUNT($A$6:A12)+1</f>
        <v>8</v>
      </c>
      <c r="B13" s="119">
        <f>+'Nov OPP'!D24</f>
        <v>0</v>
      </c>
      <c r="C13" s="136">
        <f>+'Nov OPP'!F24</f>
        <v>0</v>
      </c>
      <c r="D13" s="137">
        <f>+'Nov OPP'!G24</f>
        <v>0</v>
      </c>
      <c r="E13" s="120" t="str">
        <f>IF('Nov OPP'!G24=0," ",IF('Nov OPP'!H24=1,"NYC",IF('Nov OPP'!I24=1,"LI",IF('Nov OPP'!J24=1,"ROS",IF('Nov OPP'!K24=1,"NE",IF('Nov OPP'!L24=1,"NE",IF('Nov OPP'!M24=1,"HQ",IF('Nov OPP'!N24=1,"OH"," "))))))))</f>
        <v xml:space="preserve"> </v>
      </c>
      <c r="F13" s="121"/>
      <c r="G13" s="138"/>
      <c r="H13" s="126">
        <f t="shared" si="0"/>
        <v>0</v>
      </c>
      <c r="I13" s="179" t="str">
        <f>+'Nov OPP'!C24</f>
        <v>N</v>
      </c>
    </row>
    <row r="14" spans="1:248" ht="13.15" thickBot="1" x14ac:dyDescent="0.4">
      <c r="A14" s="113"/>
      <c r="B14" s="114"/>
      <c r="C14" s="128" t="s">
        <v>68</v>
      </c>
      <c r="D14" s="129" t="str">
        <f>+'Nov OPP'!E8</f>
        <v>November</v>
      </c>
      <c r="E14" s="130"/>
      <c r="F14" s="135" t="s">
        <v>70</v>
      </c>
      <c r="G14" s="71"/>
      <c r="H14" s="127">
        <f>SUM(H6:H13)</f>
        <v>0</v>
      </c>
      <c r="I14" s="118"/>
      <c r="J14" s="86" t="s">
        <v>76</v>
      </c>
    </row>
    <row r="15" spans="1:248" ht="13.15" thickBot="1" x14ac:dyDescent="0.4">
      <c r="A15" s="23"/>
      <c r="B15" s="23"/>
      <c r="C15" s="72"/>
      <c r="D15" s="73"/>
      <c r="J15" s="86" t="s">
        <v>77</v>
      </c>
    </row>
    <row r="16" spans="1:248" ht="30.75" x14ac:dyDescent="0.35">
      <c r="A16" s="108" t="s">
        <v>39</v>
      </c>
      <c r="B16" s="109" t="s">
        <v>41</v>
      </c>
      <c r="C16" s="131" t="s">
        <v>54</v>
      </c>
      <c r="D16" s="132" t="s">
        <v>52</v>
      </c>
      <c r="E16" s="133" t="s">
        <v>55</v>
      </c>
      <c r="F16" s="133" t="s">
        <v>69</v>
      </c>
      <c r="G16" s="111" t="s">
        <v>50</v>
      </c>
      <c r="H16" s="111" t="s">
        <v>91</v>
      </c>
      <c r="I16" s="134" t="s">
        <v>107</v>
      </c>
    </row>
    <row r="17" spans="1:12" ht="13.15" x14ac:dyDescent="0.4">
      <c r="A17" s="124">
        <v>1</v>
      </c>
      <c r="B17" s="119">
        <f>+'Dec OPP'!D17</f>
        <v>0</v>
      </c>
      <c r="C17" s="136" t="str">
        <f>+'Dec OPP'!E17</f>
        <v/>
      </c>
      <c r="D17" s="137">
        <f>+'Dec OPP'!F17</f>
        <v>0</v>
      </c>
      <c r="E17" s="120">
        <f>+'Dec OPP'!G17</f>
        <v>0</v>
      </c>
      <c r="F17" s="121"/>
      <c r="G17" s="138"/>
      <c r="H17" s="123">
        <f>F17*G17*1000</f>
        <v>0</v>
      </c>
      <c r="I17" s="179" t="str">
        <f>+'Dec OPP'!C17</f>
        <v>N</v>
      </c>
      <c r="J17" s="70" t="str">
        <f>+IF(+SUM(A17:A24)&lt;SUM('Dec OPP'!$A$17:$A$24),"INSERT Rows",IF(SUM(A17:A24)&gt;SUM('Dec OPP'!$A$17:$A$24),"                                         DELETE Rows"," "))</f>
        <v xml:space="preserve"> </v>
      </c>
    </row>
    <row r="18" spans="1:12" ht="13.15" x14ac:dyDescent="0.4">
      <c r="A18" s="124">
        <f>COUNT($A$17:A17)+1</f>
        <v>2</v>
      </c>
      <c r="B18" s="119">
        <f>+'Dec OPP'!D18</f>
        <v>0</v>
      </c>
      <c r="C18" s="136" t="str">
        <f>+'Dec OPP'!E18</f>
        <v/>
      </c>
      <c r="D18" s="137">
        <f>+'Dec OPP'!F18</f>
        <v>0</v>
      </c>
      <c r="E18" s="120">
        <f>+'Dec OPP'!G18</f>
        <v>0</v>
      </c>
      <c r="F18" s="121"/>
      <c r="G18" s="138"/>
      <c r="H18" s="123">
        <f t="shared" ref="H18:H24" si="1">F18*G18*1000</f>
        <v>0</v>
      </c>
      <c r="I18" s="179" t="str">
        <f>+'Dec OPP'!C18</f>
        <v>N</v>
      </c>
    </row>
    <row r="19" spans="1:12" ht="13.15" x14ac:dyDescent="0.4">
      <c r="A19" s="124">
        <f>COUNT($A$17:A18)+1</f>
        <v>3</v>
      </c>
      <c r="B19" s="119">
        <f>+'Dec OPP'!D19</f>
        <v>0</v>
      </c>
      <c r="C19" s="136" t="str">
        <f>+'Dec OPP'!E19</f>
        <v/>
      </c>
      <c r="D19" s="137">
        <f>+'Dec OPP'!F19</f>
        <v>0</v>
      </c>
      <c r="E19" s="120">
        <f>+'Dec OPP'!G19</f>
        <v>0</v>
      </c>
      <c r="F19" s="121"/>
      <c r="G19" s="138"/>
      <c r="H19" s="123">
        <f t="shared" si="1"/>
        <v>0</v>
      </c>
      <c r="I19" s="179" t="str">
        <f>+'Dec OPP'!C19</f>
        <v>N</v>
      </c>
    </row>
    <row r="20" spans="1:12" ht="13.15" x14ac:dyDescent="0.4">
      <c r="A20" s="124">
        <f>COUNT($A$17:A19)+1</f>
        <v>4</v>
      </c>
      <c r="B20" s="119">
        <f>+'Dec OPP'!D20</f>
        <v>0</v>
      </c>
      <c r="C20" s="136" t="str">
        <f>+'Dec OPP'!E20</f>
        <v/>
      </c>
      <c r="D20" s="137">
        <f>+'Dec OPP'!F20</f>
        <v>0</v>
      </c>
      <c r="E20" s="120">
        <f>+'Dec OPP'!G20</f>
        <v>0</v>
      </c>
      <c r="F20" s="121"/>
      <c r="G20" s="138"/>
      <c r="H20" s="123">
        <f t="shared" si="1"/>
        <v>0</v>
      </c>
      <c r="I20" s="179" t="str">
        <f>+'Dec OPP'!C20</f>
        <v>N</v>
      </c>
    </row>
    <row r="21" spans="1:12" ht="13.15" x14ac:dyDescent="0.4">
      <c r="A21" s="124">
        <f>COUNT($A$17:A20)+1</f>
        <v>5</v>
      </c>
      <c r="B21" s="119">
        <f>+'Dec OPP'!D21</f>
        <v>0</v>
      </c>
      <c r="C21" s="136" t="str">
        <f>+'Dec OPP'!E21</f>
        <v/>
      </c>
      <c r="D21" s="137">
        <f>+'Dec OPP'!F21</f>
        <v>0</v>
      </c>
      <c r="E21" s="120">
        <f>+'Dec OPP'!G21</f>
        <v>0</v>
      </c>
      <c r="F21" s="121"/>
      <c r="G21" s="138"/>
      <c r="H21" s="123">
        <f t="shared" si="1"/>
        <v>0</v>
      </c>
      <c r="I21" s="179" t="str">
        <f>+'Dec OPP'!C21</f>
        <v>N</v>
      </c>
      <c r="L21" t="s">
        <v>92</v>
      </c>
    </row>
    <row r="22" spans="1:12" ht="13.15" x14ac:dyDescent="0.4">
      <c r="A22" s="124">
        <f>COUNT($A$17:A21)+1</f>
        <v>6</v>
      </c>
      <c r="B22" s="119">
        <f>+'Dec OPP'!D22</f>
        <v>0</v>
      </c>
      <c r="C22" s="136" t="str">
        <f>+'Dec OPP'!E22</f>
        <v/>
      </c>
      <c r="D22" s="137">
        <f>+'Dec OPP'!F22</f>
        <v>0</v>
      </c>
      <c r="E22" s="120">
        <f>+'Dec OPP'!G22</f>
        <v>0</v>
      </c>
      <c r="F22" s="121"/>
      <c r="G22" s="138"/>
      <c r="H22" s="123">
        <f t="shared" si="1"/>
        <v>0</v>
      </c>
      <c r="I22" s="179" t="str">
        <f>+'Dec OPP'!C22</f>
        <v>N</v>
      </c>
    </row>
    <row r="23" spans="1:12" ht="13.15" x14ac:dyDescent="0.4">
      <c r="A23" s="124">
        <f>COUNT($A$17:A22)+1</f>
        <v>7</v>
      </c>
      <c r="B23" s="119">
        <f>+'Dec OPP'!D23</f>
        <v>0</v>
      </c>
      <c r="C23" s="136" t="str">
        <f>+'Dec OPP'!E23</f>
        <v/>
      </c>
      <c r="D23" s="137">
        <f>+'Dec OPP'!F23</f>
        <v>0</v>
      </c>
      <c r="E23" s="120">
        <f>+'Dec OPP'!G23</f>
        <v>0</v>
      </c>
      <c r="F23" s="121"/>
      <c r="G23" s="138"/>
      <c r="H23" s="123">
        <f t="shared" si="1"/>
        <v>0</v>
      </c>
      <c r="I23" s="179" t="str">
        <f>+'Dec OPP'!C23</f>
        <v>N</v>
      </c>
    </row>
    <row r="24" spans="1:12" ht="13.5" thickBot="1" x14ac:dyDescent="0.45">
      <c r="A24" s="124">
        <f>COUNT($A$17:A23)+1</f>
        <v>8</v>
      </c>
      <c r="B24" s="119">
        <f>+'Dec OPP'!D24</f>
        <v>0</v>
      </c>
      <c r="C24" s="136" t="str">
        <f>+'Dec OPP'!E24</f>
        <v/>
      </c>
      <c r="D24" s="137">
        <f>+'Dec OPP'!F24</f>
        <v>0</v>
      </c>
      <c r="E24" s="120">
        <f>+'Dec OPP'!G24</f>
        <v>0</v>
      </c>
      <c r="F24" s="121"/>
      <c r="G24" s="138"/>
      <c r="H24" s="126">
        <f t="shared" si="1"/>
        <v>0</v>
      </c>
      <c r="I24" s="179" t="str">
        <f>+'Dec OPP'!C24</f>
        <v>N</v>
      </c>
    </row>
    <row r="25" spans="1:12" ht="13.15" thickBot="1" x14ac:dyDescent="0.4">
      <c r="A25" s="113"/>
      <c r="B25" s="114"/>
      <c r="C25" s="128" t="s">
        <v>68</v>
      </c>
      <c r="D25" s="129" t="str">
        <f>+'Dec OPP'!E8</f>
        <v>December</v>
      </c>
      <c r="E25" s="130"/>
      <c r="F25" s="135" t="s">
        <v>70</v>
      </c>
      <c r="G25" s="71"/>
      <c r="H25" s="127">
        <f>SUM(H17:H24)</f>
        <v>0</v>
      </c>
      <c r="I25" s="118"/>
      <c r="J25" s="86" t="s">
        <v>76</v>
      </c>
    </row>
    <row r="26" spans="1:12" ht="12.75" customHeight="1" thickBot="1" x14ac:dyDescent="0.4">
      <c r="J26" s="86" t="s">
        <v>77</v>
      </c>
    </row>
    <row r="27" spans="1:12" ht="45" customHeight="1" x14ac:dyDescent="0.35">
      <c r="A27" s="108" t="s">
        <v>39</v>
      </c>
      <c r="B27" s="109" t="s">
        <v>41</v>
      </c>
      <c r="C27" s="131" t="s">
        <v>54</v>
      </c>
      <c r="D27" s="132" t="s">
        <v>52</v>
      </c>
      <c r="E27" s="133" t="s">
        <v>55</v>
      </c>
      <c r="F27" s="133" t="s">
        <v>69</v>
      </c>
      <c r="G27" s="111" t="s">
        <v>50</v>
      </c>
      <c r="H27" s="111" t="s">
        <v>91</v>
      </c>
      <c r="I27" s="134" t="s">
        <v>107</v>
      </c>
    </row>
    <row r="28" spans="1:12" ht="13.15" x14ac:dyDescent="0.4">
      <c r="A28" s="124">
        <v>1</v>
      </c>
      <c r="B28" s="119">
        <f>+'Jan OPP'!D17</f>
        <v>0</v>
      </c>
      <c r="C28" s="136">
        <f>+'Jan OPP'!F17</f>
        <v>0</v>
      </c>
      <c r="D28" s="137">
        <f>+'Jan OPP'!G17</f>
        <v>0</v>
      </c>
      <c r="E28" s="120" t="str">
        <f>IF('Jan OPP'!G17=0," ",IF('Jan OPP'!H17=1,"NYC",IF('Jan OPP'!I17=1,"LI",IF('Jan OPP'!J17=1,"ROS",IF('Jan OPP'!K17=1,"NE",IF('Jan OPP'!L17=1,"NE",IF('Jan OPP'!M17=1,"HQ",IF('Jan OPP'!N17=1,"OH"," "))))))))</f>
        <v xml:space="preserve"> </v>
      </c>
      <c r="F28" s="121"/>
      <c r="G28" s="138"/>
      <c r="H28" s="123">
        <f>F28*G28*1000</f>
        <v>0</v>
      </c>
      <c r="I28" s="179" t="str">
        <f>+'Jan OPP'!C17</f>
        <v>N</v>
      </c>
      <c r="J28" s="70" t="str">
        <f>+IF(+SUM(A28:A35)&lt;SUM('Jan OPP'!$A$17:$A$24),"INSERT Rows",IF(SUM(A28:A35)&gt;SUM('Jan OPP'!$A$17:$A$24),"                                         DELETE Rows"," "))</f>
        <v xml:space="preserve"> </v>
      </c>
    </row>
    <row r="29" spans="1:12" ht="13.15" x14ac:dyDescent="0.4">
      <c r="A29" s="124">
        <f>COUNT($A$28:A28)+1</f>
        <v>2</v>
      </c>
      <c r="B29" s="119">
        <f>+'Jan OPP'!D18</f>
        <v>0</v>
      </c>
      <c r="C29" s="136">
        <f>+'Jan OPP'!F18</f>
        <v>0</v>
      </c>
      <c r="D29" s="137">
        <f>+'Jan OPP'!G18</f>
        <v>0</v>
      </c>
      <c r="E29" s="120" t="str">
        <f>IF('Jan OPP'!G18=0," ",IF('Jan OPP'!H18=1,"NYC",IF('Jan OPP'!I18=1,"LI",IF('Jan OPP'!J18=1,"ROS",IF('Jan OPP'!K18=1,"NE",IF('Jan OPP'!L18=1,"NE",IF('Jan OPP'!M18=1,"HQ",IF('Jan OPP'!N18=1,"OH"," "))))))))</f>
        <v xml:space="preserve"> </v>
      </c>
      <c r="F29" s="121"/>
      <c r="G29" s="138"/>
      <c r="H29" s="123">
        <f t="shared" ref="H29:H35" si="2">F29*G29*1000</f>
        <v>0</v>
      </c>
      <c r="I29" s="179" t="str">
        <f>+'Jan OPP'!C18</f>
        <v>N</v>
      </c>
    </row>
    <row r="30" spans="1:12" ht="13.15" x14ac:dyDescent="0.4">
      <c r="A30" s="124">
        <f>COUNT($A$28:A29)+1</f>
        <v>3</v>
      </c>
      <c r="B30" s="119">
        <f>+'Jan OPP'!D19</f>
        <v>0</v>
      </c>
      <c r="C30" s="136">
        <f>+'Jan OPP'!F19</f>
        <v>0</v>
      </c>
      <c r="D30" s="137">
        <f>+'Jan OPP'!G19</f>
        <v>0</v>
      </c>
      <c r="E30" s="120" t="str">
        <f>IF('Jan OPP'!G19=0," ",IF('Jan OPP'!H19=1,"NYC",IF('Jan OPP'!I19=1,"LI",IF('Jan OPP'!J19=1,"ROS",IF('Jan OPP'!K19=1,"NE",IF('Jan OPP'!L19=1,"NE",IF('Jan OPP'!M19=1,"HQ",IF('Jan OPP'!N19=1,"OH"," "))))))))</f>
        <v xml:space="preserve"> </v>
      </c>
      <c r="F30" s="121"/>
      <c r="G30" s="138"/>
      <c r="H30" s="123">
        <f t="shared" si="2"/>
        <v>0</v>
      </c>
      <c r="I30" s="179" t="str">
        <f>+'Jan OPP'!C19</f>
        <v>N</v>
      </c>
    </row>
    <row r="31" spans="1:12" ht="13.15" x14ac:dyDescent="0.4">
      <c r="A31" s="124">
        <f>COUNT($A$28:A30)+1</f>
        <v>4</v>
      </c>
      <c r="B31" s="119">
        <f>+'Jan OPP'!D20</f>
        <v>0</v>
      </c>
      <c r="C31" s="136">
        <f>+'Jan OPP'!F20</f>
        <v>0</v>
      </c>
      <c r="D31" s="137">
        <f>+'Jan OPP'!G20</f>
        <v>0</v>
      </c>
      <c r="E31" s="120" t="str">
        <f>IF('Jan OPP'!G20=0," ",IF('Jan OPP'!H20=1,"NYC",IF('Jan OPP'!I20=1,"LI",IF('Jan OPP'!J20=1,"ROS",IF('Jan OPP'!K20=1,"NE",IF('Jan OPP'!L20=1,"NE",IF('Jan OPP'!M20=1,"HQ",IF('Jan OPP'!N20=1,"OH"," "))))))))</f>
        <v xml:space="preserve"> </v>
      </c>
      <c r="F31" s="121"/>
      <c r="G31" s="138"/>
      <c r="H31" s="123">
        <f t="shared" si="2"/>
        <v>0</v>
      </c>
      <c r="I31" s="179" t="str">
        <f>+'Jan OPP'!C20</f>
        <v>N</v>
      </c>
    </row>
    <row r="32" spans="1:12" ht="13.15" x14ac:dyDescent="0.4">
      <c r="A32" s="124">
        <f>COUNT($A$28:A31)+1</f>
        <v>5</v>
      </c>
      <c r="B32" s="119">
        <f>+'Jan OPP'!D21</f>
        <v>0</v>
      </c>
      <c r="C32" s="136">
        <f>+'Jan OPP'!F21</f>
        <v>0</v>
      </c>
      <c r="D32" s="137">
        <f>+'Jan OPP'!G21</f>
        <v>0</v>
      </c>
      <c r="E32" s="120" t="str">
        <f>IF('Jan OPP'!G21=0," ",IF('Jan OPP'!H21=1,"NYC",IF('Jan OPP'!I21=1,"LI",IF('Jan OPP'!J21=1,"ROS",IF('Jan OPP'!K21=1,"NE",IF('Jan OPP'!L21=1,"NE",IF('Jan OPP'!M21=1,"HQ",IF('Jan OPP'!N21=1,"OH"," "))))))))</f>
        <v xml:space="preserve"> </v>
      </c>
      <c r="F32" s="121"/>
      <c r="G32" s="138"/>
      <c r="H32" s="123">
        <f t="shared" si="2"/>
        <v>0</v>
      </c>
      <c r="I32" s="179" t="str">
        <f>+'Jan OPP'!C21</f>
        <v>N</v>
      </c>
    </row>
    <row r="33" spans="1:10" ht="13.15" x14ac:dyDescent="0.4">
      <c r="A33" s="124">
        <f>COUNT($A$28:A32)+1</f>
        <v>6</v>
      </c>
      <c r="B33" s="119">
        <f>+'Jan OPP'!D22</f>
        <v>0</v>
      </c>
      <c r="C33" s="136">
        <f>+'Jan OPP'!F22</f>
        <v>0</v>
      </c>
      <c r="D33" s="137">
        <f>+'Jan OPP'!G22</f>
        <v>0</v>
      </c>
      <c r="E33" s="120" t="str">
        <f>IF('Jan OPP'!G22=0," ",IF('Jan OPP'!H22=1,"NYC",IF('Jan OPP'!I22=1,"LI",IF('Jan OPP'!J22=1,"ROS",IF('Jan OPP'!K22=1,"NE",IF('Jan OPP'!L22=1,"NE",IF('Jan OPP'!M22=1,"HQ",IF('Jan OPP'!N22=1,"OH"," "))))))))</f>
        <v xml:space="preserve"> </v>
      </c>
      <c r="F33" s="121"/>
      <c r="G33" s="138"/>
      <c r="H33" s="123">
        <f t="shared" si="2"/>
        <v>0</v>
      </c>
      <c r="I33" s="179" t="str">
        <f>+'Jan OPP'!C22</f>
        <v>N</v>
      </c>
    </row>
    <row r="34" spans="1:10" ht="13.15" x14ac:dyDescent="0.4">
      <c r="A34" s="124">
        <f>COUNT($A$28:A33)+1</f>
        <v>7</v>
      </c>
      <c r="B34" s="119">
        <f>+'Jan OPP'!D23</f>
        <v>0</v>
      </c>
      <c r="C34" s="136">
        <f>+'Jan OPP'!F23</f>
        <v>0</v>
      </c>
      <c r="D34" s="137">
        <f>+'Jan OPP'!G23</f>
        <v>0</v>
      </c>
      <c r="E34" s="120" t="str">
        <f>IF('Jan OPP'!G23=0," ",IF('Jan OPP'!H23=1,"NYC",IF('Jan OPP'!I23=1,"LI",IF('Jan OPP'!J23=1,"ROS",IF('Jan OPP'!K23=1,"NE",IF('Jan OPP'!L23=1,"NE",IF('Jan OPP'!M23=1,"HQ",IF('Jan OPP'!N23=1,"OH"," "))))))))</f>
        <v xml:space="preserve"> </v>
      </c>
      <c r="F34" s="121"/>
      <c r="G34" s="138"/>
      <c r="H34" s="123">
        <f t="shared" si="2"/>
        <v>0</v>
      </c>
      <c r="I34" s="179" t="str">
        <f>+'Jan OPP'!C23</f>
        <v>N</v>
      </c>
    </row>
    <row r="35" spans="1:10" ht="13.5" thickBot="1" x14ac:dyDescent="0.45">
      <c r="A35" s="124">
        <f>COUNT($A$28:A34)+1</f>
        <v>8</v>
      </c>
      <c r="B35" s="119">
        <f>+'Jan OPP'!D24</f>
        <v>0</v>
      </c>
      <c r="C35" s="136">
        <f>+'Jan OPP'!F24</f>
        <v>0</v>
      </c>
      <c r="D35" s="137">
        <f>+'Jan OPP'!G24</f>
        <v>0</v>
      </c>
      <c r="E35" s="120" t="str">
        <f>IF('Jan OPP'!G24=0," ",IF('Jan OPP'!H24=1,"NYC",IF('Jan OPP'!I24=1,"LI",IF('Jan OPP'!J24=1,"ROS",IF('Jan OPP'!K24=1,"NE",IF('Jan OPP'!L24=1,"NE",IF('Jan OPP'!M24=1,"HQ",IF('Jan OPP'!N24=1,"OH"," "))))))))</f>
        <v xml:space="preserve"> </v>
      </c>
      <c r="F35" s="121"/>
      <c r="G35" s="138"/>
      <c r="H35" s="126">
        <f t="shared" si="2"/>
        <v>0</v>
      </c>
      <c r="I35" s="179" t="str">
        <f>+'Jan OPP'!C24</f>
        <v>N</v>
      </c>
    </row>
    <row r="36" spans="1:10" ht="13.15" thickBot="1" x14ac:dyDescent="0.4">
      <c r="A36" s="113"/>
      <c r="B36" s="114"/>
      <c r="C36" s="128" t="s">
        <v>68</v>
      </c>
      <c r="D36" s="129" t="str">
        <f>+'Jan OPP'!E8</f>
        <v>January</v>
      </c>
      <c r="E36" s="130"/>
      <c r="F36" s="135" t="s">
        <v>70</v>
      </c>
      <c r="G36" s="71"/>
      <c r="H36" s="127">
        <f>SUM(H28:H35)</f>
        <v>0</v>
      </c>
      <c r="I36" s="118"/>
      <c r="J36" s="86" t="s">
        <v>76</v>
      </c>
    </row>
    <row r="37" spans="1:10" ht="13.15" thickBot="1" x14ac:dyDescent="0.4">
      <c r="J37" s="86" t="s">
        <v>77</v>
      </c>
    </row>
    <row r="38" spans="1:10" ht="30.75" x14ac:dyDescent="0.35">
      <c r="A38" s="108" t="s">
        <v>39</v>
      </c>
      <c r="B38" s="109" t="s">
        <v>41</v>
      </c>
      <c r="C38" s="131" t="s">
        <v>54</v>
      </c>
      <c r="D38" s="132" t="s">
        <v>52</v>
      </c>
      <c r="E38" s="133" t="s">
        <v>55</v>
      </c>
      <c r="F38" s="133" t="s">
        <v>69</v>
      </c>
      <c r="G38" s="111" t="s">
        <v>50</v>
      </c>
      <c r="H38" s="111" t="s">
        <v>91</v>
      </c>
      <c r="I38" s="134" t="s">
        <v>107</v>
      </c>
    </row>
    <row r="39" spans="1:10" ht="13.15" x14ac:dyDescent="0.4">
      <c r="A39" s="124">
        <v>1</v>
      </c>
      <c r="B39" s="119">
        <f>+'Feb OPP'!D17</f>
        <v>0</v>
      </c>
      <c r="C39" s="136" t="str">
        <f>+'Feb OPP'!E17</f>
        <v/>
      </c>
      <c r="D39" s="137">
        <f>+'Feb OPP'!F17</f>
        <v>0</v>
      </c>
      <c r="E39" s="120">
        <f>+'Feb OPP'!G17</f>
        <v>0</v>
      </c>
      <c r="F39" s="121"/>
      <c r="G39" s="138"/>
      <c r="H39" s="123">
        <f>F39*G39*1000</f>
        <v>0</v>
      </c>
      <c r="I39" s="179" t="str">
        <f>+'Feb OPP'!C17</f>
        <v>N</v>
      </c>
      <c r="J39" s="70" t="str">
        <f>+IF(+SUM(A39:A46)&lt;SUM('Feb OPP'!$A$17:$A$24),"INSERT Rows",IF(SUM(A39:A46)&gt;SUM('Feb OPP'!$A$17:$A$24),"                                         DELETE Rows"," "))</f>
        <v xml:space="preserve"> </v>
      </c>
    </row>
    <row r="40" spans="1:10" ht="13.15" x14ac:dyDescent="0.4">
      <c r="A40" s="124">
        <f>COUNT($A$39:A39)+1</f>
        <v>2</v>
      </c>
      <c r="B40" s="119">
        <f>+'Feb OPP'!D18</f>
        <v>0</v>
      </c>
      <c r="C40" s="136" t="str">
        <f>+'Feb OPP'!E18</f>
        <v/>
      </c>
      <c r="D40" s="137">
        <f>+'Feb OPP'!F18</f>
        <v>0</v>
      </c>
      <c r="E40" s="120">
        <f>+'Feb OPP'!G18</f>
        <v>0</v>
      </c>
      <c r="F40" s="121"/>
      <c r="G40" s="138"/>
      <c r="H40" s="123">
        <f t="shared" ref="H40:H46" si="3">F40*G40*1000</f>
        <v>0</v>
      </c>
      <c r="I40" s="179" t="str">
        <f>+'Feb OPP'!C18</f>
        <v>N</v>
      </c>
    </row>
    <row r="41" spans="1:10" ht="13.15" x14ac:dyDescent="0.4">
      <c r="A41" s="124">
        <f>COUNT($A$39:A40)+1</f>
        <v>3</v>
      </c>
      <c r="B41" s="119">
        <f>+'Feb OPP'!D19</f>
        <v>0</v>
      </c>
      <c r="C41" s="136" t="str">
        <f>+'Feb OPP'!E19</f>
        <v/>
      </c>
      <c r="D41" s="137">
        <f>+'Feb OPP'!F19</f>
        <v>0</v>
      </c>
      <c r="E41" s="120">
        <f>+'Feb OPP'!G19</f>
        <v>0</v>
      </c>
      <c r="F41" s="121"/>
      <c r="G41" s="138"/>
      <c r="H41" s="123">
        <f t="shared" si="3"/>
        <v>0</v>
      </c>
      <c r="I41" s="179" t="str">
        <f>+'Feb OPP'!C19</f>
        <v>N</v>
      </c>
    </row>
    <row r="42" spans="1:10" ht="13.15" x14ac:dyDescent="0.4">
      <c r="A42" s="124">
        <f>COUNT($A$39:A41)+1</f>
        <v>4</v>
      </c>
      <c r="B42" s="119">
        <f>+'Feb OPP'!D20</f>
        <v>0</v>
      </c>
      <c r="C42" s="136" t="str">
        <f>+'Feb OPP'!E20</f>
        <v/>
      </c>
      <c r="D42" s="137">
        <f>+'Feb OPP'!F20</f>
        <v>0</v>
      </c>
      <c r="E42" s="120">
        <f>+'Feb OPP'!G20</f>
        <v>0</v>
      </c>
      <c r="F42" s="121"/>
      <c r="G42" s="138"/>
      <c r="H42" s="123">
        <f t="shared" si="3"/>
        <v>0</v>
      </c>
      <c r="I42" s="179" t="str">
        <f>+'Feb OPP'!C20</f>
        <v>N</v>
      </c>
    </row>
    <row r="43" spans="1:10" ht="13.15" x14ac:dyDescent="0.4">
      <c r="A43" s="124">
        <f>COUNT($A$39:A42)+1</f>
        <v>5</v>
      </c>
      <c r="B43" s="119">
        <f>+'Feb OPP'!D21</f>
        <v>0</v>
      </c>
      <c r="C43" s="136" t="str">
        <f>+'Feb OPP'!E21</f>
        <v/>
      </c>
      <c r="D43" s="137">
        <f>+'Feb OPP'!F21</f>
        <v>0</v>
      </c>
      <c r="E43" s="120">
        <f>+'Feb OPP'!G21</f>
        <v>0</v>
      </c>
      <c r="F43" s="121"/>
      <c r="G43" s="138"/>
      <c r="H43" s="123">
        <f t="shared" si="3"/>
        <v>0</v>
      </c>
      <c r="I43" s="179" t="str">
        <f>+'Feb OPP'!C21</f>
        <v>N</v>
      </c>
    </row>
    <row r="44" spans="1:10" ht="13.15" x14ac:dyDescent="0.4">
      <c r="A44" s="124">
        <f>COUNT($A$39:A43)+1</f>
        <v>6</v>
      </c>
      <c r="B44" s="119">
        <f>+'Feb OPP'!D22</f>
        <v>0</v>
      </c>
      <c r="C44" s="136" t="str">
        <f>+'Feb OPP'!E22</f>
        <v/>
      </c>
      <c r="D44" s="137">
        <f>+'Feb OPP'!F22</f>
        <v>0</v>
      </c>
      <c r="E44" s="120">
        <f>+'Feb OPP'!G22</f>
        <v>0</v>
      </c>
      <c r="F44" s="121"/>
      <c r="G44" s="138"/>
      <c r="H44" s="123">
        <f t="shared" si="3"/>
        <v>0</v>
      </c>
      <c r="I44" s="179" t="str">
        <f>+'Feb OPP'!C22</f>
        <v>N</v>
      </c>
    </row>
    <row r="45" spans="1:10" ht="13.15" x14ac:dyDescent="0.4">
      <c r="A45" s="124">
        <f>COUNT($A$39:A44)+1</f>
        <v>7</v>
      </c>
      <c r="B45" s="119">
        <f>+'Feb OPP'!D23</f>
        <v>0</v>
      </c>
      <c r="C45" s="136" t="str">
        <f>+'Feb OPP'!E23</f>
        <v/>
      </c>
      <c r="D45" s="137">
        <f>+'Feb OPP'!F23</f>
        <v>0</v>
      </c>
      <c r="E45" s="120">
        <f>+'Feb OPP'!G23</f>
        <v>0</v>
      </c>
      <c r="F45" s="121"/>
      <c r="G45" s="138"/>
      <c r="H45" s="123">
        <f t="shared" si="3"/>
        <v>0</v>
      </c>
      <c r="I45" s="179" t="str">
        <f>+'Feb OPP'!C23</f>
        <v>N</v>
      </c>
    </row>
    <row r="46" spans="1:10" ht="13.5" thickBot="1" x14ac:dyDescent="0.45">
      <c r="A46" s="124">
        <f>COUNT($A$39:A45)+1</f>
        <v>8</v>
      </c>
      <c r="B46" s="119">
        <f>+'Feb OPP'!D24</f>
        <v>0</v>
      </c>
      <c r="C46" s="136" t="str">
        <f>+'Feb OPP'!E24</f>
        <v/>
      </c>
      <c r="D46" s="137">
        <f>+'Feb OPP'!F24</f>
        <v>0</v>
      </c>
      <c r="E46" s="120">
        <f>+'Feb OPP'!G24</f>
        <v>0</v>
      </c>
      <c r="F46" s="121"/>
      <c r="G46" s="138"/>
      <c r="H46" s="126">
        <f t="shared" si="3"/>
        <v>0</v>
      </c>
      <c r="I46" s="179" t="str">
        <f>+'Feb OPP'!C24</f>
        <v>N</v>
      </c>
    </row>
    <row r="47" spans="1:10" ht="13.15" thickBot="1" x14ac:dyDescent="0.4">
      <c r="A47" s="113"/>
      <c r="B47" s="114"/>
      <c r="C47" s="128" t="s">
        <v>68</v>
      </c>
      <c r="D47" s="129" t="str">
        <f>+'Feb OPP'!E8</f>
        <v>February</v>
      </c>
      <c r="E47" s="130"/>
      <c r="F47" s="135" t="s">
        <v>70</v>
      </c>
      <c r="G47" s="71"/>
      <c r="H47" s="127">
        <f>SUM(H39:H46)</f>
        <v>0</v>
      </c>
      <c r="I47" s="118"/>
      <c r="J47" s="86" t="s">
        <v>76</v>
      </c>
    </row>
    <row r="48" spans="1:10" ht="13.15" thickBot="1" x14ac:dyDescent="0.4">
      <c r="J48" s="86" t="s">
        <v>77</v>
      </c>
    </row>
    <row r="49" spans="1:10" ht="30.75" x14ac:dyDescent="0.35">
      <c r="A49" s="108" t="s">
        <v>39</v>
      </c>
      <c r="B49" s="109" t="s">
        <v>41</v>
      </c>
      <c r="C49" s="131" t="s">
        <v>54</v>
      </c>
      <c r="D49" s="132" t="s">
        <v>52</v>
      </c>
      <c r="E49" s="133" t="s">
        <v>55</v>
      </c>
      <c r="F49" s="133" t="s">
        <v>69</v>
      </c>
      <c r="G49" s="111" t="s">
        <v>50</v>
      </c>
      <c r="H49" s="111" t="s">
        <v>91</v>
      </c>
      <c r="I49" s="134" t="s">
        <v>107</v>
      </c>
    </row>
    <row r="50" spans="1:10" ht="13.15" x14ac:dyDescent="0.4">
      <c r="A50" s="124">
        <v>1</v>
      </c>
      <c r="B50" s="119">
        <f>+'Mar OPP'!D17</f>
        <v>0</v>
      </c>
      <c r="C50" s="136">
        <f>+'Mar OPP'!F17</f>
        <v>0</v>
      </c>
      <c r="D50" s="137">
        <f>+'Mar OPP'!G17</f>
        <v>0</v>
      </c>
      <c r="E50" s="120" t="str">
        <f>IF('Mar OPP'!G17=0," ",IF('Mar OPP'!H17=1,"NYC",IF('Mar OPP'!I17=1,"LI",IF('Mar OPP'!J17=1,"ROS",IF('Mar OPP'!K17=1,"NE",IF('Mar OPP'!L17=1,"NE",IF('Mar OPP'!M17=1,"HQ",IF('Mar OPP'!N17=1,"OH"," "))))))))</f>
        <v xml:space="preserve"> </v>
      </c>
      <c r="F50" s="121"/>
      <c r="G50" s="138"/>
      <c r="H50" s="123">
        <f>F50*G50*1000</f>
        <v>0</v>
      </c>
      <c r="I50" s="179" t="str">
        <f>+'Mar OPP'!C17</f>
        <v>N</v>
      </c>
      <c r="J50" s="70" t="str">
        <f>+IF(+SUM(A50:A57)&lt;SUM('Mar OPP'!$A$17:$A$24),"INSERT Rows",IF(SUM(A50:A57)&gt;SUM('Mar OPP'!$A$17:$A$24),"                                         DELETE Rows"," "))</f>
        <v xml:space="preserve"> </v>
      </c>
    </row>
    <row r="51" spans="1:10" ht="13.15" x14ac:dyDescent="0.4">
      <c r="A51" s="124">
        <f>COUNT($A$50:A50)+1</f>
        <v>2</v>
      </c>
      <c r="B51" s="119">
        <f>+'Mar OPP'!D18</f>
        <v>0</v>
      </c>
      <c r="C51" s="136">
        <f>+'Mar OPP'!F18</f>
        <v>0</v>
      </c>
      <c r="D51" s="137">
        <f>+'Mar OPP'!G18</f>
        <v>0</v>
      </c>
      <c r="E51" s="120" t="str">
        <f>IF('Mar OPP'!G18=0," ",IF('Mar OPP'!H18=1,"NYC",IF('Mar OPP'!I18=1,"LI",IF('Mar OPP'!J18=1,"ROS",IF('Mar OPP'!K18=1,"NE",IF('Mar OPP'!L18=1,"NE",IF('Mar OPP'!M18=1,"HQ",IF('Mar OPP'!N18=1,"OH"," "))))))))</f>
        <v xml:space="preserve"> </v>
      </c>
      <c r="F51" s="121"/>
      <c r="G51" s="138"/>
      <c r="H51" s="123">
        <f t="shared" ref="H51:H57" si="4">F51*G51*1000</f>
        <v>0</v>
      </c>
      <c r="I51" s="179" t="str">
        <f>+'Mar OPP'!C18</f>
        <v>N</v>
      </c>
    </row>
    <row r="52" spans="1:10" ht="13.15" x14ac:dyDescent="0.4">
      <c r="A52" s="124">
        <f>COUNT($A$50:A51)+1</f>
        <v>3</v>
      </c>
      <c r="B52" s="119">
        <f>+'Mar OPP'!D19</f>
        <v>0</v>
      </c>
      <c r="C52" s="136">
        <f>+'Mar OPP'!F19</f>
        <v>0</v>
      </c>
      <c r="D52" s="137">
        <f>+'Mar OPP'!G19</f>
        <v>0</v>
      </c>
      <c r="E52" s="120" t="str">
        <f>IF('Mar OPP'!G19=0," ",IF('Mar OPP'!H19=1,"NYC",IF('Mar OPP'!I19=1,"LI",IF('Mar OPP'!J19=1,"ROS",IF('Mar OPP'!K19=1,"NE",IF('Mar OPP'!L19=1,"NE",IF('Mar OPP'!M19=1,"HQ",IF('Mar OPP'!N19=1,"OH"," "))))))))</f>
        <v xml:space="preserve"> </v>
      </c>
      <c r="F52" s="121"/>
      <c r="G52" s="138"/>
      <c r="H52" s="123">
        <f t="shared" si="4"/>
        <v>0</v>
      </c>
      <c r="I52" s="179" t="str">
        <f>+'Mar OPP'!C19</f>
        <v>N</v>
      </c>
    </row>
    <row r="53" spans="1:10" ht="13.15" x14ac:dyDescent="0.4">
      <c r="A53" s="124">
        <f>COUNT($A$50:A52)+1</f>
        <v>4</v>
      </c>
      <c r="B53" s="119">
        <f>+'Mar OPP'!D20</f>
        <v>0</v>
      </c>
      <c r="C53" s="136">
        <f>+'Mar OPP'!F20</f>
        <v>0</v>
      </c>
      <c r="D53" s="137">
        <f>+'Mar OPP'!G20</f>
        <v>0</v>
      </c>
      <c r="E53" s="120" t="str">
        <f>IF('Mar OPP'!G20=0," ",IF('Mar OPP'!H20=1,"NYC",IF('Mar OPP'!I20=1,"LI",IF('Mar OPP'!J20=1,"ROS",IF('Mar OPP'!K20=1,"NE",IF('Mar OPP'!L20=1,"NE",IF('Mar OPP'!M20=1,"HQ",IF('Mar OPP'!N20=1,"OH"," "))))))))</f>
        <v xml:space="preserve"> </v>
      </c>
      <c r="F53" s="121"/>
      <c r="G53" s="138"/>
      <c r="H53" s="123">
        <f t="shared" si="4"/>
        <v>0</v>
      </c>
      <c r="I53" s="179" t="str">
        <f>+'Mar OPP'!C20</f>
        <v>N</v>
      </c>
    </row>
    <row r="54" spans="1:10" ht="13.15" x14ac:dyDescent="0.4">
      <c r="A54" s="124">
        <f>COUNT($A$50:A53)+1</f>
        <v>5</v>
      </c>
      <c r="B54" s="119">
        <f>+'Mar OPP'!D21</f>
        <v>0</v>
      </c>
      <c r="C54" s="136">
        <f>+'Mar OPP'!F21</f>
        <v>0</v>
      </c>
      <c r="D54" s="137">
        <f>+'Mar OPP'!G21</f>
        <v>0</v>
      </c>
      <c r="E54" s="120" t="str">
        <f>IF('Mar OPP'!G21=0," ",IF('Mar OPP'!H21=1,"NYC",IF('Mar OPP'!I21=1,"LI",IF('Mar OPP'!J21=1,"ROS",IF('Mar OPP'!K21=1,"NE",IF('Mar OPP'!L21=1,"NE",IF('Mar OPP'!M21=1,"HQ",IF('Mar OPP'!N21=1,"OH"," "))))))))</f>
        <v xml:space="preserve"> </v>
      </c>
      <c r="F54" s="121"/>
      <c r="G54" s="138"/>
      <c r="H54" s="123">
        <f t="shared" si="4"/>
        <v>0</v>
      </c>
      <c r="I54" s="179" t="str">
        <f>+'Mar OPP'!C21</f>
        <v>N</v>
      </c>
    </row>
    <row r="55" spans="1:10" ht="13.15" x14ac:dyDescent="0.4">
      <c r="A55" s="124">
        <f>COUNT($A$50:A54)+1</f>
        <v>6</v>
      </c>
      <c r="B55" s="119">
        <f>+'Mar OPP'!D22</f>
        <v>0</v>
      </c>
      <c r="C55" s="136">
        <f>+'Mar OPP'!F22</f>
        <v>0</v>
      </c>
      <c r="D55" s="137">
        <f>+'Mar OPP'!G22</f>
        <v>0</v>
      </c>
      <c r="E55" s="120" t="str">
        <f>IF('Mar OPP'!G22=0," ",IF('Mar OPP'!H22=1,"NYC",IF('Mar OPP'!I22=1,"LI",IF('Mar OPP'!J22=1,"ROS",IF('Mar OPP'!K22=1,"NE",IF('Mar OPP'!L22=1,"NE",IF('Mar OPP'!M22=1,"HQ",IF('Mar OPP'!N22=1,"OH"," "))))))))</f>
        <v xml:space="preserve"> </v>
      </c>
      <c r="F55" s="121"/>
      <c r="G55" s="138"/>
      <c r="H55" s="123">
        <f t="shared" si="4"/>
        <v>0</v>
      </c>
      <c r="I55" s="179" t="str">
        <f>+'Mar OPP'!C22</f>
        <v>N</v>
      </c>
    </row>
    <row r="56" spans="1:10" ht="13.15" x14ac:dyDescent="0.4">
      <c r="A56" s="124">
        <f>COUNT($A$50:A55)+1</f>
        <v>7</v>
      </c>
      <c r="B56" s="119">
        <f>+'Mar OPP'!D23</f>
        <v>0</v>
      </c>
      <c r="C56" s="136">
        <f>+'Mar OPP'!F23</f>
        <v>0</v>
      </c>
      <c r="D56" s="137">
        <f>+'Mar OPP'!G23</f>
        <v>0</v>
      </c>
      <c r="E56" s="120" t="str">
        <f>IF('Mar OPP'!G23=0," ",IF('Mar OPP'!H23=1,"NYC",IF('Mar OPP'!I23=1,"LI",IF('Mar OPP'!J23=1,"ROS",IF('Mar OPP'!K23=1,"NE",IF('Mar OPP'!L23=1,"NE",IF('Mar OPP'!M23=1,"HQ",IF('Mar OPP'!N23=1,"OH"," "))))))))</f>
        <v xml:space="preserve"> </v>
      </c>
      <c r="F56" s="121"/>
      <c r="G56" s="138"/>
      <c r="H56" s="123">
        <f t="shared" si="4"/>
        <v>0</v>
      </c>
      <c r="I56" s="179" t="str">
        <f>+'Mar OPP'!C23</f>
        <v>N</v>
      </c>
    </row>
    <row r="57" spans="1:10" ht="13.5" thickBot="1" x14ac:dyDescent="0.45">
      <c r="A57" s="124">
        <f>COUNT($A$50:A56)+1</f>
        <v>8</v>
      </c>
      <c r="B57" s="119">
        <f>+'Mar OPP'!D24</f>
        <v>0</v>
      </c>
      <c r="C57" s="136">
        <f>+'Mar OPP'!F24</f>
        <v>0</v>
      </c>
      <c r="D57" s="137">
        <f>+'Mar OPP'!G24</f>
        <v>0</v>
      </c>
      <c r="E57" s="120" t="str">
        <f>IF('Mar OPP'!G24=0," ",IF('Mar OPP'!H24=1,"NYC",IF('Mar OPP'!I24=1,"LI",IF('Mar OPP'!J24=1,"ROS",IF('Mar OPP'!K24=1,"NE",IF('Mar OPP'!L24=1,"NE",IF('Mar OPP'!M24=1,"HQ",IF('Mar OPP'!N24=1,"OH"," "))))))))</f>
        <v xml:space="preserve"> </v>
      </c>
      <c r="F57" s="121"/>
      <c r="G57" s="138"/>
      <c r="H57" s="126">
        <f t="shared" si="4"/>
        <v>0</v>
      </c>
      <c r="I57" s="179" t="str">
        <f>+'Mar OPP'!C24</f>
        <v>N</v>
      </c>
    </row>
    <row r="58" spans="1:10" ht="13.15" thickBot="1" x14ac:dyDescent="0.4">
      <c r="A58" s="113"/>
      <c r="B58" s="114"/>
      <c r="C58" s="128" t="s">
        <v>68</v>
      </c>
      <c r="D58" s="129" t="str">
        <f>+'Mar OPP'!E8</f>
        <v>March</v>
      </c>
      <c r="E58" s="130"/>
      <c r="F58" s="135" t="s">
        <v>70</v>
      </c>
      <c r="G58" s="71"/>
      <c r="H58" s="127">
        <f>SUM(H50:H57)</f>
        <v>0</v>
      </c>
      <c r="I58" s="118"/>
      <c r="J58" s="86" t="s">
        <v>76</v>
      </c>
    </row>
    <row r="59" spans="1:10" ht="13.15" thickBot="1" x14ac:dyDescent="0.4">
      <c r="J59" s="86" t="s">
        <v>77</v>
      </c>
    </row>
    <row r="60" spans="1:10" ht="30.75" x14ac:dyDescent="0.35">
      <c r="A60" s="108" t="s">
        <v>39</v>
      </c>
      <c r="B60" s="109" t="s">
        <v>41</v>
      </c>
      <c r="C60" s="131" t="s">
        <v>54</v>
      </c>
      <c r="D60" s="132" t="s">
        <v>52</v>
      </c>
      <c r="E60" s="133" t="s">
        <v>55</v>
      </c>
      <c r="F60" s="133" t="s">
        <v>69</v>
      </c>
      <c r="G60" s="111" t="s">
        <v>50</v>
      </c>
      <c r="H60" s="111" t="s">
        <v>91</v>
      </c>
      <c r="I60" s="134" t="s">
        <v>107</v>
      </c>
    </row>
    <row r="61" spans="1:10" ht="13.15" x14ac:dyDescent="0.4">
      <c r="A61" s="124">
        <v>1</v>
      </c>
      <c r="B61" s="119">
        <f>+'Apr OPP'!D17</f>
        <v>0</v>
      </c>
      <c r="C61" s="136">
        <f>+'Apr OPP'!F17</f>
        <v>0</v>
      </c>
      <c r="D61" s="137">
        <f>+'Apr OPP'!G17</f>
        <v>0</v>
      </c>
      <c r="E61" s="120" t="str">
        <f>IF('Apr OPP'!G17=0," ",IF('Apr OPP'!H17=1,"NYC",IF('Apr OPP'!I17=1,"LI",IF('Apr OPP'!J17=1,"ROS",IF('Apr OPP'!K17=1,"NE",IF('Apr OPP'!L17=1,"NE",IF('Apr OPP'!M17=1,"HQ",IF('Apr OPP'!N17=1,"OH"," "))))))))</f>
        <v xml:space="preserve"> </v>
      </c>
      <c r="F61" s="121"/>
      <c r="G61" s="138"/>
      <c r="H61" s="123">
        <f>F61*G61*1000</f>
        <v>0</v>
      </c>
      <c r="I61" s="179" t="str">
        <f>+'Apr OPP'!C17</f>
        <v>N</v>
      </c>
      <c r="J61" s="70" t="str">
        <f>+IF(+SUM(A61:A68)&lt;SUM('Apr OPP'!$A$17:$A$24),"INSERT Rows",IF(SUM(A61:A68)&gt;SUM('Apr OPP'!$A$17:$A$24),"                                         DELETE Rows"," "))</f>
        <v xml:space="preserve"> </v>
      </c>
    </row>
    <row r="62" spans="1:10" ht="13.15" x14ac:dyDescent="0.4">
      <c r="A62" s="124">
        <f>COUNT($A$61:A61)+1</f>
        <v>2</v>
      </c>
      <c r="B62" s="119">
        <f>+'Apr OPP'!D18</f>
        <v>0</v>
      </c>
      <c r="C62" s="136">
        <f>+'Apr OPP'!F18</f>
        <v>0</v>
      </c>
      <c r="D62" s="137">
        <f>+'Apr OPP'!G18</f>
        <v>0</v>
      </c>
      <c r="E62" s="120" t="str">
        <f>IF('Apr OPP'!G18=0," ",IF('Apr OPP'!H18=1,"NYC",IF('Apr OPP'!I18=1,"LI",IF('Apr OPP'!J18=1,"ROS",IF('Apr OPP'!K18=1,"NE",IF('Apr OPP'!L18=1,"NE",IF('Apr OPP'!M18=1,"HQ",IF('Apr OPP'!N18=1,"OH"," "))))))))</f>
        <v xml:space="preserve"> </v>
      </c>
      <c r="F62" s="121"/>
      <c r="G62" s="138"/>
      <c r="H62" s="123">
        <f t="shared" ref="H62:H68" si="5">F62*G62*1000</f>
        <v>0</v>
      </c>
      <c r="I62" s="179" t="str">
        <f>+'Apr OPP'!C18</f>
        <v>N</v>
      </c>
    </row>
    <row r="63" spans="1:10" ht="13.15" x14ac:dyDescent="0.4">
      <c r="A63" s="124">
        <f>COUNT($A$61:A62)+1</f>
        <v>3</v>
      </c>
      <c r="B63" s="119">
        <f>+'Apr OPP'!D19</f>
        <v>0</v>
      </c>
      <c r="C63" s="136">
        <f>+'Apr OPP'!F19</f>
        <v>0</v>
      </c>
      <c r="D63" s="137">
        <f>+'Apr OPP'!G19</f>
        <v>0</v>
      </c>
      <c r="E63" s="120" t="str">
        <f>IF('Apr OPP'!G19=0," ",IF('Apr OPP'!H19=1,"NYC",IF('Apr OPP'!I19=1,"LI",IF('Apr OPP'!J19=1,"ROS",IF('Apr OPP'!K19=1,"NE",IF('Apr OPP'!L19=1,"NE",IF('Apr OPP'!M19=1,"HQ",IF('Apr OPP'!N19=1,"OH"," "))))))))</f>
        <v xml:space="preserve"> </v>
      </c>
      <c r="F63" s="121"/>
      <c r="G63" s="138"/>
      <c r="H63" s="123">
        <f t="shared" si="5"/>
        <v>0</v>
      </c>
      <c r="I63" s="179" t="str">
        <f>+'Apr OPP'!C19</f>
        <v>N</v>
      </c>
    </row>
    <row r="64" spans="1:10" ht="13.15" x14ac:dyDescent="0.4">
      <c r="A64" s="124">
        <f>COUNT($A$61:A63)+1</f>
        <v>4</v>
      </c>
      <c r="B64" s="119">
        <f>+'Apr OPP'!D20</f>
        <v>0</v>
      </c>
      <c r="C64" s="136">
        <f>+'Apr OPP'!F20</f>
        <v>0</v>
      </c>
      <c r="D64" s="137">
        <f>+'Apr OPP'!G20</f>
        <v>0</v>
      </c>
      <c r="E64" s="120" t="str">
        <f>IF('Apr OPP'!G20=0," ",IF('Apr OPP'!H20=1,"NYC",IF('Apr OPP'!I20=1,"LI",IF('Apr OPP'!J20=1,"ROS",IF('Apr OPP'!K20=1,"NE",IF('Apr OPP'!L20=1,"NE",IF('Apr OPP'!M20=1,"HQ",IF('Apr OPP'!N20=1,"OH"," "))))))))</f>
        <v xml:space="preserve"> </v>
      </c>
      <c r="F64" s="121"/>
      <c r="G64" s="138"/>
      <c r="H64" s="123">
        <f t="shared" si="5"/>
        <v>0</v>
      </c>
      <c r="I64" s="179" t="str">
        <f>+'Apr OPP'!C20</f>
        <v>N</v>
      </c>
    </row>
    <row r="65" spans="1:9" ht="13.15" x14ac:dyDescent="0.4">
      <c r="A65" s="124">
        <f>COUNT($A$61:A64)+1</f>
        <v>5</v>
      </c>
      <c r="B65" s="119">
        <f>+'Apr OPP'!D21</f>
        <v>0</v>
      </c>
      <c r="C65" s="136">
        <f>+'Apr OPP'!F21</f>
        <v>0</v>
      </c>
      <c r="D65" s="137">
        <f>+'Apr OPP'!G21</f>
        <v>0</v>
      </c>
      <c r="E65" s="120" t="str">
        <f>IF('Apr OPP'!G21=0," ",IF('Apr OPP'!H21=1,"NYC",IF('Apr OPP'!I21=1,"LI",IF('Apr OPP'!J21=1,"ROS",IF('Apr OPP'!K21=1,"NE",IF('Apr OPP'!L21=1,"NE",IF('Apr OPP'!M21=1,"HQ",IF('Apr OPP'!N21=1,"OH"," "))))))))</f>
        <v xml:space="preserve"> </v>
      </c>
      <c r="F65" s="121"/>
      <c r="G65" s="138"/>
      <c r="H65" s="123">
        <f t="shared" si="5"/>
        <v>0</v>
      </c>
      <c r="I65" s="179" t="str">
        <f>+'Apr OPP'!C21</f>
        <v>N</v>
      </c>
    </row>
    <row r="66" spans="1:9" ht="13.15" x14ac:dyDescent="0.4">
      <c r="A66" s="124">
        <f>COUNT($A$61:A65)+1</f>
        <v>6</v>
      </c>
      <c r="B66" s="119">
        <f>+'Apr OPP'!D22</f>
        <v>0</v>
      </c>
      <c r="C66" s="136">
        <f>+'Apr OPP'!F22</f>
        <v>0</v>
      </c>
      <c r="D66" s="137">
        <f>+'Apr OPP'!G22</f>
        <v>0</v>
      </c>
      <c r="E66" s="120" t="str">
        <f>IF('Apr OPP'!G22=0," ",IF('Apr OPP'!H22=1,"NYC",IF('Apr OPP'!I22=1,"LI",IF('Apr OPP'!J22=1,"ROS",IF('Apr OPP'!K22=1,"NE",IF('Apr OPP'!L22=1,"NE",IF('Apr OPP'!M22=1,"HQ",IF('Apr OPP'!N22=1,"OH"," "))))))))</f>
        <v xml:space="preserve"> </v>
      </c>
      <c r="F66" s="121"/>
      <c r="G66" s="138"/>
      <c r="H66" s="123">
        <f t="shared" si="5"/>
        <v>0</v>
      </c>
      <c r="I66" s="179" t="str">
        <f>+'Apr OPP'!C22</f>
        <v>N</v>
      </c>
    </row>
    <row r="67" spans="1:9" ht="13.15" x14ac:dyDescent="0.4">
      <c r="A67" s="124">
        <f>COUNT($A$61:A66)+1</f>
        <v>7</v>
      </c>
      <c r="B67" s="119">
        <f>+'Apr OPP'!D23</f>
        <v>0</v>
      </c>
      <c r="C67" s="136">
        <f>+'Apr OPP'!F23</f>
        <v>0</v>
      </c>
      <c r="D67" s="137">
        <f>+'Apr OPP'!G23</f>
        <v>0</v>
      </c>
      <c r="E67" s="120" t="str">
        <f>IF('Apr OPP'!G23=0," ",IF('Apr OPP'!H23=1,"NYC",IF('Apr OPP'!I23=1,"LI",IF('Apr OPP'!J23=1,"ROS",IF('Apr OPP'!K23=1,"NE",IF('Apr OPP'!L23=1,"NE",IF('Apr OPP'!M23=1,"HQ",IF('Apr OPP'!N23=1,"OH"," "))))))))</f>
        <v xml:space="preserve"> </v>
      </c>
      <c r="F67" s="121"/>
      <c r="G67" s="138"/>
      <c r="H67" s="123">
        <f t="shared" si="5"/>
        <v>0</v>
      </c>
      <c r="I67" s="179" t="str">
        <f>+'Apr OPP'!C23</f>
        <v>N</v>
      </c>
    </row>
    <row r="68" spans="1:9" ht="13.5" thickBot="1" x14ac:dyDescent="0.45">
      <c r="A68" s="124">
        <f>COUNT($A$61:A67)+1</f>
        <v>8</v>
      </c>
      <c r="B68" s="119">
        <f>+'Apr OPP'!D24</f>
        <v>0</v>
      </c>
      <c r="C68" s="136">
        <f>+'Apr OPP'!F24</f>
        <v>0</v>
      </c>
      <c r="D68" s="137">
        <f>+'Apr OPP'!G24</f>
        <v>0</v>
      </c>
      <c r="E68" s="120" t="str">
        <f>IF('Apr OPP'!G24=0," ",IF('Apr OPP'!H24=1,"NYC",IF('Apr OPP'!I24=1,"LI",IF('Apr OPP'!J24=1,"ROS",IF('Apr OPP'!K24=1,"NE",IF('Apr OPP'!L24=1,"NE",IF('Apr OPP'!M24=1,"HQ",IF('Apr OPP'!N24=1,"OH"," "))))))))</f>
        <v xml:space="preserve"> </v>
      </c>
      <c r="F68" s="121"/>
      <c r="G68" s="138"/>
      <c r="H68" s="126">
        <f t="shared" si="5"/>
        <v>0</v>
      </c>
      <c r="I68" s="179" t="str">
        <f>+'Apr OPP'!C24</f>
        <v>N</v>
      </c>
    </row>
    <row r="69" spans="1:9" ht="13.15" thickBot="1" x14ac:dyDescent="0.4">
      <c r="A69" s="113"/>
      <c r="B69" s="114"/>
      <c r="C69" s="128" t="s">
        <v>68</v>
      </c>
      <c r="D69" s="129" t="str">
        <f>+'Apr OPP'!E8</f>
        <v>April</v>
      </c>
      <c r="E69" s="130"/>
      <c r="F69" s="135" t="s">
        <v>70</v>
      </c>
      <c r="G69" s="71"/>
      <c r="H69" s="127">
        <f>SUM(H61:H68)</f>
        <v>0</v>
      </c>
      <c r="I69" s="118"/>
    </row>
    <row r="113" spans="1:1" x14ac:dyDescent="0.35">
      <c r="A113" s="67">
        <f>ROWS('Nov OPP'!A17:A24)</f>
        <v>8</v>
      </c>
    </row>
    <row r="114" spans="1:1" x14ac:dyDescent="0.35">
      <c r="A114" s="67">
        <f>ROWS(A6:A13)</f>
        <v>8</v>
      </c>
    </row>
    <row r="115" spans="1:1" x14ac:dyDescent="0.35">
      <c r="A115" s="67">
        <f>A113-A114</f>
        <v>0</v>
      </c>
    </row>
  </sheetData>
  <phoneticPr fontId="26" type="noConversion"/>
  <pageMargins left="0.75" right="0.75" top="1" bottom="1" header="0.5" footer="0.5"/>
  <pageSetup orientation="landscape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3091" r:id="rId4" name="CommandButton18">
          <controlPr defaultSize="0" autoLine="0" r:id="rId5">
            <anchor moveWithCells="1">
              <from>
                <xdr:col>11</xdr:col>
                <xdr:colOff>0</xdr:colOff>
                <xdr:row>3</xdr:row>
                <xdr:rowOff>157163</xdr:rowOff>
              </from>
              <to>
                <xdr:col>11</xdr:col>
                <xdr:colOff>790575</xdr:colOff>
                <xdr:row>5</xdr:row>
                <xdr:rowOff>47625</xdr:rowOff>
              </to>
            </anchor>
          </controlPr>
        </control>
      </mc:Choice>
      <mc:Fallback>
        <control shapeId="3091" r:id="rId4" name="CommandButton18"/>
      </mc:Fallback>
    </mc:AlternateContent>
    <mc:AlternateContent xmlns:mc="http://schemas.openxmlformats.org/markup-compatibility/2006">
      <mc:Choice Requires="x14">
        <control shapeId="3090" r:id="rId6" name="CommandButton17">
          <controlPr defaultSize="0" autoLine="0" r:id="rId5">
            <anchor moveWithCells="1">
              <from>
                <xdr:col>11</xdr:col>
                <xdr:colOff>0</xdr:colOff>
                <xdr:row>14</xdr:row>
                <xdr:rowOff>157163</xdr:rowOff>
              </from>
              <to>
                <xdr:col>11</xdr:col>
                <xdr:colOff>790575</xdr:colOff>
                <xdr:row>16</xdr:row>
                <xdr:rowOff>47625</xdr:rowOff>
              </to>
            </anchor>
          </controlPr>
        </control>
      </mc:Choice>
      <mc:Fallback>
        <control shapeId="3090" r:id="rId6" name="CommandButton17"/>
      </mc:Fallback>
    </mc:AlternateContent>
    <mc:AlternateContent xmlns:mc="http://schemas.openxmlformats.org/markup-compatibility/2006">
      <mc:Choice Requires="x14">
        <control shapeId="3089" r:id="rId7" name="CommandButton16">
          <controlPr defaultSize="0" autoLine="0" r:id="rId5">
            <anchor moveWithCells="1">
              <from>
                <xdr:col>11</xdr:col>
                <xdr:colOff>0</xdr:colOff>
                <xdr:row>26</xdr:row>
                <xdr:rowOff>0</xdr:rowOff>
              </from>
              <to>
                <xdr:col>11</xdr:col>
                <xdr:colOff>790575</xdr:colOff>
                <xdr:row>26</xdr:row>
                <xdr:rowOff>447675</xdr:rowOff>
              </to>
            </anchor>
          </controlPr>
        </control>
      </mc:Choice>
      <mc:Fallback>
        <control shapeId="3089" r:id="rId7" name="CommandButton16"/>
      </mc:Fallback>
    </mc:AlternateContent>
    <mc:AlternateContent xmlns:mc="http://schemas.openxmlformats.org/markup-compatibility/2006">
      <mc:Choice Requires="x14">
        <control shapeId="3088" r:id="rId8" name="CommandButton15">
          <controlPr defaultSize="0" autoLine="0" r:id="rId9">
            <anchor moveWithCells="1">
              <from>
                <xdr:col>11</xdr:col>
                <xdr:colOff>0</xdr:colOff>
                <xdr:row>36</xdr:row>
                <xdr:rowOff>157163</xdr:rowOff>
              </from>
              <to>
                <xdr:col>11</xdr:col>
                <xdr:colOff>790575</xdr:colOff>
                <xdr:row>38</xdr:row>
                <xdr:rowOff>47625</xdr:rowOff>
              </to>
            </anchor>
          </controlPr>
        </control>
      </mc:Choice>
      <mc:Fallback>
        <control shapeId="3088" r:id="rId8" name="CommandButton15"/>
      </mc:Fallback>
    </mc:AlternateContent>
    <mc:AlternateContent xmlns:mc="http://schemas.openxmlformats.org/markup-compatibility/2006">
      <mc:Choice Requires="x14">
        <control shapeId="3087" r:id="rId10" name="CommandButton14">
          <controlPr defaultSize="0" autoLine="0" r:id="rId5">
            <anchor moveWithCells="1">
              <from>
                <xdr:col>10</xdr:col>
                <xdr:colOff>638175</xdr:colOff>
                <xdr:row>48</xdr:row>
                <xdr:rowOff>9525</xdr:rowOff>
              </from>
              <to>
                <xdr:col>11</xdr:col>
                <xdr:colOff>781050</xdr:colOff>
                <xdr:row>49</xdr:row>
                <xdr:rowOff>66675</xdr:rowOff>
              </to>
            </anchor>
          </controlPr>
        </control>
      </mc:Choice>
      <mc:Fallback>
        <control shapeId="3087" r:id="rId10" name="CommandButton14"/>
      </mc:Fallback>
    </mc:AlternateContent>
    <mc:AlternateContent xmlns:mc="http://schemas.openxmlformats.org/markup-compatibility/2006">
      <mc:Choice Requires="x14">
        <control shapeId="3086" r:id="rId11" name="CommandButton13">
          <controlPr defaultSize="0" autoLine="0" r:id="rId5">
            <anchor moveWithCells="1">
              <from>
                <xdr:col>11</xdr:col>
                <xdr:colOff>0</xdr:colOff>
                <xdr:row>58</xdr:row>
                <xdr:rowOff>157163</xdr:rowOff>
              </from>
              <to>
                <xdr:col>11</xdr:col>
                <xdr:colOff>790575</xdr:colOff>
                <xdr:row>60</xdr:row>
                <xdr:rowOff>47625</xdr:rowOff>
              </to>
            </anchor>
          </controlPr>
        </control>
      </mc:Choice>
      <mc:Fallback>
        <control shapeId="3086" r:id="rId11" name="CommandButton13"/>
      </mc:Fallback>
    </mc:AlternateContent>
    <mc:AlternateContent xmlns:mc="http://schemas.openxmlformats.org/markup-compatibility/2006">
      <mc:Choice Requires="x14">
        <control shapeId="3085" r:id="rId12" name="CommandButton12">
          <controlPr defaultSize="0" autoLine="0" r:id="rId13">
            <anchor moveWithCells="1">
              <from>
                <xdr:col>13</xdr:col>
                <xdr:colOff>0</xdr:colOff>
                <xdr:row>59</xdr:row>
                <xdr:rowOff>0</xdr:rowOff>
              </from>
              <to>
                <xdr:col>13</xdr:col>
                <xdr:colOff>1019175</xdr:colOff>
                <xdr:row>59</xdr:row>
                <xdr:rowOff>381000</xdr:rowOff>
              </to>
            </anchor>
          </controlPr>
        </control>
      </mc:Choice>
      <mc:Fallback>
        <control shapeId="3085" r:id="rId12" name="CommandButton12"/>
      </mc:Fallback>
    </mc:AlternateContent>
    <mc:AlternateContent xmlns:mc="http://schemas.openxmlformats.org/markup-compatibility/2006">
      <mc:Choice Requires="x14">
        <control shapeId="3084" r:id="rId14" name="CommandButton11">
          <controlPr defaultSize="0" autoLine="0" r:id="rId15">
            <anchor moveWithCells="1">
              <from>
                <xdr:col>13</xdr:col>
                <xdr:colOff>0</xdr:colOff>
                <xdr:row>48</xdr:row>
                <xdr:rowOff>9525</xdr:rowOff>
              </from>
              <to>
                <xdr:col>13</xdr:col>
                <xdr:colOff>1019175</xdr:colOff>
                <xdr:row>49</xdr:row>
                <xdr:rowOff>0</xdr:rowOff>
              </to>
            </anchor>
          </controlPr>
        </control>
      </mc:Choice>
      <mc:Fallback>
        <control shapeId="3084" r:id="rId14" name="CommandButton11"/>
      </mc:Fallback>
    </mc:AlternateContent>
    <mc:AlternateContent xmlns:mc="http://schemas.openxmlformats.org/markup-compatibility/2006">
      <mc:Choice Requires="x14">
        <control shapeId="3083" r:id="rId16" name="CommandButton10">
          <controlPr defaultSize="0" autoLine="0" r:id="rId17">
            <anchor moveWithCells="1">
              <from>
                <xdr:col>13</xdr:col>
                <xdr:colOff>9525</xdr:colOff>
                <xdr:row>37</xdr:row>
                <xdr:rowOff>9525</xdr:rowOff>
              </from>
              <to>
                <xdr:col>13</xdr:col>
                <xdr:colOff>1028700</xdr:colOff>
                <xdr:row>38</xdr:row>
                <xdr:rowOff>0</xdr:rowOff>
              </to>
            </anchor>
          </controlPr>
        </control>
      </mc:Choice>
      <mc:Fallback>
        <control shapeId="3083" r:id="rId16" name="CommandButton10"/>
      </mc:Fallback>
    </mc:AlternateContent>
    <mc:AlternateContent xmlns:mc="http://schemas.openxmlformats.org/markup-compatibility/2006">
      <mc:Choice Requires="x14">
        <control shapeId="3082" r:id="rId18" name="CommandButton9">
          <controlPr defaultSize="0" autoLine="0" r:id="rId19">
            <anchor moveWithCells="1">
              <from>
                <xdr:col>13</xdr:col>
                <xdr:colOff>9525</xdr:colOff>
                <xdr:row>26</xdr:row>
                <xdr:rowOff>28575</xdr:rowOff>
              </from>
              <to>
                <xdr:col>13</xdr:col>
                <xdr:colOff>1028700</xdr:colOff>
                <xdr:row>26</xdr:row>
                <xdr:rowOff>409575</xdr:rowOff>
              </to>
            </anchor>
          </controlPr>
        </control>
      </mc:Choice>
      <mc:Fallback>
        <control shapeId="3082" r:id="rId18" name="CommandButton9"/>
      </mc:Fallback>
    </mc:AlternateContent>
    <mc:AlternateContent xmlns:mc="http://schemas.openxmlformats.org/markup-compatibility/2006">
      <mc:Choice Requires="x14">
        <control shapeId="3081" r:id="rId20" name="CommandButton8">
          <controlPr defaultSize="0" autoLine="0" r:id="rId21">
            <anchor moveWithCells="1">
              <from>
                <xdr:col>12</xdr:col>
                <xdr:colOff>638175</xdr:colOff>
                <xdr:row>15</xdr:row>
                <xdr:rowOff>0</xdr:rowOff>
              </from>
              <to>
                <xdr:col>13</xdr:col>
                <xdr:colOff>1009650</xdr:colOff>
                <xdr:row>15</xdr:row>
                <xdr:rowOff>381000</xdr:rowOff>
              </to>
            </anchor>
          </controlPr>
        </control>
      </mc:Choice>
      <mc:Fallback>
        <control shapeId="3081" r:id="rId20" name="CommandButton8"/>
      </mc:Fallback>
    </mc:AlternateContent>
    <mc:AlternateContent xmlns:mc="http://schemas.openxmlformats.org/markup-compatibility/2006">
      <mc:Choice Requires="x14">
        <control shapeId="3080" r:id="rId22" name="CommandButton7">
          <controlPr defaultSize="0" autoLine="0" r:id="rId23">
            <anchor moveWithCells="1">
              <from>
                <xdr:col>13</xdr:col>
                <xdr:colOff>9525</xdr:colOff>
                <xdr:row>4</xdr:row>
                <xdr:rowOff>19050</xdr:rowOff>
              </from>
              <to>
                <xdr:col>13</xdr:col>
                <xdr:colOff>1028700</xdr:colOff>
                <xdr:row>5</xdr:row>
                <xdr:rowOff>9525</xdr:rowOff>
              </to>
            </anchor>
          </controlPr>
        </control>
      </mc:Choice>
      <mc:Fallback>
        <control shapeId="3080" r:id="rId22" name="CommandButton7"/>
      </mc:Fallback>
    </mc:AlternateContent>
    <mc:AlternateContent xmlns:mc="http://schemas.openxmlformats.org/markup-compatibility/2006">
      <mc:Choice Requires="x14">
        <control shapeId="3079" r:id="rId24" name="CommandButton6">
          <controlPr defaultSize="0" autoLine="0" r:id="rId25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9</xdr:col>
                <xdr:colOff>857250</xdr:colOff>
                <xdr:row>60</xdr:row>
                <xdr:rowOff>57150</xdr:rowOff>
              </to>
            </anchor>
          </controlPr>
        </control>
      </mc:Choice>
      <mc:Fallback>
        <control shapeId="3079" r:id="rId24" name="CommandButton6"/>
      </mc:Fallback>
    </mc:AlternateContent>
    <mc:AlternateContent xmlns:mc="http://schemas.openxmlformats.org/markup-compatibility/2006">
      <mc:Choice Requires="x14">
        <control shapeId="3078" r:id="rId26" name="CommandButton5">
          <controlPr defaultSize="0" autoLine="0" r:id="rId27">
            <anchor moveWithCells="1">
              <from>
                <xdr:col>9</xdr:col>
                <xdr:colOff>0</xdr:colOff>
                <xdr:row>48</xdr:row>
                <xdr:rowOff>0</xdr:rowOff>
              </from>
              <to>
                <xdr:col>9</xdr:col>
                <xdr:colOff>857250</xdr:colOff>
                <xdr:row>49</xdr:row>
                <xdr:rowOff>57150</xdr:rowOff>
              </to>
            </anchor>
          </controlPr>
        </control>
      </mc:Choice>
      <mc:Fallback>
        <control shapeId="3078" r:id="rId26" name="CommandButton5"/>
      </mc:Fallback>
    </mc:AlternateContent>
    <mc:AlternateContent xmlns:mc="http://schemas.openxmlformats.org/markup-compatibility/2006">
      <mc:Choice Requires="x14">
        <control shapeId="3077" r:id="rId28" name="CommandButton4">
          <controlPr defaultSize="0" autoLine="0" r:id="rId29">
            <anchor moveWithCells="1">
              <from>
                <xdr:col>9</xdr:col>
                <xdr:colOff>0</xdr:colOff>
                <xdr:row>37</xdr:row>
                <xdr:rowOff>9525</xdr:rowOff>
              </from>
              <to>
                <xdr:col>9</xdr:col>
                <xdr:colOff>857250</xdr:colOff>
                <xdr:row>38</xdr:row>
                <xdr:rowOff>66675</xdr:rowOff>
              </to>
            </anchor>
          </controlPr>
        </control>
      </mc:Choice>
      <mc:Fallback>
        <control shapeId="3077" r:id="rId28" name="CommandButton4"/>
      </mc:Fallback>
    </mc:AlternateContent>
    <mc:AlternateContent xmlns:mc="http://schemas.openxmlformats.org/markup-compatibility/2006">
      <mc:Choice Requires="x14">
        <control shapeId="3076" r:id="rId30" name="CommandButton3">
          <controlPr defaultSize="0" autoLine="0" r:id="rId31">
            <anchor moveWithCells="1">
              <from>
                <xdr:col>9</xdr:col>
                <xdr:colOff>0</xdr:colOff>
                <xdr:row>26</xdr:row>
                <xdr:rowOff>9525</xdr:rowOff>
              </from>
              <to>
                <xdr:col>9</xdr:col>
                <xdr:colOff>857250</xdr:colOff>
                <xdr:row>26</xdr:row>
                <xdr:rowOff>457200</xdr:rowOff>
              </to>
            </anchor>
          </controlPr>
        </control>
      </mc:Choice>
      <mc:Fallback>
        <control shapeId="3076" r:id="rId30" name="CommandButton3"/>
      </mc:Fallback>
    </mc:AlternateContent>
    <mc:AlternateContent xmlns:mc="http://schemas.openxmlformats.org/markup-compatibility/2006">
      <mc:Choice Requires="x14">
        <control shapeId="3075" r:id="rId32" name="CommandButton2">
          <controlPr defaultSize="0" autoLine="0" r:id="rId33">
            <anchor moveWithCells="1">
              <from>
                <xdr:col>9</xdr:col>
                <xdr:colOff>0</xdr:colOff>
                <xdr:row>15</xdr:row>
                <xdr:rowOff>9525</xdr:rowOff>
              </from>
              <to>
                <xdr:col>9</xdr:col>
                <xdr:colOff>857250</xdr:colOff>
                <xdr:row>16</xdr:row>
                <xdr:rowOff>66675</xdr:rowOff>
              </to>
            </anchor>
          </controlPr>
        </control>
      </mc:Choice>
      <mc:Fallback>
        <control shapeId="3075" r:id="rId32" name="CommandButton2"/>
      </mc:Fallback>
    </mc:AlternateContent>
    <mc:AlternateContent xmlns:mc="http://schemas.openxmlformats.org/markup-compatibility/2006">
      <mc:Choice Requires="x14">
        <control shapeId="3074" r:id="rId34" name="CommandButton1">
          <controlPr defaultSize="0" autoLine="0" r:id="rId27">
            <anchor moveWithCells="1">
              <from>
                <xdr:col>9</xdr:col>
                <xdr:colOff>0</xdr:colOff>
                <xdr:row>4</xdr:row>
                <xdr:rowOff>0</xdr:rowOff>
              </from>
              <to>
                <xdr:col>9</xdr:col>
                <xdr:colOff>857250</xdr:colOff>
                <xdr:row>5</xdr:row>
                <xdr:rowOff>57150</xdr:rowOff>
              </to>
            </anchor>
          </controlPr>
        </control>
      </mc:Choice>
      <mc:Fallback>
        <control shapeId="3074" r:id="rId34" name="CommandButton1"/>
      </mc:Fallback>
    </mc:AlternateContent>
  </control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A5475-3ABB-48A9-BA2B-AEE9638BE431}">
  <sheetPr codeName="Sheet13"/>
  <dimension ref="A1:J46"/>
  <sheetViews>
    <sheetView topLeftCell="A72" workbookViewId="0">
      <selection activeCell="L90" sqref="L90"/>
    </sheetView>
  </sheetViews>
  <sheetFormatPr defaultRowHeight="12.75" x14ac:dyDescent="0.35"/>
  <sheetData>
    <row r="1" spans="1:10" s="8" customFormat="1" ht="13.15" x14ac:dyDescent="0.4">
      <c r="E1" s="2" t="s">
        <v>9</v>
      </c>
    </row>
    <row r="2" spans="1:10" ht="13.15" x14ac:dyDescent="0.4">
      <c r="D2" s="1"/>
      <c r="E2" s="2" t="s">
        <v>10</v>
      </c>
    </row>
    <row r="5" spans="1:10" s="6" customFormat="1" ht="13.15" x14ac:dyDescent="0.4"/>
    <row r="6" spans="1:10" ht="15" x14ac:dyDescent="0.4">
      <c r="A6" s="14"/>
      <c r="B6" s="14"/>
      <c r="C6" s="14"/>
      <c r="D6" s="14"/>
      <c r="E6" s="14" t="s">
        <v>7</v>
      </c>
      <c r="F6" s="14"/>
      <c r="G6" s="14"/>
      <c r="H6" s="14"/>
      <c r="I6" s="14"/>
      <c r="J6" s="14"/>
    </row>
    <row r="7" spans="1:10" ht="15" x14ac:dyDescent="0.4">
      <c r="A7" s="14"/>
      <c r="B7" s="14"/>
      <c r="C7" s="14"/>
      <c r="D7" s="14"/>
      <c r="E7" s="14"/>
      <c r="F7" s="14"/>
      <c r="G7" s="14"/>
      <c r="H7" s="14"/>
      <c r="I7" s="14"/>
      <c r="J7" s="14"/>
    </row>
    <row r="8" spans="1:10" ht="15" x14ac:dyDescent="0.4">
      <c r="A8" s="14"/>
      <c r="B8" s="14"/>
      <c r="C8" s="14"/>
      <c r="D8" s="14"/>
      <c r="E8" s="14"/>
      <c r="F8" s="14"/>
      <c r="G8" s="14"/>
      <c r="H8" s="14"/>
      <c r="I8" s="14"/>
      <c r="J8" s="14"/>
    </row>
    <row r="10" spans="1:10" ht="13.15" x14ac:dyDescent="0.4">
      <c r="A10" s="6" t="s">
        <v>20</v>
      </c>
      <c r="B10" s="6"/>
      <c r="C10" s="19"/>
      <c r="D10" s="19"/>
      <c r="E10" s="13"/>
      <c r="F10" s="6"/>
      <c r="H10" s="9"/>
      <c r="I10" s="9"/>
    </row>
    <row r="12" spans="1:10" ht="13.15" x14ac:dyDescent="0.4">
      <c r="A12" s="6" t="s">
        <v>21</v>
      </c>
      <c r="B12" s="19"/>
      <c r="F12" s="6" t="s">
        <v>11</v>
      </c>
      <c r="G12" s="6"/>
      <c r="H12" s="6"/>
      <c r="I12" s="6"/>
      <c r="J12" s="6"/>
    </row>
    <row r="15" spans="1:10" ht="13.15" x14ac:dyDescent="0.4">
      <c r="A15" s="7"/>
      <c r="B15" s="3" t="s">
        <v>12</v>
      </c>
      <c r="C15" s="3" t="s">
        <v>1</v>
      </c>
      <c r="D15" s="16"/>
      <c r="E15" s="17"/>
      <c r="F15" s="10" t="s">
        <v>22</v>
      </c>
      <c r="G15" s="17"/>
      <c r="H15" s="18"/>
    </row>
    <row r="16" spans="1:10" ht="13.15" x14ac:dyDescent="0.4">
      <c r="A16" s="4" t="s">
        <v>8</v>
      </c>
      <c r="B16" s="4" t="s">
        <v>0</v>
      </c>
      <c r="C16" s="4" t="s">
        <v>6</v>
      </c>
      <c r="D16" s="5" t="s">
        <v>2</v>
      </c>
      <c r="E16" s="5" t="s">
        <v>3</v>
      </c>
      <c r="F16" s="5" t="s">
        <v>23</v>
      </c>
      <c r="G16" s="5" t="s">
        <v>4</v>
      </c>
      <c r="H16" s="5" t="s">
        <v>5</v>
      </c>
    </row>
    <row r="17" spans="1:8" x14ac:dyDescent="0.35">
      <c r="A17" s="15"/>
      <c r="B17" s="15"/>
      <c r="C17" s="15"/>
      <c r="D17" s="15"/>
      <c r="E17" s="15"/>
      <c r="F17" s="15"/>
      <c r="G17" s="15"/>
      <c r="H17" s="15"/>
    </row>
    <row r="18" spans="1:8" x14ac:dyDescent="0.35">
      <c r="A18" s="15"/>
      <c r="B18" s="15"/>
      <c r="C18" s="15"/>
      <c r="D18" s="15"/>
      <c r="E18" s="15"/>
      <c r="F18" s="15"/>
      <c r="G18" s="15"/>
      <c r="H18" s="15"/>
    </row>
    <row r="19" spans="1:8" x14ac:dyDescent="0.35">
      <c r="A19" s="15"/>
      <c r="B19" s="15"/>
      <c r="C19" s="15"/>
      <c r="D19" s="15"/>
      <c r="E19" s="15"/>
      <c r="F19" s="15"/>
      <c r="G19" s="15"/>
      <c r="H19" s="15"/>
    </row>
    <row r="20" spans="1:8" x14ac:dyDescent="0.35">
      <c r="A20" s="15"/>
      <c r="B20" s="15"/>
      <c r="C20" s="15"/>
      <c r="D20" s="15"/>
      <c r="E20" s="15"/>
      <c r="F20" s="15"/>
      <c r="G20" s="15"/>
      <c r="H20" s="15"/>
    </row>
    <row r="21" spans="1:8" x14ac:dyDescent="0.35">
      <c r="A21" s="15"/>
      <c r="B21" s="15"/>
      <c r="C21" s="15"/>
      <c r="D21" s="15"/>
      <c r="E21" s="15"/>
      <c r="F21" s="15"/>
      <c r="G21" s="15"/>
      <c r="H21" s="15"/>
    </row>
    <row r="22" spans="1:8" x14ac:dyDescent="0.35">
      <c r="A22" s="15"/>
      <c r="B22" s="15"/>
      <c r="C22" s="15"/>
      <c r="D22" s="15"/>
      <c r="E22" s="15"/>
      <c r="F22" s="15"/>
      <c r="G22" s="15"/>
      <c r="H22" s="15"/>
    </row>
    <row r="23" spans="1:8" x14ac:dyDescent="0.35">
      <c r="A23" s="15"/>
      <c r="B23" s="15"/>
      <c r="C23" s="15"/>
      <c r="D23" s="15"/>
      <c r="E23" s="15"/>
      <c r="F23" s="15"/>
      <c r="G23" s="15"/>
      <c r="H23" s="15"/>
    </row>
    <row r="24" spans="1:8" x14ac:dyDescent="0.35">
      <c r="A24" s="15"/>
      <c r="B24" s="15"/>
      <c r="C24" s="15"/>
      <c r="D24" s="15"/>
      <c r="E24" s="15"/>
      <c r="F24" s="15"/>
      <c r="G24" s="15"/>
      <c r="H24" s="15"/>
    </row>
    <row r="25" spans="1:8" x14ac:dyDescent="0.35">
      <c r="A25" s="15"/>
      <c r="B25" s="15"/>
      <c r="C25" s="15"/>
      <c r="D25" s="15"/>
      <c r="E25" s="15"/>
      <c r="F25" s="15"/>
      <c r="G25" s="15"/>
      <c r="H25" s="15"/>
    </row>
    <row r="26" spans="1:8" x14ac:dyDescent="0.35">
      <c r="A26" s="15"/>
      <c r="B26" s="15"/>
      <c r="C26" s="15"/>
      <c r="D26" s="15"/>
      <c r="E26" s="15"/>
      <c r="F26" s="15"/>
      <c r="G26" s="15"/>
      <c r="H26" s="15"/>
    </row>
    <row r="27" spans="1:8" x14ac:dyDescent="0.35">
      <c r="A27" s="15"/>
      <c r="B27" s="15"/>
      <c r="C27" s="15"/>
      <c r="D27" s="15"/>
      <c r="E27" s="15"/>
      <c r="F27" s="15"/>
      <c r="G27" s="15"/>
      <c r="H27" s="15"/>
    </row>
    <row r="28" spans="1:8" x14ac:dyDescent="0.35">
      <c r="A28" s="15"/>
      <c r="B28" s="15"/>
      <c r="C28" s="15"/>
      <c r="D28" s="15"/>
      <c r="E28" s="15"/>
      <c r="F28" s="15"/>
      <c r="G28" s="15"/>
      <c r="H28" s="15"/>
    </row>
    <row r="29" spans="1:8" x14ac:dyDescent="0.35">
      <c r="A29" s="15"/>
      <c r="B29" s="15"/>
      <c r="C29" s="15"/>
      <c r="D29" s="15"/>
      <c r="E29" s="15"/>
      <c r="F29" s="15"/>
      <c r="G29" s="15"/>
      <c r="H29" s="15"/>
    </row>
    <row r="30" spans="1:8" x14ac:dyDescent="0.35">
      <c r="A30" s="15"/>
      <c r="B30" s="15"/>
      <c r="C30" s="15"/>
      <c r="D30" s="15"/>
      <c r="E30" s="15"/>
      <c r="F30" s="15"/>
      <c r="G30" s="15"/>
      <c r="H30" s="15"/>
    </row>
    <row r="31" spans="1:8" x14ac:dyDescent="0.35">
      <c r="A31" s="15"/>
      <c r="B31" s="15"/>
      <c r="C31" s="15"/>
      <c r="D31" s="15"/>
      <c r="E31" s="15"/>
      <c r="F31" s="15"/>
      <c r="G31" s="15"/>
      <c r="H31" s="15"/>
    </row>
    <row r="32" spans="1:8" x14ac:dyDescent="0.35">
      <c r="A32" s="15"/>
      <c r="B32" s="15"/>
      <c r="C32" s="15"/>
      <c r="D32" s="15"/>
      <c r="E32" s="15"/>
      <c r="F32" s="15"/>
      <c r="G32" s="15"/>
      <c r="H32" s="15"/>
    </row>
    <row r="33" spans="1:9" ht="13.15" x14ac:dyDescent="0.4">
      <c r="A33" s="11"/>
      <c r="B33" s="2"/>
    </row>
    <row r="34" spans="1:9" x14ac:dyDescent="0.35">
      <c r="A34" s="12" t="s">
        <v>14</v>
      </c>
    </row>
    <row r="36" spans="1:9" x14ac:dyDescent="0.35">
      <c r="A36" t="s">
        <v>13</v>
      </c>
    </row>
    <row r="37" spans="1:9" x14ac:dyDescent="0.35">
      <c r="A37" t="s">
        <v>24</v>
      </c>
    </row>
    <row r="40" spans="1:9" x14ac:dyDescent="0.35">
      <c r="A40" t="s">
        <v>15</v>
      </c>
      <c r="C40" s="13"/>
      <c r="D40" s="13"/>
      <c r="E40" s="13"/>
      <c r="G40" t="s">
        <v>18</v>
      </c>
      <c r="H40" s="13"/>
      <c r="I40" s="13"/>
    </row>
    <row r="41" spans="1:9" x14ac:dyDescent="0.35">
      <c r="A41" t="s">
        <v>17</v>
      </c>
      <c r="C41" s="13"/>
      <c r="D41" s="13"/>
      <c r="E41" s="13"/>
      <c r="F41" s="13"/>
    </row>
    <row r="42" spans="1:9" x14ac:dyDescent="0.35">
      <c r="A42" t="s">
        <v>16</v>
      </c>
      <c r="C42" s="13"/>
      <c r="D42" s="13"/>
      <c r="E42" s="13"/>
      <c r="F42" s="13"/>
    </row>
    <row r="43" spans="1:9" x14ac:dyDescent="0.35">
      <c r="C43" s="17"/>
      <c r="D43" s="17"/>
      <c r="E43" s="17"/>
      <c r="F43" s="17"/>
    </row>
    <row r="44" spans="1:9" x14ac:dyDescent="0.35">
      <c r="C44" s="17"/>
      <c r="D44" s="17"/>
      <c r="E44" s="17"/>
      <c r="F44" s="17"/>
    </row>
    <row r="45" spans="1:9" x14ac:dyDescent="0.35">
      <c r="C45" s="17"/>
      <c r="D45" s="17"/>
      <c r="E45" s="17"/>
      <c r="F45" s="17"/>
    </row>
    <row r="46" spans="1:9" x14ac:dyDescent="0.35">
      <c r="A46" t="s">
        <v>19</v>
      </c>
      <c r="C46" s="17"/>
      <c r="D46" s="17"/>
      <c r="E46" s="17"/>
      <c r="F46" s="17"/>
    </row>
  </sheetData>
  <phoneticPr fontId="26" type="noConversion"/>
  <pageMargins left="0.75" right="0.75" top="1" bottom="1" header="0.5" footer="0.5"/>
  <pageSetup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命名范围</vt:lpstr>
      </vt:variant>
      <vt:variant>
        <vt:i4>43</vt:i4>
      </vt:variant>
    </vt:vector>
  </HeadingPairs>
  <TitlesOfParts>
    <vt:vector size="54" baseType="lpstr">
      <vt:lpstr>Instruction Page</vt:lpstr>
      <vt:lpstr>Offers-Strip</vt:lpstr>
      <vt:lpstr>Nov OPP</vt:lpstr>
      <vt:lpstr>Dec OPP</vt:lpstr>
      <vt:lpstr>Jan OPP</vt:lpstr>
      <vt:lpstr>Feb OPP</vt:lpstr>
      <vt:lpstr>Mar OPP</vt:lpstr>
      <vt:lpstr>Apr OPP</vt:lpstr>
      <vt:lpstr>Strip Award</vt:lpstr>
      <vt:lpstr>Monthly OPP Awards</vt:lpstr>
      <vt:lpstr>Offers to Sell (2)</vt:lpstr>
      <vt:lpstr>AprAward</vt:lpstr>
      <vt:lpstr>'Monthly OPP Awards'!AprOffer</vt:lpstr>
      <vt:lpstr>AprOffer</vt:lpstr>
      <vt:lpstr>AugAward</vt:lpstr>
      <vt:lpstr>AugOffer</vt:lpstr>
      <vt:lpstr>DecAward</vt:lpstr>
      <vt:lpstr>DecOffer</vt:lpstr>
      <vt:lpstr>FebAward</vt:lpstr>
      <vt:lpstr>FebOffer</vt:lpstr>
      <vt:lpstr>JanAward</vt:lpstr>
      <vt:lpstr>JanOffer</vt:lpstr>
      <vt:lpstr>JulAward</vt:lpstr>
      <vt:lpstr>JulOffer</vt:lpstr>
      <vt:lpstr>JunAward</vt:lpstr>
      <vt:lpstr>JunOffer</vt:lpstr>
      <vt:lpstr>MarAward</vt:lpstr>
      <vt:lpstr>MarOffer</vt:lpstr>
      <vt:lpstr>MayAward</vt:lpstr>
      <vt:lpstr>MayOffer</vt:lpstr>
      <vt:lpstr>NovAward</vt:lpstr>
      <vt:lpstr>NovOffer</vt:lpstr>
      <vt:lpstr>OctAward</vt:lpstr>
      <vt:lpstr>'Monthly OPP Awards'!OctOffer</vt:lpstr>
      <vt:lpstr>OctOffer</vt:lpstr>
      <vt:lpstr>oppdiff1</vt:lpstr>
      <vt:lpstr>oppdiff3</vt:lpstr>
      <vt:lpstr>oppdiff5</vt:lpstr>
      <vt:lpstr>oppdiff6</vt:lpstr>
      <vt:lpstr>'Apr OPP'!Print_Area</vt:lpstr>
      <vt:lpstr>'Dec OPP'!Print_Area</vt:lpstr>
      <vt:lpstr>'Feb OPP'!Print_Area</vt:lpstr>
      <vt:lpstr>'Jan OPP'!Print_Area</vt:lpstr>
      <vt:lpstr>'Mar OPP'!Print_Area</vt:lpstr>
      <vt:lpstr>'Nov OPP'!Print_Area</vt:lpstr>
      <vt:lpstr>'Offers-Strip'!Print_Area</vt:lpstr>
      <vt:lpstr>SepAward</vt:lpstr>
      <vt:lpstr>SepOffer</vt:lpstr>
      <vt:lpstr>StripAward</vt:lpstr>
      <vt:lpstr>StripOffer</vt:lpstr>
      <vt:lpstr>sumdiff</vt:lpstr>
      <vt:lpstr>'Monthly OPP Awards'!temp</vt:lpstr>
      <vt:lpstr>'Strip Award'!temp</vt:lpstr>
      <vt:lpstr>Templete</vt:lpstr>
    </vt:vector>
  </TitlesOfParts>
  <Company>Putnam, Hayes &amp; Bartlett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PHB User</dc:creator>
  <cp:lastModifiedBy>ly Gu</cp:lastModifiedBy>
  <cp:lastPrinted>2001-09-13T18:29:59Z</cp:lastPrinted>
  <dcterms:created xsi:type="dcterms:W3CDTF">1998-06-26T18:10:39Z</dcterms:created>
  <dcterms:modified xsi:type="dcterms:W3CDTF">2026-03-25T16:32:34Z</dcterms:modified>
</cp:coreProperties>
</file>