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386476F5-E888-4051-A00F-C2A76E1861F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mart Goals Sheet" sheetId="2" r:id="rId1"/>
    <sheet name="Smart Goal Timeline" sheetId="3" r:id="rId2"/>
    <sheet name="Instruc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D31" i="3" a="1"/>
  <c r="D31" i="3" s="1"/>
  <c r="E30" i="3"/>
  <c r="D30" i="3" a="1"/>
  <c r="D30" i="3" s="1"/>
  <c r="E29" i="3"/>
  <c r="D29" i="3"/>
  <c r="D29" i="3" a="1"/>
  <c r="E28" i="3"/>
  <c r="D28" i="3" a="1"/>
  <c r="D28" i="3" s="1"/>
  <c r="E27" i="3"/>
  <c r="D27" i="3" a="1"/>
  <c r="D27" i="3" s="1"/>
  <c r="E26" i="3"/>
  <c r="D26" i="3"/>
  <c r="D26" i="3" a="1"/>
  <c r="E25" i="3"/>
  <c r="D25" i="3" a="1"/>
  <c r="D25" i="3" s="1"/>
  <c r="E24" i="3"/>
  <c r="E23" i="3"/>
  <c r="D23" i="3" a="1"/>
  <c r="D23" i="3" s="1"/>
  <c r="E22" i="3"/>
  <c r="E21" i="3"/>
  <c r="D21" i="3" a="1"/>
  <c r="D21" i="3" s="1"/>
  <c r="E20" i="3"/>
  <c r="D20" i="3"/>
  <c r="D20" i="3" a="1"/>
  <c r="E19" i="3"/>
  <c r="D19" i="3" a="1"/>
  <c r="D19" i="3" s="1"/>
  <c r="E18" i="3"/>
  <c r="D18" i="3"/>
  <c r="D18" i="3" a="1"/>
  <c r="E17" i="3"/>
  <c r="D17" i="3"/>
  <c r="D17" i="3" a="1"/>
  <c r="E16" i="3"/>
  <c r="D16" i="3" a="1"/>
  <c r="D16" i="3" s="1"/>
  <c r="E15" i="3"/>
  <c r="D15" i="3" a="1"/>
  <c r="D15" i="3" s="1"/>
  <c r="E14" i="3"/>
  <c r="D14" i="3"/>
  <c r="D14" i="3" a="1"/>
  <c r="E13" i="3"/>
  <c r="D13" i="3" a="1"/>
  <c r="D13" i="3" s="1"/>
  <c r="E12" i="3"/>
  <c r="D12" i="3" a="1"/>
  <c r="D12" i="3" s="1"/>
  <c r="E11" i="3"/>
  <c r="D11" i="3" a="1"/>
  <c r="D11" i="3" s="1"/>
  <c r="J8" i="3"/>
  <c r="H8" i="3"/>
  <c r="I8" i="3" s="1"/>
  <c r="I9" i="3" s="1"/>
  <c r="J9" i="3" l="1"/>
  <c r="K8" i="3"/>
  <c r="H9" i="3"/>
  <c r="H7" i="3"/>
  <c r="L8" i="3" l="1"/>
  <c r="K9" i="3"/>
  <c r="M8" i="3" l="1"/>
  <c r="L9" i="3"/>
  <c r="M9" i="3" l="1"/>
  <c r="N8" i="3"/>
  <c r="N9" i="3" l="1"/>
  <c r="O8" i="3"/>
  <c r="O9" i="3" l="1"/>
  <c r="P8" i="3"/>
  <c r="O7" i="3"/>
  <c r="Q8" i="3" l="1"/>
  <c r="P9" i="3"/>
  <c r="Q9" i="3" l="1"/>
  <c r="R8" i="3"/>
  <c r="R9" i="3" l="1"/>
  <c r="S8" i="3"/>
  <c r="S9" i="3" l="1"/>
  <c r="T8" i="3"/>
  <c r="T9" i="3" l="1"/>
  <c r="U8" i="3"/>
  <c r="V8" i="3" l="1"/>
  <c r="U9" i="3"/>
  <c r="V9" i="3" l="1"/>
  <c r="W8" i="3"/>
  <c r="V7" i="3"/>
  <c r="X8" i="3" l="1"/>
  <c r="W9" i="3"/>
  <c r="Y8" i="3" l="1"/>
  <c r="X9" i="3"/>
  <c r="Y9" i="3" l="1"/>
  <c r="Z8" i="3"/>
  <c r="Z9" i="3" l="1"/>
  <c r="AA8" i="3"/>
  <c r="AB8" i="3" l="1"/>
  <c r="AA9" i="3"/>
  <c r="AC8" i="3" l="1"/>
  <c r="AB9" i="3"/>
  <c r="AC9" i="3" l="1"/>
  <c r="AC7" i="3"/>
  <c r="AD8" i="3"/>
  <c r="AD9" i="3" l="1"/>
  <c r="AE8" i="3"/>
  <c r="AE9" i="3" l="1"/>
  <c r="AF8" i="3"/>
  <c r="AG8" i="3" l="1"/>
  <c r="AF9" i="3"/>
  <c r="AG9" i="3" l="1"/>
  <c r="AH8" i="3"/>
  <c r="AH9" i="3" l="1"/>
  <c r="AI8" i="3"/>
  <c r="AI9" i="3" l="1"/>
  <c r="AJ8" i="3"/>
  <c r="AJ9" i="3" l="1"/>
  <c r="AK8" i="3"/>
  <c r="AJ7" i="3"/>
  <c r="AL8" i="3" l="1"/>
  <c r="AK9" i="3"/>
  <c r="AL9" i="3" l="1"/>
  <c r="AM8" i="3"/>
  <c r="AN8" i="3" l="1"/>
  <c r="AM9" i="3"/>
  <c r="AO8" i="3" l="1"/>
  <c r="AN9" i="3"/>
  <c r="AO9" i="3" l="1"/>
  <c r="AP8" i="3"/>
  <c r="AP9" i="3" l="1"/>
  <c r="AQ8" i="3"/>
  <c r="AR8" i="3" l="1"/>
  <c r="AQ9" i="3"/>
  <c r="AQ7" i="3"/>
  <c r="AS8" i="3" l="1"/>
  <c r="AR9" i="3"/>
  <c r="AS9" i="3" l="1"/>
  <c r="AT8" i="3"/>
  <c r="AT9" i="3" l="1"/>
  <c r="AU8" i="3"/>
  <c r="AU9" i="3" l="1"/>
  <c r="AV8" i="3"/>
  <c r="AW8" i="3" l="1"/>
  <c r="AV9" i="3"/>
  <c r="AW9" i="3" l="1"/>
  <c r="AX8" i="3"/>
  <c r="AX9" i="3" l="1"/>
  <c r="AY8" i="3"/>
  <c r="AX7" i="3"/>
  <c r="AY9" i="3" l="1"/>
  <c r="AZ8" i="3"/>
  <c r="AZ9" i="3" l="1"/>
  <c r="BA8" i="3"/>
  <c r="BA9" i="3" l="1"/>
  <c r="BB8" i="3"/>
  <c r="BB9" i="3" l="1"/>
  <c r="BC8" i="3"/>
  <c r="BD8" i="3" l="1"/>
  <c r="BC9" i="3"/>
  <c r="BE8" i="3" l="1"/>
  <c r="BD9" i="3"/>
  <c r="BE9" i="3" l="1"/>
  <c r="BE7" i="3"/>
  <c r="BF8" i="3"/>
  <c r="BF9" i="3" l="1"/>
  <c r="BG8" i="3"/>
  <c r="BH8" i="3" l="1"/>
  <c r="BG9" i="3"/>
  <c r="BI8" i="3" l="1"/>
  <c r="BH9" i="3"/>
  <c r="BI9" i="3" l="1"/>
  <c r="BJ8" i="3"/>
  <c r="BJ9" i="3" l="1"/>
  <c r="BK8" i="3"/>
  <c r="BK9" i="3" l="1"/>
  <c r="BL8" i="3"/>
  <c r="BM8" i="3" l="1"/>
  <c r="BL7" i="3"/>
  <c r="BL9" i="3"/>
  <c r="BM9" i="3" l="1"/>
  <c r="BN8" i="3"/>
  <c r="BN9" i="3" l="1"/>
  <c r="BO8" i="3"/>
  <c r="BO9" i="3" l="1"/>
  <c r="BP8" i="3"/>
  <c r="BP9" i="3" l="1"/>
  <c r="BQ8" i="3"/>
  <c r="BR8" i="3" l="1"/>
  <c r="BQ9" i="3"/>
  <c r="BR9" i="3" l="1"/>
  <c r="BS8" i="3"/>
  <c r="BS9" i="3" l="1"/>
  <c r="BT8" i="3"/>
  <c r="BS7" i="3"/>
  <c r="BT9" i="3" l="1"/>
  <c r="BU8" i="3"/>
  <c r="BU9" i="3" l="1"/>
  <c r="BV8" i="3"/>
  <c r="BV9" i="3" l="1"/>
  <c r="BW8" i="3"/>
  <c r="BX8" i="3" l="1"/>
  <c r="BW9" i="3"/>
  <c r="BX9" i="3" l="1"/>
  <c r="BY8" i="3"/>
  <c r="BY9" i="3" l="1"/>
  <c r="BZ8" i="3"/>
  <c r="BZ9" i="3" l="1"/>
  <c r="CA8" i="3"/>
  <c r="BZ7" i="3"/>
  <c r="CA9" i="3" l="1"/>
  <c r="CB8" i="3"/>
  <c r="CC8" i="3" l="1"/>
  <c r="CB9" i="3"/>
  <c r="CC9" i="3" l="1"/>
  <c r="CD8" i="3"/>
  <c r="CD9" i="3" l="1"/>
  <c r="CE8" i="3"/>
  <c r="CE9" i="3" l="1"/>
  <c r="CF8" i="3"/>
  <c r="CF9" i="3" l="1"/>
  <c r="CG8" i="3"/>
  <c r="CH8" i="3" l="1"/>
  <c r="CG7" i="3"/>
  <c r="CG9" i="3"/>
  <c r="CH9" i="3" l="1"/>
  <c r="CI8" i="3"/>
  <c r="CI9" i="3" l="1"/>
  <c r="CJ8" i="3"/>
  <c r="CJ9" i="3" l="1"/>
  <c r="CK8" i="3"/>
  <c r="CK9" i="3" l="1"/>
  <c r="CL8" i="3"/>
  <c r="CL9" i="3" l="1"/>
  <c r="CM8" i="3"/>
  <c r="CN8" i="3" l="1"/>
  <c r="CM9" i="3"/>
  <c r="CN7" i="3" l="1"/>
  <c r="CN9" i="3"/>
  <c r="CO8" i="3"/>
  <c r="CO9" i="3" l="1"/>
  <c r="CP8" i="3"/>
  <c r="CP9" i="3" l="1"/>
  <c r="CQ8" i="3"/>
  <c r="CQ9" i="3" l="1"/>
  <c r="CR8" i="3"/>
  <c r="CS8" i="3" l="1"/>
  <c r="CR9" i="3"/>
  <c r="CS9" i="3" l="1"/>
  <c r="CT8" i="3"/>
  <c r="CT9" i="3" l="1"/>
  <c r="CU8" i="3"/>
  <c r="CU9" i="3" l="1"/>
  <c r="CV8" i="3"/>
  <c r="CU7" i="3"/>
  <c r="CV9" i="3" l="1"/>
  <c r="CW8" i="3"/>
  <c r="CX8" i="3" l="1"/>
  <c r="CW9" i="3"/>
  <c r="CX9" i="3" l="1"/>
  <c r="CY8" i="3"/>
  <c r="CY9" i="3" l="1"/>
  <c r="CZ8" i="3"/>
  <c r="CZ9" i="3" l="1"/>
  <c r="DA8" i="3"/>
  <c r="DA9" i="3" l="1"/>
  <c r="DB8" i="3"/>
  <c r="DB9" i="3" l="1"/>
  <c r="DC8" i="3"/>
  <c r="DB7" i="3"/>
  <c r="DD8" i="3" l="1"/>
  <c r="DC9" i="3"/>
  <c r="DD9" i="3" l="1"/>
  <c r="DE8" i="3"/>
  <c r="DE9" i="3" l="1"/>
  <c r="DF8" i="3"/>
  <c r="DF9" i="3" l="1"/>
  <c r="DG8" i="3"/>
  <c r="DG9" i="3" l="1"/>
  <c r="DH8" i="3"/>
  <c r="DI8" i="3" l="1"/>
  <c r="DH9" i="3"/>
  <c r="DI7" i="3" l="1"/>
  <c r="DI9" i="3"/>
  <c r="DJ8" i="3"/>
  <c r="DJ9" i="3" l="1"/>
  <c r="DK8" i="3"/>
  <c r="DK9" i="3" l="1"/>
  <c r="DL8" i="3"/>
  <c r="DL9" i="3" l="1"/>
  <c r="DM8" i="3"/>
  <c r="DN8" i="3" l="1"/>
  <c r="DM9" i="3"/>
  <c r="DN9" i="3" l="1"/>
  <c r="DO8" i="3"/>
  <c r="DO9" i="3" l="1"/>
  <c r="DP8" i="3"/>
  <c r="DP7" i="3" l="1"/>
  <c r="DP9" i="3"/>
  <c r="DQ8" i="3"/>
  <c r="DQ9" i="3" l="1"/>
  <c r="DR8" i="3"/>
  <c r="DR9" i="3" l="1"/>
  <c r="DS8" i="3"/>
  <c r="DT8" i="3" l="1"/>
  <c r="DS9" i="3"/>
  <c r="DT9" i="3" l="1"/>
  <c r="DU8" i="3"/>
  <c r="DU9" i="3" l="1"/>
  <c r="DV8" i="3"/>
  <c r="DV9" i="3" l="1"/>
  <c r="DW8" i="3"/>
  <c r="DW9" i="3" l="1"/>
  <c r="DX8" i="3"/>
  <c r="DW7" i="3"/>
  <c r="DY8" i="3" l="1"/>
  <c r="DX9" i="3"/>
  <c r="DY9" i="3" l="1"/>
  <c r="DZ8" i="3"/>
  <c r="DZ9" i="3" l="1"/>
  <c r="EA8" i="3"/>
  <c r="EA9" i="3" l="1"/>
  <c r="EB8" i="3"/>
  <c r="EB9" i="3" l="1"/>
  <c r="EC8" i="3"/>
  <c r="ED8" i="3" l="1"/>
  <c r="EC9" i="3"/>
  <c r="ED9" i="3" l="1"/>
  <c r="EE8" i="3"/>
  <c r="ED7" i="3"/>
  <c r="EE9" i="3" l="1"/>
  <c r="EF8" i="3"/>
  <c r="EF9" i="3" l="1"/>
  <c r="EG8" i="3"/>
  <c r="EG9" i="3" l="1"/>
  <c r="EH8" i="3"/>
  <c r="EH9" i="3" l="1"/>
  <c r="EI8" i="3"/>
  <c r="EJ8" i="3" l="1"/>
  <c r="EI9" i="3"/>
  <c r="EJ9" i="3" l="1"/>
  <c r="EK8" i="3"/>
  <c r="EK9" i="3" l="1"/>
  <c r="EK7" i="3"/>
  <c r="EL8" i="3"/>
  <c r="EL9" i="3" l="1"/>
  <c r="EM8" i="3"/>
  <c r="EM9" i="3" l="1"/>
  <c r="EN8" i="3"/>
  <c r="EO8" i="3" l="1"/>
  <c r="EN9" i="3"/>
  <c r="EO9" i="3" l="1"/>
  <c r="EP8" i="3"/>
  <c r="EP9" i="3" l="1"/>
  <c r="EQ8" i="3"/>
  <c r="EQ9" i="3" l="1"/>
  <c r="ER8" i="3"/>
  <c r="ER9" i="3" l="1"/>
  <c r="ER7" i="3"/>
  <c r="ES8" i="3"/>
  <c r="ET8" i="3" l="1"/>
  <c r="ES9" i="3"/>
  <c r="ET9" i="3" l="1"/>
  <c r="EU8" i="3"/>
  <c r="EU9" i="3" l="1"/>
  <c r="EV8" i="3"/>
  <c r="EV9" i="3" l="1"/>
  <c r="EW8" i="3"/>
  <c r="EW9" i="3" l="1"/>
  <c r="EX8" i="3"/>
  <c r="EX9" i="3" l="1"/>
  <c r="EY8" i="3"/>
  <c r="EZ8" i="3" l="1"/>
  <c r="EY9" i="3"/>
  <c r="EY7" i="3"/>
  <c r="EZ9" i="3" l="1"/>
  <c r="FA8" i="3"/>
  <c r="FA9" i="3" l="1"/>
  <c r="FB8" i="3"/>
  <c r="FB9" i="3" l="1"/>
  <c r="FC8" i="3"/>
  <c r="FC9" i="3" l="1"/>
  <c r="FD8" i="3"/>
  <c r="FE8" i="3" l="1"/>
  <c r="FD9" i="3"/>
  <c r="FE9" i="3" l="1"/>
  <c r="FF8" i="3"/>
  <c r="FF9" i="3" l="1"/>
  <c r="FG8" i="3"/>
  <c r="FF7" i="3"/>
  <c r="FG9" i="3" l="1"/>
  <c r="FH8" i="3"/>
  <c r="FH9" i="3" l="1"/>
  <c r="FI8" i="3"/>
  <c r="FJ8" i="3" l="1"/>
  <c r="FI9" i="3"/>
  <c r="FJ9" i="3" l="1"/>
  <c r="FK8" i="3"/>
  <c r="FK9" i="3" l="1"/>
  <c r="FL8" i="3"/>
  <c r="FL9" i="3" l="1"/>
  <c r="FM8" i="3"/>
  <c r="FM9" i="3" l="1"/>
  <c r="FN8" i="3"/>
  <c r="FM7" i="3"/>
  <c r="FN9" i="3" l="1"/>
  <c r="FO8" i="3"/>
  <c r="FP8" i="3" l="1"/>
  <c r="FO9" i="3"/>
  <c r="FP9" i="3" l="1"/>
  <c r="FQ8" i="3"/>
  <c r="FQ9" i="3" l="1"/>
  <c r="FR8" i="3"/>
  <c r="FR9" i="3" l="1"/>
  <c r="FS8" i="3"/>
  <c r="FS9" i="3" l="1"/>
  <c r="FT8" i="3"/>
  <c r="FU8" i="3" l="1"/>
  <c r="FT7" i="3"/>
  <c r="FT9" i="3"/>
  <c r="FU9" i="3" l="1"/>
  <c r="FV8" i="3"/>
  <c r="FV9" i="3" l="1"/>
  <c r="FW8" i="3"/>
  <c r="FW9" i="3" l="1"/>
  <c r="FX8" i="3"/>
  <c r="FX9" i="3" l="1"/>
  <c r="FY8" i="3"/>
  <c r="FZ8" i="3" l="1"/>
  <c r="FY9" i="3"/>
  <c r="FZ9" i="3" l="1"/>
  <c r="GA8" i="3"/>
  <c r="GA9" i="3" l="1"/>
  <c r="GA7" i="3"/>
  <c r="GB8" i="3"/>
  <c r="GB9" i="3" l="1"/>
  <c r="GC8" i="3"/>
  <c r="GC9" i="3" l="1"/>
  <c r="GD8" i="3"/>
  <c r="GD9" i="3" l="1"/>
  <c r="GE8" i="3"/>
  <c r="GF8" i="3" l="1"/>
  <c r="GE9" i="3"/>
  <c r="GF9" i="3" l="1"/>
  <c r="GG8" i="3"/>
  <c r="GG9" i="3" l="1"/>
  <c r="GH8" i="3"/>
  <c r="GH9" i="3" l="1"/>
  <c r="GI8" i="3"/>
  <c r="GH7" i="3"/>
  <c r="GI9" i="3" l="1"/>
  <c r="GJ8" i="3"/>
  <c r="GK8" i="3" l="1"/>
  <c r="GJ9" i="3"/>
  <c r="GK9" i="3" l="1"/>
  <c r="GL8" i="3"/>
  <c r="GL9" i="3" l="1"/>
  <c r="GM8" i="3"/>
  <c r="GM9" i="3" l="1"/>
  <c r="GN8" i="3"/>
  <c r="GN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<sst xmlns="http://schemas.openxmlformats.org/spreadsheetml/2006/main" count="39" uniqueCount="38">
  <si>
    <t>Westlake Academy</t>
  </si>
  <si>
    <t>2600 J T Ottinger Road, Westlake, Texas 76262</t>
  </si>
  <si>
    <t>222 555 7777</t>
  </si>
  <si>
    <t>GOAL</t>
  </si>
  <si>
    <t>S</t>
  </si>
  <si>
    <t>SPECIFIC</t>
  </si>
  <si>
    <t xml:space="preserve"> What do I want to accomplish?</t>
  </si>
  <si>
    <t>M</t>
  </si>
  <si>
    <t>MEASURABLE</t>
  </si>
  <si>
    <t>How do I measure the goal?</t>
  </si>
  <si>
    <t>A</t>
  </si>
  <si>
    <t>ACHIEVABLE</t>
  </si>
  <si>
    <t>How can I accomplish the goal?</t>
  </si>
  <si>
    <t>R</t>
  </si>
  <si>
    <t xml:space="preserve">RELEVANT </t>
  </si>
  <si>
    <t>What is the significance of the goal?</t>
  </si>
  <si>
    <t>T</t>
  </si>
  <si>
    <t>TIME BOUND</t>
  </si>
  <si>
    <r>
      <rPr>
        <sz val="10"/>
        <rFont val="Times New Roman"/>
        <family val="1"/>
      </rPr>
      <t xml:space="preserve">COPYRIGHT </t>
    </r>
    <r>
      <rPr>
        <sz val="10"/>
        <color rgb="FF1155CC"/>
        <rFont val="Times New Roman"/>
        <family val="1"/>
      </rPr>
      <t>© TEMPLATE.NET</t>
    </r>
  </si>
  <si>
    <t>mail@wa.edu</t>
  </si>
  <si>
    <t>DATE:</t>
  </si>
  <si>
    <t>TEACHER:</t>
  </si>
  <si>
    <t>GOAL TIMELINE</t>
  </si>
  <si>
    <t>ACTION PLAN TO ACHIEVE SMART GOAL</t>
  </si>
  <si>
    <t>Start Date</t>
  </si>
  <si>
    <t>To Do/Tasks</t>
  </si>
  <si>
    <t>Completion</t>
  </si>
  <si>
    <t>Status</t>
  </si>
  <si>
    <t>Duration</t>
  </si>
  <si>
    <t>START DATE</t>
  </si>
  <si>
    <t>END DATE</t>
  </si>
  <si>
    <t>Read books with my students</t>
  </si>
  <si>
    <t>Check-in with my students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</si>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</sst>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d\,\ mmm\-dd\-yy"/>
    <numFmt numFmtId="177" formatCode="dd&quot;-&quot;mmm"/>
    <numFmt numFmtId="178" formatCode="d"/>
    <numFmt numFmtId="179" formatCode="[$-409]dd\-mmm\-yy;@"/>
  </numFmts>
  <fonts count="42">
    <font>
      <sz val="10"/>
      <color rgb="FF00000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theme="3" tint="-0.249977111117893"/>
      <name val="Times New Roman"/>
      <family val="1"/>
    </font>
    <font>
      <sz val="11"/>
      <color theme="3" tint="-0.249977111117893"/>
      <name val="Arial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sz val="10"/>
      <color theme="10"/>
      <name val="Times New Roman"/>
      <family val="1"/>
    </font>
    <font>
      <sz val="10"/>
      <name val="Times New Roman"/>
      <family val="1"/>
    </font>
    <font>
      <sz val="10"/>
      <color rgb="FF1155CC"/>
      <name val="Times New Roman"/>
      <family val="1"/>
    </font>
    <font>
      <sz val="11"/>
      <color rgb="FF1155CC"/>
      <name val="Roboto"/>
    </font>
    <font>
      <sz val="10"/>
      <color theme="7" tint="-0.249977111117893"/>
      <name val="Times New Roman"/>
      <family val="1"/>
    </font>
    <font>
      <sz val="11"/>
      <color theme="7" tint="-0.249977111117893"/>
      <name val="Arial"/>
      <family val="2"/>
      <scheme val="minor"/>
    </font>
    <font>
      <sz val="11"/>
      <color theme="7" tint="-0.249977111117893"/>
      <name val="Arial"/>
      <family val="2"/>
    </font>
    <font>
      <b/>
      <sz val="11"/>
      <color theme="7" tint="-0.249977111117893"/>
      <name val="Century Gothic"/>
      <family val="2"/>
    </font>
    <font>
      <b/>
      <sz val="20"/>
      <color rgb="FF2E4560"/>
      <name val="Constantia"/>
      <family val="1"/>
    </font>
    <font>
      <sz val="11"/>
      <color rgb="FF2E4560"/>
      <name val="Century Gothic"/>
      <family val="2"/>
    </font>
    <font>
      <b/>
      <sz val="11"/>
      <color rgb="FF2E4560"/>
      <name val="Century Gothic"/>
      <family val="2"/>
    </font>
    <font>
      <sz val="72"/>
      <color rgb="FF2E4560"/>
      <name val="Constantia"/>
      <family val="1"/>
    </font>
    <font>
      <sz val="10"/>
      <color rgb="FF000000"/>
      <name val="Tohoma"/>
    </font>
    <font>
      <sz val="10"/>
      <color theme="8" tint="-0.249977111117893"/>
      <name val="Tohoma"/>
    </font>
    <font>
      <sz val="11"/>
      <color theme="8" tint="-0.249977111117893"/>
      <name val="Tohoma"/>
    </font>
    <font>
      <b/>
      <sz val="26"/>
      <color theme="8" tint="-0.249977111117893"/>
      <name val="Tohoma"/>
    </font>
    <font>
      <b/>
      <sz val="36"/>
      <color theme="8" tint="-0.249977111117893"/>
      <name val="Tohoma"/>
    </font>
    <font>
      <sz val="11"/>
      <color theme="1"/>
      <name val="Tohoma"/>
    </font>
    <font>
      <b/>
      <sz val="26"/>
      <color rgb="FF795C5C"/>
      <name val="Tohoma"/>
    </font>
    <font>
      <b/>
      <sz val="36"/>
      <color theme="1"/>
      <name val="Tohoma"/>
    </font>
    <font>
      <b/>
      <sz val="11"/>
      <color theme="0"/>
      <name val="Tohoma"/>
    </font>
    <font>
      <sz val="10"/>
      <color theme="0" tint="-4.9989318521683403E-2"/>
      <name val="Tohoma"/>
    </font>
    <font>
      <sz val="10"/>
      <color theme="0"/>
      <name val="Tohoma"/>
    </font>
    <font>
      <sz val="20"/>
      <color theme="1"/>
      <name val="Constantia"/>
      <family val="1"/>
    </font>
    <font>
      <b/>
      <sz val="16"/>
      <color theme="1"/>
      <name val="Constantia"/>
      <family val="1"/>
    </font>
    <font>
      <b/>
      <sz val="11"/>
      <color theme="1"/>
      <name val="Century Gothic"/>
      <family val="2"/>
    </font>
    <font>
      <sz val="10"/>
      <color rgb="FF000000"/>
      <name val="Century Gothic"/>
      <family val="2"/>
    </font>
    <font>
      <b/>
      <sz val="36"/>
      <color theme="1"/>
      <name val="Century Gothic"/>
      <family val="2"/>
    </font>
    <font>
      <b/>
      <sz val="11"/>
      <color theme="8" tint="-0.499984740745262"/>
      <name val="Century Gothic"/>
      <family val="2"/>
    </font>
    <font>
      <sz val="11"/>
      <color rgb="FF000000"/>
      <name val="Century Gothic"/>
      <family val="2"/>
    </font>
    <font>
      <b/>
      <sz val="11"/>
      <color rgb="FF2E4560"/>
      <name val="Tohoma"/>
    </font>
    <font>
      <sz val="10"/>
      <color rgb="FF2E4560"/>
      <name val="Tohoma"/>
    </font>
    <font>
      <sz val="11"/>
      <color theme="1"/>
      <name val="Robo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4560"/>
        <bgColor indexed="64"/>
      </patternFill>
    </fill>
    <fill>
      <patternFill patternType="solid">
        <fgColor rgb="FFA4BAD4"/>
        <bgColor indexed="64"/>
      </patternFill>
    </fill>
    <fill>
      <patternFill patternType="solid">
        <fgColor rgb="FFD5DFEB"/>
        <bgColor indexed="64"/>
      </patternFill>
    </fill>
    <fill>
      <patternFill patternType="solid">
        <fgColor rgb="FFD5DFEB"/>
        <bgColor rgb="FFD9D9D9"/>
      </patternFill>
    </fill>
  </fills>
  <borders count="2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rgb="FF2E4560"/>
      </bottom>
      <diagonal/>
    </border>
    <border>
      <left style="medium">
        <color rgb="FF2E4560"/>
      </left>
      <right/>
      <top style="medium">
        <color rgb="FF2E4560"/>
      </top>
      <bottom/>
      <diagonal/>
    </border>
    <border>
      <left/>
      <right/>
      <top style="medium">
        <color rgb="FF2E4560"/>
      </top>
      <bottom/>
      <diagonal/>
    </border>
    <border>
      <left/>
      <right style="medium">
        <color rgb="FF2E4560"/>
      </right>
      <top style="medium">
        <color rgb="FF2E4560"/>
      </top>
      <bottom/>
      <diagonal/>
    </border>
    <border>
      <left style="medium">
        <color rgb="FF2E4560"/>
      </left>
      <right/>
      <top/>
      <bottom/>
      <diagonal/>
    </border>
    <border>
      <left/>
      <right style="medium">
        <color rgb="FF2E4560"/>
      </right>
      <top/>
      <bottom/>
      <diagonal/>
    </border>
    <border>
      <left style="medium">
        <color rgb="FF2E4560"/>
      </left>
      <right/>
      <top/>
      <bottom style="medium">
        <color rgb="FF2E4560"/>
      </bottom>
      <diagonal/>
    </border>
    <border>
      <left/>
      <right style="medium">
        <color rgb="FF2E4560"/>
      </right>
      <top/>
      <bottom style="medium">
        <color rgb="FF2E4560"/>
      </bottom>
      <diagonal/>
    </border>
    <border>
      <left style="thin">
        <color rgb="FF2E4560"/>
      </left>
      <right style="thin">
        <color rgb="FF2E4560"/>
      </right>
      <top style="thin">
        <color rgb="FF2E4560"/>
      </top>
      <bottom style="thin">
        <color rgb="FF2E4560"/>
      </bottom>
      <diagonal/>
    </border>
    <border>
      <left/>
      <right style="thin">
        <color rgb="FF819CC1"/>
      </right>
      <top/>
      <bottom/>
      <diagonal/>
    </border>
    <border>
      <left style="thin">
        <color rgb="FF819CC1"/>
      </left>
      <right style="thin">
        <color rgb="FF819CC1"/>
      </right>
      <top/>
      <bottom/>
      <diagonal/>
    </border>
    <border>
      <left style="thin">
        <color rgb="FF819CC1"/>
      </left>
      <right/>
      <top/>
      <bottom/>
      <diagonal/>
    </border>
    <border>
      <left style="medium">
        <color rgb="FF2E4560"/>
      </left>
      <right style="thin">
        <color rgb="FF2E4560"/>
      </right>
      <top style="medium">
        <color rgb="FF2E4560"/>
      </top>
      <bottom style="thin">
        <color rgb="FF2E4560"/>
      </bottom>
      <diagonal/>
    </border>
    <border>
      <left style="thin">
        <color rgb="FF2E4560"/>
      </left>
      <right style="thin">
        <color rgb="FF2E4560"/>
      </right>
      <top style="medium">
        <color rgb="FF2E4560"/>
      </top>
      <bottom style="thin">
        <color rgb="FF2E4560"/>
      </bottom>
      <diagonal/>
    </border>
    <border>
      <left style="thin">
        <color rgb="FF2E4560"/>
      </left>
      <right style="medium">
        <color rgb="FF2E4560"/>
      </right>
      <top style="medium">
        <color rgb="FF2E4560"/>
      </top>
      <bottom style="thin">
        <color rgb="FF2E4560"/>
      </bottom>
      <diagonal/>
    </border>
    <border>
      <left style="medium">
        <color rgb="FF2E4560"/>
      </left>
      <right style="thin">
        <color rgb="FF2E4560"/>
      </right>
      <top style="thin">
        <color rgb="FF2E4560"/>
      </top>
      <bottom style="thin">
        <color rgb="FF2E4560"/>
      </bottom>
      <diagonal/>
    </border>
    <border>
      <left style="thin">
        <color rgb="FF2E4560"/>
      </left>
      <right style="medium">
        <color rgb="FF2E4560"/>
      </right>
      <top style="thin">
        <color rgb="FF2E4560"/>
      </top>
      <bottom style="thin">
        <color rgb="FF2E4560"/>
      </bottom>
      <diagonal/>
    </border>
    <border>
      <left style="medium">
        <color rgb="FF2E4560"/>
      </left>
      <right style="thin">
        <color rgb="FF2E4560"/>
      </right>
      <top style="thin">
        <color rgb="FF2E4560"/>
      </top>
      <bottom style="medium">
        <color rgb="FF2E4560"/>
      </bottom>
      <diagonal/>
    </border>
    <border>
      <left style="thin">
        <color rgb="FF2E4560"/>
      </left>
      <right style="thin">
        <color rgb="FF2E4560"/>
      </right>
      <top style="thin">
        <color rgb="FF2E4560"/>
      </top>
      <bottom style="medium">
        <color rgb="FF2E4560"/>
      </bottom>
      <diagonal/>
    </border>
    <border>
      <left style="thin">
        <color rgb="FF2E4560"/>
      </left>
      <right style="medium">
        <color rgb="FF2E4560"/>
      </right>
      <top style="thin">
        <color rgb="FF2E4560"/>
      </top>
      <bottom style="medium">
        <color rgb="FF2E4560"/>
      </bottom>
      <diagonal/>
    </border>
    <border>
      <left style="medium">
        <color rgb="FF2E4560"/>
      </left>
      <right style="thin">
        <color rgb="FF2E4560"/>
      </right>
      <top style="thin">
        <color rgb="FF2E4560"/>
      </top>
      <bottom/>
      <diagonal/>
    </border>
    <border>
      <left style="thin">
        <color rgb="FF2E4560"/>
      </left>
      <right style="thin">
        <color rgb="FF2E4560"/>
      </right>
      <top style="thin">
        <color rgb="FF2E4560"/>
      </top>
      <bottom/>
      <diagonal/>
    </border>
    <border>
      <left style="thin">
        <color rgb="FF2E4560"/>
      </left>
      <right style="medium">
        <color rgb="FF2E4560"/>
      </right>
      <top style="thin">
        <color rgb="FF2E456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vertical="top"/>
    </xf>
    <xf numFmtId="0" fontId="8" fillId="0" borderId="0" xfId="2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2" xfId="0" applyFont="1" applyBorder="1"/>
    <xf numFmtId="0" fontId="7" fillId="0" borderId="0" xfId="0" applyFont="1"/>
    <xf numFmtId="15" fontId="7" fillId="0" borderId="0" xfId="0" applyNumberFormat="1" applyFont="1" applyAlignment="1">
      <alignment horizontal="center" vertical="center"/>
    </xf>
    <xf numFmtId="0" fontId="12" fillId="2" borderId="0" xfId="0" applyFont="1" applyFill="1"/>
    <xf numFmtId="0" fontId="4" fillId="0" borderId="0" xfId="0" applyFont="1" applyAlignment="1">
      <alignment horizontal="center"/>
    </xf>
    <xf numFmtId="0" fontId="7" fillId="2" borderId="0" xfId="0" applyFont="1" applyFill="1"/>
    <xf numFmtId="0" fontId="14" fillId="2" borderId="0" xfId="0" applyFont="1" applyFill="1" applyAlignment="1">
      <alignment horizontal="right" vertical="top"/>
    </xf>
    <xf numFmtId="0" fontId="12" fillId="2" borderId="3" xfId="0" applyFont="1" applyFill="1" applyBorder="1"/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2" borderId="0" xfId="0" applyFont="1" applyFill="1"/>
    <xf numFmtId="15" fontId="7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12" fillId="2" borderId="4" xfId="0" applyFont="1" applyFill="1" applyBorder="1"/>
    <xf numFmtId="0" fontId="12" fillId="2" borderId="5" xfId="0" applyFont="1" applyFill="1" applyBorder="1"/>
    <xf numFmtId="0" fontId="13" fillId="2" borderId="6" xfId="0" applyFont="1" applyFill="1" applyBorder="1"/>
    <xf numFmtId="0" fontId="12" fillId="2" borderId="7" xfId="0" applyFont="1" applyFill="1" applyBorder="1"/>
    <xf numFmtId="0" fontId="13" fillId="2" borderId="8" xfId="0" applyFont="1" applyFill="1" applyBorder="1"/>
    <xf numFmtId="0" fontId="13" fillId="2" borderId="8" xfId="0" applyFont="1" applyFill="1" applyBorder="1" applyAlignment="1">
      <alignment vertical="top"/>
    </xf>
    <xf numFmtId="0" fontId="12" fillId="2" borderId="9" xfId="0" applyFont="1" applyFill="1" applyBorder="1"/>
    <xf numFmtId="0" fontId="13" fillId="2" borderId="10" xfId="0" applyFont="1" applyFill="1" applyBorder="1" applyAlignment="1">
      <alignment vertical="top"/>
    </xf>
    <xf numFmtId="0" fontId="3" fillId="0" borderId="7" xfId="0" applyFont="1" applyBorder="1"/>
    <xf numFmtId="0" fontId="4" fillId="0" borderId="8" xfId="0" applyFont="1" applyBorder="1" applyAlignment="1">
      <alignment horizontal="center"/>
    </xf>
    <xf numFmtId="0" fontId="5" fillId="2" borderId="7" xfId="0" applyFont="1" applyFill="1" applyBorder="1"/>
    <xf numFmtId="0" fontId="7" fillId="2" borderId="8" xfId="0" applyFont="1" applyFill="1" applyBorder="1"/>
    <xf numFmtId="0" fontId="0" fillId="2" borderId="7" xfId="0" applyFill="1" applyBorder="1"/>
    <xf numFmtId="0" fontId="0" fillId="2" borderId="9" xfId="0" applyFill="1" applyBorder="1"/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0" borderId="0" xfId="0" applyFont="1"/>
    <xf numFmtId="0" fontId="25" fillId="2" borderId="0" xfId="0" applyFont="1" applyFill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top"/>
    </xf>
    <xf numFmtId="0" fontId="24" fillId="4" borderId="0" xfId="0" applyFont="1" applyFill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0" xfId="0" applyFont="1" applyFill="1"/>
    <xf numFmtId="0" fontId="25" fillId="2" borderId="0" xfId="0" applyFont="1" applyFill="1"/>
    <xf numFmtId="0" fontId="26" fillId="5" borderId="0" xfId="0" applyFont="1" applyFill="1" applyAlignment="1">
      <alignment horizontal="center"/>
    </xf>
    <xf numFmtId="0" fontId="27" fillId="5" borderId="0" xfId="0" applyFont="1" applyFill="1"/>
    <xf numFmtId="0" fontId="20" fillId="5" borderId="0" xfId="0" applyFont="1" applyFill="1"/>
    <xf numFmtId="0" fontId="20" fillId="5" borderId="0" xfId="0" applyFont="1" applyFill="1" applyAlignment="1">
      <alignment vertical="center"/>
    </xf>
    <xf numFmtId="0" fontId="27" fillId="5" borderId="0" xfId="0" applyFont="1" applyFill="1" applyAlignment="1">
      <alignment vertical="center"/>
    </xf>
    <xf numFmtId="0" fontId="25" fillId="5" borderId="0" xfId="0" applyFont="1" applyFill="1" applyAlignment="1">
      <alignment vertical="center"/>
    </xf>
    <xf numFmtId="0" fontId="34" fillId="5" borderId="0" xfId="0" applyFont="1" applyFill="1" applyAlignment="1">
      <alignment vertical="center"/>
    </xf>
    <xf numFmtId="0" fontId="35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33" fillId="0" borderId="11" xfId="0" applyFont="1" applyBorder="1" applyAlignment="1">
      <alignment horizontal="center" vertical="center"/>
    </xf>
    <xf numFmtId="0" fontId="37" fillId="0" borderId="18" xfId="0" applyFont="1" applyBorder="1" applyAlignment="1">
      <alignment vertical="center" wrapText="1"/>
    </xf>
    <xf numFmtId="9" fontId="7" fillId="0" borderId="11" xfId="1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3" fontId="37" fillId="0" borderId="11" xfId="0" applyNumberFormat="1" applyFont="1" applyBorder="1" applyAlignment="1">
      <alignment horizontal="center" vertical="center" wrapText="1"/>
    </xf>
    <xf numFmtId="179" fontId="37" fillId="0" borderId="11" xfId="0" applyNumberFormat="1" applyFont="1" applyBorder="1" applyAlignment="1">
      <alignment horizontal="center" vertical="center" wrapText="1"/>
    </xf>
    <xf numFmtId="179" fontId="37" fillId="0" borderId="19" xfId="0" applyNumberFormat="1" applyFont="1" applyBorder="1" applyAlignment="1">
      <alignment horizontal="center" vertical="center" wrapText="1"/>
    </xf>
    <xf numFmtId="0" fontId="37" fillId="0" borderId="18" xfId="0" applyFont="1" applyBorder="1" applyAlignment="1">
      <alignment vertical="center"/>
    </xf>
    <xf numFmtId="9" fontId="7" fillId="0" borderId="11" xfId="0" applyNumberFormat="1" applyFont="1" applyBorder="1" applyAlignment="1">
      <alignment horizontal="center" vertical="center"/>
    </xf>
    <xf numFmtId="0" fontId="34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176" fontId="18" fillId="0" borderId="11" xfId="0" applyNumberFormat="1" applyFont="1" applyBorder="1" applyAlignment="1">
      <alignment horizontal="center" vertical="center"/>
    </xf>
    <xf numFmtId="178" fontId="39" fillId="0" borderId="18" xfId="0" applyNumberFormat="1" applyFont="1" applyBorder="1" applyAlignment="1">
      <alignment horizontal="center" vertical="center" shrinkToFit="1"/>
    </xf>
    <xf numFmtId="178" fontId="39" fillId="0" borderId="11" xfId="0" applyNumberFormat="1" applyFont="1" applyBorder="1" applyAlignment="1">
      <alignment horizontal="center" vertical="center" shrinkToFit="1"/>
    </xf>
    <xf numFmtId="178" fontId="39" fillId="0" borderId="19" xfId="0" applyNumberFormat="1" applyFont="1" applyBorder="1" applyAlignment="1">
      <alignment horizontal="center" vertical="center" shrinkToFit="1"/>
    </xf>
    <xf numFmtId="0" fontId="29" fillId="3" borderId="18" xfId="0" applyFont="1" applyFill="1" applyBorder="1" applyAlignment="1">
      <alignment horizontal="center" vertical="center" shrinkToFit="1"/>
    </xf>
    <xf numFmtId="0" fontId="29" fillId="3" borderId="11" xfId="0" applyFont="1" applyFill="1" applyBorder="1" applyAlignment="1">
      <alignment horizontal="center" vertical="center" shrinkToFit="1"/>
    </xf>
    <xf numFmtId="0" fontId="29" fillId="3" borderId="19" xfId="0" applyFont="1" applyFill="1" applyBorder="1" applyAlignment="1">
      <alignment horizontal="center" vertical="center" shrinkToFit="1"/>
    </xf>
    <xf numFmtId="0" fontId="30" fillId="0" borderId="18" xfId="0" applyFont="1" applyBorder="1" applyAlignment="1">
      <alignment horizontal="center" vertical="center" shrinkToFit="1"/>
    </xf>
    <xf numFmtId="0" fontId="30" fillId="0" borderId="11" xfId="0" applyFont="1" applyBorder="1" applyAlignment="1">
      <alignment horizontal="center" vertical="center" shrinkToFit="1"/>
    </xf>
    <xf numFmtId="0" fontId="20" fillId="0" borderId="1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0" fillId="0" borderId="11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40" fillId="0" borderId="0" xfId="0" applyFont="1"/>
    <xf numFmtId="0" fontId="6" fillId="0" borderId="0" xfId="0" applyFont="1"/>
    <xf numFmtId="0" fontId="7" fillId="2" borderId="3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19" fillId="2" borderId="11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top"/>
    </xf>
    <xf numFmtId="0" fontId="7" fillId="2" borderId="0" xfId="0" applyFont="1" applyFill="1" applyAlignment="1">
      <alignment horizontal="center"/>
    </xf>
    <xf numFmtId="0" fontId="16" fillId="2" borderId="5" xfId="0" applyFont="1" applyFill="1" applyBorder="1" applyAlignment="1">
      <alignment horizontal="right"/>
    </xf>
    <xf numFmtId="0" fontId="16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2" borderId="3" xfId="0" applyFont="1" applyFill="1" applyBorder="1" applyAlignment="1">
      <alignment horizontal="right" vertical="top"/>
    </xf>
    <xf numFmtId="15" fontId="38" fillId="0" borderId="16" xfId="0" applyNumberFormat="1" applyFont="1" applyBorder="1" applyAlignment="1">
      <alignment horizontal="center" vertical="center"/>
    </xf>
    <xf numFmtId="15" fontId="38" fillId="0" borderId="17" xfId="0" applyNumberFormat="1" applyFont="1" applyBorder="1" applyAlignment="1">
      <alignment horizontal="center" vertical="center"/>
    </xf>
    <xf numFmtId="0" fontId="36" fillId="6" borderId="18" xfId="0" applyFont="1" applyFill="1" applyBorder="1" applyAlignment="1">
      <alignment horizontal="center" vertical="center" wrapText="1"/>
    </xf>
    <xf numFmtId="0" fontId="36" fillId="6" borderId="11" xfId="0" applyFont="1" applyFill="1" applyBorder="1" applyAlignment="1">
      <alignment horizontal="center" vertical="center" wrapText="1"/>
    </xf>
    <xf numFmtId="0" fontId="36" fillId="6" borderId="19" xfId="0" applyFont="1" applyFill="1" applyBorder="1" applyAlignment="1">
      <alignment horizontal="center" vertical="center" wrapText="1"/>
    </xf>
    <xf numFmtId="15" fontId="38" fillId="0" borderId="15" xfId="0" applyNumberFormat="1" applyFont="1" applyBorder="1" applyAlignment="1">
      <alignment horizontal="center" vertical="center"/>
    </xf>
    <xf numFmtId="0" fontId="31" fillId="4" borderId="0" xfId="0" applyFont="1" applyFill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5" borderId="13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33" fillId="0" borderId="11" xfId="0" applyFont="1" applyBorder="1" applyAlignment="1">
      <alignment horizontal="center" vertical="center"/>
    </xf>
    <xf numFmtId="3" fontId="33" fillId="0" borderId="16" xfId="0" applyNumberFormat="1" applyFont="1" applyBorder="1" applyAlignment="1">
      <alignment horizontal="center" vertical="center"/>
    </xf>
    <xf numFmtId="177" fontId="33" fillId="0" borderId="16" xfId="0" applyNumberFormat="1" applyFont="1" applyBorder="1" applyAlignment="1">
      <alignment horizontal="center" vertical="center"/>
    </xf>
    <xf numFmtId="177" fontId="33" fillId="0" borderId="17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</cellXfs>
  <cellStyles count="3">
    <cellStyle name="百分比" xfId="1" builtinId="5"/>
    <cellStyle name="常规" xfId="0" builtinId="0"/>
    <cellStyle name="超链接" xfId="2" builtinId="8"/>
  </cellStyles>
  <dxfs count="1">
    <dxf>
      <font>
        <color auto="1"/>
      </font>
      <fill>
        <patternFill>
          <bgColor rgb="FF2E4560"/>
        </patternFill>
      </fill>
    </dxf>
  </dxfs>
  <tableStyles count="0" defaultTableStyle="TableStyleMedium2" defaultPivotStyle="PivotStyleLight16"/>
  <colors>
    <mruColors>
      <color rgb="FFA4BAD4"/>
      <color rgb="FF2E4560"/>
      <color rgb="FFD5D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2</xdr:row>
      <xdr:rowOff>76200</xdr:rowOff>
    </xdr:from>
    <xdr:to>
      <xdr:col>2</xdr:col>
      <xdr:colOff>736600</xdr:colOff>
      <xdr:row>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FAD5B8-9623-48A1-AB56-0ED329F02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19100"/>
          <a:ext cx="711200" cy="71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086850" cy="3933826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11869192-AD85-4458-BD4D-98BAB31A73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086850" cy="393382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emplate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C32F-962A-4A83-B0EA-2BB647ED0A19}">
  <sheetPr>
    <pageSetUpPr fitToPage="1"/>
  </sheetPr>
  <dimension ref="B1:K34"/>
  <sheetViews>
    <sheetView showGridLines="0" tabSelected="1" workbookViewId="0">
      <selection activeCell="I9" sqref="I9"/>
    </sheetView>
  </sheetViews>
  <sheetFormatPr defaultColWidth="8.73046875" defaultRowHeight="28.05" customHeight="1"/>
  <cols>
    <col min="1" max="2" width="2.53125" customWidth="1"/>
    <col min="3" max="3" width="21.53125" customWidth="1"/>
    <col min="5" max="5" width="14.73046875" customWidth="1"/>
    <col min="6" max="6" width="19.19921875" customWidth="1"/>
    <col min="7" max="7" width="14.9296875" customWidth="1"/>
    <col min="8" max="8" width="10.19921875" customWidth="1"/>
    <col min="9" max="9" width="15.9296875" customWidth="1"/>
    <col min="10" max="10" width="17.59765625" customWidth="1"/>
    <col min="11" max="11" width="4.796875" customWidth="1"/>
  </cols>
  <sheetData>
    <row r="1" spans="2:11" ht="13.15" thickBot="1"/>
    <row r="2" spans="2:11" ht="13.9">
      <c r="B2" s="19"/>
      <c r="C2" s="20"/>
      <c r="D2" s="99" t="s">
        <v>0</v>
      </c>
      <c r="E2" s="99"/>
      <c r="F2" s="99"/>
      <c r="G2" s="99"/>
      <c r="H2" s="99"/>
      <c r="I2" s="99"/>
      <c r="J2" s="99"/>
      <c r="K2" s="21"/>
    </row>
    <row r="3" spans="2:11" ht="13.9">
      <c r="B3" s="22"/>
      <c r="C3" s="8"/>
      <c r="D3" s="100"/>
      <c r="E3" s="100"/>
      <c r="F3" s="100"/>
      <c r="G3" s="100"/>
      <c r="H3" s="100"/>
      <c r="I3" s="100"/>
      <c r="J3" s="100"/>
      <c r="K3" s="23"/>
    </row>
    <row r="4" spans="2:11" ht="13.9">
      <c r="B4" s="22"/>
      <c r="C4" s="8"/>
      <c r="D4" s="100"/>
      <c r="E4" s="100"/>
      <c r="F4" s="100"/>
      <c r="G4" s="100"/>
      <c r="H4" s="100"/>
      <c r="I4" s="100"/>
      <c r="J4" s="100"/>
      <c r="K4" s="23"/>
    </row>
    <row r="5" spans="2:11" s="1" customFormat="1" ht="14.25">
      <c r="B5" s="22"/>
      <c r="C5" s="8"/>
      <c r="D5" s="101" t="s">
        <v>1</v>
      </c>
      <c r="E5" s="101"/>
      <c r="F5" s="101"/>
      <c r="G5" s="101"/>
      <c r="H5" s="101"/>
      <c r="I5" s="101"/>
      <c r="J5" s="101"/>
      <c r="K5" s="24"/>
    </row>
    <row r="6" spans="2:11" s="1" customFormat="1" ht="14.25">
      <c r="B6" s="22"/>
      <c r="C6" s="8"/>
      <c r="D6" s="102" t="s">
        <v>19</v>
      </c>
      <c r="E6" s="102"/>
      <c r="F6" s="102"/>
      <c r="G6" s="102"/>
      <c r="H6" s="102"/>
      <c r="I6" s="102"/>
      <c r="J6" s="102"/>
      <c r="K6" s="24"/>
    </row>
    <row r="7" spans="2:11" s="1" customFormat="1" ht="17" customHeight="1" thickBot="1">
      <c r="B7" s="25"/>
      <c r="C7" s="12"/>
      <c r="D7" s="103" t="s">
        <v>2</v>
      </c>
      <c r="E7" s="103"/>
      <c r="F7" s="103"/>
      <c r="G7" s="103"/>
      <c r="H7" s="103"/>
      <c r="I7" s="103"/>
      <c r="J7" s="103"/>
      <c r="K7" s="26"/>
    </row>
    <row r="8" spans="2:11" s="1" customFormat="1" ht="13.5">
      <c r="B8" s="22"/>
      <c r="C8" s="8"/>
      <c r="D8" s="11"/>
      <c r="E8" s="11"/>
      <c r="F8" s="11"/>
      <c r="G8" s="11"/>
      <c r="H8" s="11"/>
      <c r="I8" s="11"/>
      <c r="J8" s="11"/>
      <c r="K8" s="24"/>
    </row>
    <row r="9" spans="2:11" ht="21.5" customHeight="1">
      <c r="B9" s="27"/>
      <c r="C9" s="91" t="s">
        <v>3</v>
      </c>
      <c r="D9" s="91"/>
      <c r="E9" s="93"/>
      <c r="F9" s="93"/>
      <c r="G9" s="13"/>
      <c r="H9" s="13"/>
      <c r="J9" s="14"/>
      <c r="K9" s="28"/>
    </row>
    <row r="10" spans="2:11" ht="21.5" customHeight="1">
      <c r="B10" s="27"/>
      <c r="C10" s="91"/>
      <c r="D10" s="91"/>
      <c r="E10" s="93"/>
      <c r="F10" s="93"/>
      <c r="G10" s="13"/>
      <c r="H10" s="13"/>
      <c r="J10" s="9"/>
      <c r="K10" s="28"/>
    </row>
    <row r="11" spans="2:11" ht="19.5" customHeight="1">
      <c r="B11" s="29"/>
      <c r="C11" s="92" t="s">
        <v>21</v>
      </c>
      <c r="D11" s="92"/>
      <c r="E11" s="13"/>
      <c r="K11" s="30"/>
    </row>
    <row r="12" spans="2:11" ht="19.5" customHeight="1">
      <c r="B12" s="29"/>
      <c r="C12" s="92" t="s">
        <v>20</v>
      </c>
      <c r="D12" s="92"/>
      <c r="E12" s="16"/>
      <c r="F12" s="7"/>
      <c r="K12" s="30"/>
    </row>
    <row r="13" spans="2:11" ht="13.5" customHeight="1">
      <c r="B13" s="29"/>
      <c r="C13" s="15"/>
      <c r="D13" s="98"/>
      <c r="E13" s="98"/>
      <c r="F13" s="98"/>
      <c r="G13" s="98"/>
      <c r="H13" s="98"/>
      <c r="I13" s="98"/>
      <c r="J13" s="98"/>
      <c r="K13" s="30"/>
    </row>
    <row r="14" spans="2:11" ht="23" customHeight="1">
      <c r="B14" s="31"/>
      <c r="C14" s="94" t="s">
        <v>4</v>
      </c>
      <c r="D14" s="95" t="s">
        <v>5</v>
      </c>
      <c r="E14" s="95"/>
      <c r="F14" s="96" t="s">
        <v>6</v>
      </c>
      <c r="G14" s="96"/>
      <c r="H14" s="96"/>
      <c r="I14" s="96"/>
      <c r="J14" s="96"/>
      <c r="K14" s="30"/>
    </row>
    <row r="15" spans="2:11" ht="23" customHeight="1">
      <c r="B15" s="31"/>
      <c r="C15" s="94"/>
      <c r="D15" s="97"/>
      <c r="E15" s="97"/>
      <c r="F15" s="97"/>
      <c r="G15" s="97"/>
      <c r="H15" s="97"/>
      <c r="I15" s="97"/>
      <c r="J15" s="97"/>
      <c r="K15" s="30"/>
    </row>
    <row r="16" spans="2:11" ht="23" customHeight="1">
      <c r="B16" s="31"/>
      <c r="C16" s="94"/>
      <c r="D16" s="97"/>
      <c r="E16" s="97"/>
      <c r="F16" s="97"/>
      <c r="G16" s="97"/>
      <c r="H16" s="97"/>
      <c r="I16" s="97"/>
      <c r="J16" s="97"/>
      <c r="K16" s="30"/>
    </row>
    <row r="17" spans="2:11" ht="14.25">
      <c r="B17" s="31"/>
      <c r="C17" s="10"/>
      <c r="D17" s="17"/>
      <c r="E17" s="17"/>
      <c r="F17" s="17"/>
      <c r="G17" s="17"/>
      <c r="H17" s="17"/>
      <c r="I17" s="17"/>
      <c r="J17" s="17"/>
      <c r="K17" s="30"/>
    </row>
    <row r="18" spans="2:11" ht="23" customHeight="1">
      <c r="B18" s="31"/>
      <c r="C18" s="94" t="s">
        <v>7</v>
      </c>
      <c r="D18" s="95" t="s">
        <v>8</v>
      </c>
      <c r="E18" s="95"/>
      <c r="F18" s="96" t="s">
        <v>9</v>
      </c>
      <c r="G18" s="96"/>
      <c r="H18" s="96"/>
      <c r="I18" s="96"/>
      <c r="J18" s="96"/>
      <c r="K18" s="30"/>
    </row>
    <row r="19" spans="2:11" ht="23" customHeight="1">
      <c r="B19" s="31"/>
      <c r="C19" s="94"/>
      <c r="D19" s="97"/>
      <c r="E19" s="97"/>
      <c r="F19" s="97"/>
      <c r="G19" s="97"/>
      <c r="H19" s="97"/>
      <c r="I19" s="97"/>
      <c r="J19" s="97"/>
      <c r="K19" s="30"/>
    </row>
    <row r="20" spans="2:11" ht="23" customHeight="1">
      <c r="B20" s="31"/>
      <c r="C20" s="94"/>
      <c r="D20" s="97"/>
      <c r="E20" s="97"/>
      <c r="F20" s="97"/>
      <c r="G20" s="97"/>
      <c r="H20" s="97"/>
      <c r="I20" s="97"/>
      <c r="J20" s="97"/>
      <c r="K20" s="30"/>
    </row>
    <row r="21" spans="2:11" ht="14.25">
      <c r="B21" s="31"/>
      <c r="C21" s="10"/>
      <c r="D21" s="18"/>
      <c r="E21" s="18"/>
      <c r="F21" s="18"/>
      <c r="G21" s="18"/>
      <c r="H21" s="18"/>
      <c r="I21" s="18"/>
      <c r="J21" s="18"/>
      <c r="K21" s="30"/>
    </row>
    <row r="22" spans="2:11" ht="23" customHeight="1">
      <c r="B22" s="31"/>
      <c r="C22" s="94" t="s">
        <v>10</v>
      </c>
      <c r="D22" s="95" t="s">
        <v>11</v>
      </c>
      <c r="E22" s="95"/>
      <c r="F22" s="96" t="s">
        <v>12</v>
      </c>
      <c r="G22" s="96"/>
      <c r="H22" s="96"/>
      <c r="I22" s="96"/>
      <c r="J22" s="96"/>
      <c r="K22" s="30"/>
    </row>
    <row r="23" spans="2:11" ht="23" customHeight="1">
      <c r="B23" s="31"/>
      <c r="C23" s="94"/>
      <c r="D23" s="97"/>
      <c r="E23" s="97"/>
      <c r="F23" s="97"/>
      <c r="G23" s="97"/>
      <c r="H23" s="97"/>
      <c r="I23" s="97"/>
      <c r="J23" s="97"/>
      <c r="K23" s="30"/>
    </row>
    <row r="24" spans="2:11" ht="23" customHeight="1">
      <c r="B24" s="31"/>
      <c r="C24" s="94"/>
      <c r="D24" s="97"/>
      <c r="E24" s="97"/>
      <c r="F24" s="97"/>
      <c r="G24" s="97"/>
      <c r="H24" s="97"/>
      <c r="I24" s="97"/>
      <c r="J24" s="97"/>
      <c r="K24" s="30"/>
    </row>
    <row r="25" spans="2:11" ht="14.25">
      <c r="B25" s="31"/>
      <c r="C25" s="10"/>
      <c r="D25" s="17"/>
      <c r="E25" s="17"/>
      <c r="F25" s="17"/>
      <c r="G25" s="17"/>
      <c r="H25" s="17"/>
      <c r="I25" s="17"/>
      <c r="J25" s="17"/>
      <c r="K25" s="30"/>
    </row>
    <row r="26" spans="2:11" ht="23" customHeight="1">
      <c r="B26" s="31"/>
      <c r="C26" s="94" t="s">
        <v>13</v>
      </c>
      <c r="D26" s="95" t="s">
        <v>14</v>
      </c>
      <c r="E26" s="95"/>
      <c r="F26" s="96" t="s">
        <v>15</v>
      </c>
      <c r="G26" s="96"/>
      <c r="H26" s="96"/>
      <c r="I26" s="96"/>
      <c r="J26" s="96"/>
      <c r="K26" s="30"/>
    </row>
    <row r="27" spans="2:11" ht="23" customHeight="1">
      <c r="B27" s="31"/>
      <c r="C27" s="94"/>
      <c r="D27" s="97"/>
      <c r="E27" s="97"/>
      <c r="F27" s="97"/>
      <c r="G27" s="97"/>
      <c r="H27" s="97"/>
      <c r="I27" s="97"/>
      <c r="J27" s="97"/>
      <c r="K27" s="30"/>
    </row>
    <row r="28" spans="2:11" ht="23" customHeight="1">
      <c r="B28" s="31"/>
      <c r="C28" s="94"/>
      <c r="D28" s="97"/>
      <c r="E28" s="97"/>
      <c r="F28" s="97"/>
      <c r="G28" s="97"/>
      <c r="H28" s="97"/>
      <c r="I28" s="97"/>
      <c r="J28" s="97"/>
      <c r="K28" s="30"/>
    </row>
    <row r="29" spans="2:11" ht="14.25">
      <c r="B29" s="31"/>
      <c r="C29" s="10"/>
      <c r="D29" s="17"/>
      <c r="E29" s="17"/>
      <c r="F29" s="17"/>
      <c r="G29" s="17"/>
      <c r="H29" s="17"/>
      <c r="I29" s="17"/>
      <c r="J29" s="17"/>
      <c r="K29" s="30"/>
    </row>
    <row r="30" spans="2:11" ht="23" customHeight="1">
      <c r="B30" s="31"/>
      <c r="C30" s="94" t="s">
        <v>16</v>
      </c>
      <c r="D30" s="95" t="s">
        <v>17</v>
      </c>
      <c r="E30" s="95"/>
      <c r="F30" s="96" t="s">
        <v>15</v>
      </c>
      <c r="G30" s="96"/>
      <c r="H30" s="96"/>
      <c r="I30" s="96"/>
      <c r="J30" s="96"/>
      <c r="K30" s="30"/>
    </row>
    <row r="31" spans="2:11" ht="23" customHeight="1">
      <c r="B31" s="31"/>
      <c r="C31" s="94"/>
      <c r="D31" s="97"/>
      <c r="E31" s="97"/>
      <c r="F31" s="97"/>
      <c r="G31" s="97"/>
      <c r="H31" s="97"/>
      <c r="I31" s="97"/>
      <c r="J31" s="97"/>
      <c r="K31" s="30"/>
    </row>
    <row r="32" spans="2:11" ht="23" customHeight="1">
      <c r="B32" s="31"/>
      <c r="C32" s="94"/>
      <c r="D32" s="97"/>
      <c r="E32" s="97"/>
      <c r="F32" s="97"/>
      <c r="G32" s="97"/>
      <c r="H32" s="97"/>
      <c r="I32" s="97"/>
      <c r="J32" s="97"/>
      <c r="K32" s="30"/>
    </row>
    <row r="33" spans="2:11" ht="14.65" thickBot="1">
      <c r="B33" s="32"/>
      <c r="C33" s="89"/>
      <c r="D33" s="89"/>
      <c r="E33" s="89"/>
      <c r="F33" s="89"/>
      <c r="G33" s="89"/>
      <c r="H33" s="89"/>
      <c r="I33" s="89"/>
      <c r="J33" s="89"/>
      <c r="K33" s="90"/>
    </row>
    <row r="34" spans="2:11" ht="14.25">
      <c r="B34" s="2" t="s">
        <v>18</v>
      </c>
      <c r="C34" s="3"/>
      <c r="D34" s="3"/>
      <c r="E34" s="4"/>
      <c r="F34" s="5"/>
      <c r="G34" s="6"/>
      <c r="H34" s="6"/>
      <c r="I34" s="6"/>
      <c r="J34" s="6"/>
      <c r="K34" s="6"/>
    </row>
  </sheetData>
  <mergeCells count="30">
    <mergeCell ref="D2:J4"/>
    <mergeCell ref="D5:J5"/>
    <mergeCell ref="D6:J6"/>
    <mergeCell ref="D7:J7"/>
    <mergeCell ref="D13:J13"/>
    <mergeCell ref="C14:C16"/>
    <mergeCell ref="D14:E14"/>
    <mergeCell ref="F14:J14"/>
    <mergeCell ref="D15:J16"/>
    <mergeCell ref="D19:J20"/>
    <mergeCell ref="C22:C24"/>
    <mergeCell ref="D22:E22"/>
    <mergeCell ref="F22:J22"/>
    <mergeCell ref="D23:J24"/>
    <mergeCell ref="C33:K33"/>
    <mergeCell ref="C9:D10"/>
    <mergeCell ref="C11:D11"/>
    <mergeCell ref="E9:F10"/>
    <mergeCell ref="C12:D12"/>
    <mergeCell ref="C26:C28"/>
    <mergeCell ref="D26:E26"/>
    <mergeCell ref="F26:J26"/>
    <mergeCell ref="D27:J28"/>
    <mergeCell ref="C30:C32"/>
    <mergeCell ref="D30:E30"/>
    <mergeCell ref="F30:J30"/>
    <mergeCell ref="D31:J32"/>
    <mergeCell ref="C18:C20"/>
    <mergeCell ref="D18:E18"/>
    <mergeCell ref="F18:J18"/>
  </mergeCells>
  <phoneticPr fontId="41" type="noConversion"/>
  <hyperlinks>
    <hyperlink ref="B34" r:id="rId1" display="https://www.template.net/" xr:uid="{CF5EB48C-850C-4A84-A553-2C8BD4C5ABB4}"/>
  </hyperlinks>
  <pageMargins left="0.7" right="0.7" top="0.75" bottom="0.75" header="0.3" footer="0.3"/>
  <pageSetup fitToWidth="0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907E-3284-4B3A-9450-77E2E21A7DF0}">
  <sheetPr>
    <pageSetUpPr fitToPage="1"/>
  </sheetPr>
  <dimension ref="A1:GN32"/>
  <sheetViews>
    <sheetView showGridLines="0" zoomScale="72" zoomScaleNormal="72" workbookViewId="0">
      <selection activeCell="Q16" sqref="Q16"/>
    </sheetView>
  </sheetViews>
  <sheetFormatPr defaultColWidth="3.73046875" defaultRowHeight="25.05" customHeight="1"/>
  <cols>
    <col min="1" max="1" width="2.06640625" style="33" customWidth="1"/>
    <col min="2" max="2" width="54.19921875" style="34" customWidth="1"/>
    <col min="3" max="3" width="17.73046875" style="34" customWidth="1"/>
    <col min="4" max="5" width="13.06640625" style="34" customWidth="1"/>
    <col min="6" max="6" width="15.796875" style="34" customWidth="1"/>
    <col min="7" max="7" width="17.46484375" style="34" customWidth="1"/>
    <col min="8" max="16384" width="3.73046875" style="34"/>
  </cols>
  <sheetData>
    <row r="1" spans="1:196" ht="12.75"/>
    <row r="2" spans="1:196" s="44" customFormat="1" ht="12.75">
      <c r="A2" s="35"/>
      <c r="B2" s="110" t="s">
        <v>22</v>
      </c>
      <c r="C2" s="110"/>
      <c r="D2" s="110"/>
      <c r="E2" s="110"/>
    </row>
    <row r="3" spans="1:196" s="43" customFormat="1" ht="25.05" customHeight="1">
      <c r="A3" s="36"/>
      <c r="B3" s="110"/>
      <c r="C3" s="110"/>
      <c r="D3" s="110"/>
      <c r="E3" s="110"/>
      <c r="F3" s="41"/>
      <c r="G3" s="41"/>
      <c r="H3" s="41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</row>
    <row r="4" spans="1:196" s="37" customFormat="1" ht="45.4">
      <c r="A4" s="45"/>
      <c r="B4" s="111" t="s">
        <v>23</v>
      </c>
      <c r="C4" s="111"/>
      <c r="D4" s="111"/>
      <c r="E4" s="111"/>
      <c r="F4" s="111"/>
      <c r="G4" s="111"/>
      <c r="H4" s="4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</row>
    <row r="5" spans="1:196" ht="45.4">
      <c r="A5" s="38"/>
      <c r="B5" s="56" t="s">
        <v>24</v>
      </c>
      <c r="C5" s="68">
        <v>45047</v>
      </c>
      <c r="D5" s="52"/>
      <c r="E5" s="52"/>
      <c r="F5" s="53"/>
      <c r="G5" s="52"/>
      <c r="H5" s="49"/>
      <c r="I5" s="51"/>
      <c r="J5" s="51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</row>
    <row r="6" spans="1:196" ht="14.65" thickBot="1">
      <c r="A6" s="38"/>
      <c r="B6" s="52"/>
      <c r="C6" s="54"/>
      <c r="D6" s="54"/>
      <c r="E6" s="54"/>
      <c r="F6" s="55"/>
      <c r="G6" s="55"/>
      <c r="H6" s="51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3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5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</row>
    <row r="7" spans="1:196" ht="13.9">
      <c r="A7" s="38"/>
      <c r="B7" s="116" t="s">
        <v>25</v>
      </c>
      <c r="C7" s="118" t="s">
        <v>26</v>
      </c>
      <c r="D7" s="118" t="s">
        <v>27</v>
      </c>
      <c r="E7" s="121" t="s">
        <v>28</v>
      </c>
      <c r="F7" s="122" t="s">
        <v>29</v>
      </c>
      <c r="G7" s="123" t="s">
        <v>30</v>
      </c>
      <c r="H7" s="109">
        <f>H8</f>
        <v>45047</v>
      </c>
      <c r="I7" s="104"/>
      <c r="J7" s="104"/>
      <c r="K7" s="104"/>
      <c r="L7" s="104"/>
      <c r="M7" s="104"/>
      <c r="N7" s="104"/>
      <c r="O7" s="104">
        <f>O8</f>
        <v>45054</v>
      </c>
      <c r="P7" s="104"/>
      <c r="Q7" s="104"/>
      <c r="R7" s="104"/>
      <c r="S7" s="104"/>
      <c r="T7" s="104"/>
      <c r="U7" s="104"/>
      <c r="V7" s="104">
        <f>V8</f>
        <v>45061</v>
      </c>
      <c r="W7" s="104"/>
      <c r="X7" s="104"/>
      <c r="Y7" s="104"/>
      <c r="Z7" s="104"/>
      <c r="AA7" s="104"/>
      <c r="AB7" s="104"/>
      <c r="AC7" s="104">
        <f>AC8</f>
        <v>45068</v>
      </c>
      <c r="AD7" s="104"/>
      <c r="AE7" s="104"/>
      <c r="AF7" s="104"/>
      <c r="AG7" s="104"/>
      <c r="AH7" s="104"/>
      <c r="AI7" s="104"/>
      <c r="AJ7" s="104">
        <f>AJ8</f>
        <v>45075</v>
      </c>
      <c r="AK7" s="104"/>
      <c r="AL7" s="104"/>
      <c r="AM7" s="104"/>
      <c r="AN7" s="104"/>
      <c r="AO7" s="104"/>
      <c r="AP7" s="104"/>
      <c r="AQ7" s="104">
        <f>AQ8</f>
        <v>45082</v>
      </c>
      <c r="AR7" s="104"/>
      <c r="AS7" s="104"/>
      <c r="AT7" s="104"/>
      <c r="AU7" s="104"/>
      <c r="AV7" s="104"/>
      <c r="AW7" s="104"/>
      <c r="AX7" s="104">
        <f>AX8</f>
        <v>45089</v>
      </c>
      <c r="AY7" s="104"/>
      <c r="AZ7" s="104"/>
      <c r="BA7" s="104"/>
      <c r="BB7" s="104"/>
      <c r="BC7" s="104"/>
      <c r="BD7" s="104"/>
      <c r="BE7" s="104">
        <f t="shared" ref="BE7" si="0">BE8</f>
        <v>45096</v>
      </c>
      <c r="BF7" s="104"/>
      <c r="BG7" s="104"/>
      <c r="BH7" s="104"/>
      <c r="BI7" s="104"/>
      <c r="BJ7" s="104"/>
      <c r="BK7" s="104"/>
      <c r="BL7" s="104">
        <f t="shared" ref="BL7" si="1">BL8</f>
        <v>45103</v>
      </c>
      <c r="BM7" s="104"/>
      <c r="BN7" s="104"/>
      <c r="BO7" s="104"/>
      <c r="BP7" s="104"/>
      <c r="BQ7" s="104"/>
      <c r="BR7" s="104"/>
      <c r="BS7" s="104">
        <f t="shared" ref="BS7" si="2">BS8</f>
        <v>45110</v>
      </c>
      <c r="BT7" s="104"/>
      <c r="BU7" s="104"/>
      <c r="BV7" s="104"/>
      <c r="BW7" s="104"/>
      <c r="BX7" s="104"/>
      <c r="BY7" s="104"/>
      <c r="BZ7" s="104">
        <f t="shared" ref="BZ7" si="3">BZ8</f>
        <v>45117</v>
      </c>
      <c r="CA7" s="104"/>
      <c r="CB7" s="104"/>
      <c r="CC7" s="104"/>
      <c r="CD7" s="104"/>
      <c r="CE7" s="104"/>
      <c r="CF7" s="104"/>
      <c r="CG7" s="104">
        <f t="shared" ref="CG7" si="4">CG8</f>
        <v>45124</v>
      </c>
      <c r="CH7" s="104"/>
      <c r="CI7" s="104"/>
      <c r="CJ7" s="104"/>
      <c r="CK7" s="104"/>
      <c r="CL7" s="104"/>
      <c r="CM7" s="104"/>
      <c r="CN7" s="104">
        <f t="shared" ref="CN7" si="5">CN8</f>
        <v>45131</v>
      </c>
      <c r="CO7" s="104"/>
      <c r="CP7" s="104"/>
      <c r="CQ7" s="104"/>
      <c r="CR7" s="104"/>
      <c r="CS7" s="104"/>
      <c r="CT7" s="104"/>
      <c r="CU7" s="104">
        <f t="shared" ref="CU7" si="6">CU8</f>
        <v>45138</v>
      </c>
      <c r="CV7" s="104"/>
      <c r="CW7" s="104"/>
      <c r="CX7" s="104"/>
      <c r="CY7" s="104"/>
      <c r="CZ7" s="104"/>
      <c r="DA7" s="104"/>
      <c r="DB7" s="104">
        <f t="shared" ref="DB7" si="7">DB8</f>
        <v>45145</v>
      </c>
      <c r="DC7" s="104"/>
      <c r="DD7" s="104"/>
      <c r="DE7" s="104"/>
      <c r="DF7" s="104"/>
      <c r="DG7" s="104"/>
      <c r="DH7" s="104"/>
      <c r="DI7" s="104">
        <f t="shared" ref="DI7" si="8">DI8</f>
        <v>45152</v>
      </c>
      <c r="DJ7" s="104"/>
      <c r="DK7" s="104"/>
      <c r="DL7" s="104"/>
      <c r="DM7" s="104"/>
      <c r="DN7" s="104"/>
      <c r="DO7" s="104"/>
      <c r="DP7" s="104">
        <f t="shared" ref="DP7" si="9">DP8</f>
        <v>45159</v>
      </c>
      <c r="DQ7" s="104"/>
      <c r="DR7" s="104"/>
      <c r="DS7" s="104"/>
      <c r="DT7" s="104"/>
      <c r="DU7" s="104"/>
      <c r="DV7" s="104"/>
      <c r="DW7" s="104">
        <f t="shared" ref="DW7" si="10">DW8</f>
        <v>45166</v>
      </c>
      <c r="DX7" s="104"/>
      <c r="DY7" s="104"/>
      <c r="DZ7" s="104"/>
      <c r="EA7" s="104"/>
      <c r="EB7" s="104"/>
      <c r="EC7" s="104"/>
      <c r="ED7" s="104">
        <f t="shared" ref="ED7" si="11">ED8</f>
        <v>45173</v>
      </c>
      <c r="EE7" s="104"/>
      <c r="EF7" s="104"/>
      <c r="EG7" s="104"/>
      <c r="EH7" s="104"/>
      <c r="EI7" s="104"/>
      <c r="EJ7" s="104"/>
      <c r="EK7" s="104">
        <f t="shared" ref="EK7" si="12">EK8</f>
        <v>45180</v>
      </c>
      <c r="EL7" s="104"/>
      <c r="EM7" s="104"/>
      <c r="EN7" s="104"/>
      <c r="EO7" s="104"/>
      <c r="EP7" s="104"/>
      <c r="EQ7" s="104"/>
      <c r="ER7" s="104">
        <f t="shared" ref="ER7" si="13">ER8</f>
        <v>45187</v>
      </c>
      <c r="ES7" s="104"/>
      <c r="ET7" s="104"/>
      <c r="EU7" s="104"/>
      <c r="EV7" s="104"/>
      <c r="EW7" s="104"/>
      <c r="EX7" s="104"/>
      <c r="EY7" s="104">
        <f t="shared" ref="EY7" si="14">EY8</f>
        <v>45194</v>
      </c>
      <c r="EZ7" s="104"/>
      <c r="FA7" s="104"/>
      <c r="FB7" s="104"/>
      <c r="FC7" s="104"/>
      <c r="FD7" s="104"/>
      <c r="FE7" s="104"/>
      <c r="FF7" s="104">
        <f t="shared" ref="FF7" si="15">FF8</f>
        <v>45201</v>
      </c>
      <c r="FG7" s="104"/>
      <c r="FH7" s="104"/>
      <c r="FI7" s="104"/>
      <c r="FJ7" s="104"/>
      <c r="FK7" s="104"/>
      <c r="FL7" s="104"/>
      <c r="FM7" s="104">
        <f t="shared" ref="FM7" si="16">FM8</f>
        <v>45208</v>
      </c>
      <c r="FN7" s="104"/>
      <c r="FO7" s="104"/>
      <c r="FP7" s="104"/>
      <c r="FQ7" s="104"/>
      <c r="FR7" s="104"/>
      <c r="FS7" s="104"/>
      <c r="FT7" s="104">
        <f t="shared" ref="FT7" si="17">FT8</f>
        <v>45215</v>
      </c>
      <c r="FU7" s="104"/>
      <c r="FV7" s="104"/>
      <c r="FW7" s="104"/>
      <c r="FX7" s="104"/>
      <c r="FY7" s="104"/>
      <c r="FZ7" s="104"/>
      <c r="GA7" s="104">
        <f t="shared" ref="GA7" si="18">GA8</f>
        <v>45222</v>
      </c>
      <c r="GB7" s="104"/>
      <c r="GC7" s="104"/>
      <c r="GD7" s="104"/>
      <c r="GE7" s="104"/>
      <c r="GF7" s="104"/>
      <c r="GG7" s="104"/>
      <c r="GH7" s="104">
        <f t="shared" ref="GH7" si="19">GH8</f>
        <v>45229</v>
      </c>
      <c r="GI7" s="104"/>
      <c r="GJ7" s="104"/>
      <c r="GK7" s="104"/>
      <c r="GL7" s="104"/>
      <c r="GM7" s="104"/>
      <c r="GN7" s="105"/>
    </row>
    <row r="8" spans="1:196" ht="13.5">
      <c r="A8" s="38"/>
      <c r="B8" s="117"/>
      <c r="C8" s="119"/>
      <c r="D8" s="120"/>
      <c r="E8" s="119"/>
      <c r="F8" s="119"/>
      <c r="G8" s="124"/>
      <c r="H8" s="69">
        <f>$C$5</f>
        <v>45047</v>
      </c>
      <c r="I8" s="70">
        <f t="shared" ref="I8:AW8" si="20">H8+1</f>
        <v>45048</v>
      </c>
      <c r="J8" s="70">
        <f t="shared" si="20"/>
        <v>45049</v>
      </c>
      <c r="K8" s="70">
        <f t="shared" si="20"/>
        <v>45050</v>
      </c>
      <c r="L8" s="70">
        <f t="shared" si="20"/>
        <v>45051</v>
      </c>
      <c r="M8" s="70">
        <f t="shared" si="20"/>
        <v>45052</v>
      </c>
      <c r="N8" s="70">
        <f t="shared" si="20"/>
        <v>45053</v>
      </c>
      <c r="O8" s="70">
        <f t="shared" si="20"/>
        <v>45054</v>
      </c>
      <c r="P8" s="70">
        <f t="shared" si="20"/>
        <v>45055</v>
      </c>
      <c r="Q8" s="70">
        <f t="shared" si="20"/>
        <v>45056</v>
      </c>
      <c r="R8" s="70">
        <f t="shared" si="20"/>
        <v>45057</v>
      </c>
      <c r="S8" s="70">
        <f t="shared" si="20"/>
        <v>45058</v>
      </c>
      <c r="T8" s="70">
        <f t="shared" si="20"/>
        <v>45059</v>
      </c>
      <c r="U8" s="70">
        <f t="shared" si="20"/>
        <v>45060</v>
      </c>
      <c r="V8" s="70">
        <f t="shared" si="20"/>
        <v>45061</v>
      </c>
      <c r="W8" s="70">
        <f t="shared" si="20"/>
        <v>45062</v>
      </c>
      <c r="X8" s="70">
        <f t="shared" si="20"/>
        <v>45063</v>
      </c>
      <c r="Y8" s="70">
        <f t="shared" si="20"/>
        <v>45064</v>
      </c>
      <c r="Z8" s="70">
        <f t="shared" si="20"/>
        <v>45065</v>
      </c>
      <c r="AA8" s="70">
        <f t="shared" si="20"/>
        <v>45066</v>
      </c>
      <c r="AB8" s="70">
        <f t="shared" si="20"/>
        <v>45067</v>
      </c>
      <c r="AC8" s="70">
        <f t="shared" si="20"/>
        <v>45068</v>
      </c>
      <c r="AD8" s="70">
        <f t="shared" si="20"/>
        <v>45069</v>
      </c>
      <c r="AE8" s="70">
        <f t="shared" si="20"/>
        <v>45070</v>
      </c>
      <c r="AF8" s="70">
        <f t="shared" si="20"/>
        <v>45071</v>
      </c>
      <c r="AG8" s="70">
        <f t="shared" si="20"/>
        <v>45072</v>
      </c>
      <c r="AH8" s="70">
        <f t="shared" si="20"/>
        <v>45073</v>
      </c>
      <c r="AI8" s="70">
        <f t="shared" si="20"/>
        <v>45074</v>
      </c>
      <c r="AJ8" s="70">
        <f t="shared" si="20"/>
        <v>45075</v>
      </c>
      <c r="AK8" s="70">
        <f t="shared" si="20"/>
        <v>45076</v>
      </c>
      <c r="AL8" s="70">
        <f t="shared" si="20"/>
        <v>45077</v>
      </c>
      <c r="AM8" s="70">
        <f t="shared" si="20"/>
        <v>45078</v>
      </c>
      <c r="AN8" s="70">
        <f t="shared" si="20"/>
        <v>45079</v>
      </c>
      <c r="AO8" s="70">
        <f t="shared" si="20"/>
        <v>45080</v>
      </c>
      <c r="AP8" s="70">
        <f t="shared" si="20"/>
        <v>45081</v>
      </c>
      <c r="AQ8" s="70">
        <f t="shared" si="20"/>
        <v>45082</v>
      </c>
      <c r="AR8" s="70">
        <f t="shared" si="20"/>
        <v>45083</v>
      </c>
      <c r="AS8" s="70">
        <f t="shared" si="20"/>
        <v>45084</v>
      </c>
      <c r="AT8" s="70">
        <f t="shared" si="20"/>
        <v>45085</v>
      </c>
      <c r="AU8" s="70">
        <f t="shared" si="20"/>
        <v>45086</v>
      </c>
      <c r="AV8" s="70">
        <f t="shared" si="20"/>
        <v>45087</v>
      </c>
      <c r="AW8" s="70">
        <f t="shared" si="20"/>
        <v>45088</v>
      </c>
      <c r="AX8" s="70">
        <f t="shared" ref="AX8:DI8" si="21">AW8+1</f>
        <v>45089</v>
      </c>
      <c r="AY8" s="70">
        <f t="shared" si="21"/>
        <v>45090</v>
      </c>
      <c r="AZ8" s="70">
        <f t="shared" si="21"/>
        <v>45091</v>
      </c>
      <c r="BA8" s="70">
        <f t="shared" si="21"/>
        <v>45092</v>
      </c>
      <c r="BB8" s="70">
        <f t="shared" si="21"/>
        <v>45093</v>
      </c>
      <c r="BC8" s="70">
        <f t="shared" si="21"/>
        <v>45094</v>
      </c>
      <c r="BD8" s="70">
        <f t="shared" si="21"/>
        <v>45095</v>
      </c>
      <c r="BE8" s="70">
        <f t="shared" si="21"/>
        <v>45096</v>
      </c>
      <c r="BF8" s="70">
        <f t="shared" si="21"/>
        <v>45097</v>
      </c>
      <c r="BG8" s="70">
        <f t="shared" si="21"/>
        <v>45098</v>
      </c>
      <c r="BH8" s="70">
        <f t="shared" si="21"/>
        <v>45099</v>
      </c>
      <c r="BI8" s="70">
        <f t="shared" si="21"/>
        <v>45100</v>
      </c>
      <c r="BJ8" s="70">
        <f t="shared" si="21"/>
        <v>45101</v>
      </c>
      <c r="BK8" s="70">
        <f t="shared" si="21"/>
        <v>45102</v>
      </c>
      <c r="BL8" s="70">
        <f t="shared" si="21"/>
        <v>45103</v>
      </c>
      <c r="BM8" s="70">
        <f t="shared" si="21"/>
        <v>45104</v>
      </c>
      <c r="BN8" s="70">
        <f t="shared" si="21"/>
        <v>45105</v>
      </c>
      <c r="BO8" s="70">
        <f t="shared" si="21"/>
        <v>45106</v>
      </c>
      <c r="BP8" s="70">
        <f t="shared" si="21"/>
        <v>45107</v>
      </c>
      <c r="BQ8" s="70">
        <f t="shared" si="21"/>
        <v>45108</v>
      </c>
      <c r="BR8" s="70">
        <f t="shared" si="21"/>
        <v>45109</v>
      </c>
      <c r="BS8" s="70">
        <f t="shared" si="21"/>
        <v>45110</v>
      </c>
      <c r="BT8" s="70">
        <f t="shared" si="21"/>
        <v>45111</v>
      </c>
      <c r="BU8" s="70">
        <f t="shared" si="21"/>
        <v>45112</v>
      </c>
      <c r="BV8" s="70">
        <f t="shared" si="21"/>
        <v>45113</v>
      </c>
      <c r="BW8" s="70">
        <f t="shared" si="21"/>
        <v>45114</v>
      </c>
      <c r="BX8" s="70">
        <f t="shared" si="21"/>
        <v>45115</v>
      </c>
      <c r="BY8" s="70">
        <f t="shared" si="21"/>
        <v>45116</v>
      </c>
      <c r="BZ8" s="70">
        <f t="shared" si="21"/>
        <v>45117</v>
      </c>
      <c r="CA8" s="70">
        <f t="shared" si="21"/>
        <v>45118</v>
      </c>
      <c r="CB8" s="70">
        <f t="shared" si="21"/>
        <v>45119</v>
      </c>
      <c r="CC8" s="70">
        <f t="shared" si="21"/>
        <v>45120</v>
      </c>
      <c r="CD8" s="70">
        <f t="shared" si="21"/>
        <v>45121</v>
      </c>
      <c r="CE8" s="70">
        <f t="shared" si="21"/>
        <v>45122</v>
      </c>
      <c r="CF8" s="70">
        <f t="shared" si="21"/>
        <v>45123</v>
      </c>
      <c r="CG8" s="70">
        <f t="shared" si="21"/>
        <v>45124</v>
      </c>
      <c r="CH8" s="70">
        <f t="shared" si="21"/>
        <v>45125</v>
      </c>
      <c r="CI8" s="70">
        <f t="shared" si="21"/>
        <v>45126</v>
      </c>
      <c r="CJ8" s="70">
        <f t="shared" si="21"/>
        <v>45127</v>
      </c>
      <c r="CK8" s="70">
        <f t="shared" si="21"/>
        <v>45128</v>
      </c>
      <c r="CL8" s="70">
        <f t="shared" si="21"/>
        <v>45129</v>
      </c>
      <c r="CM8" s="70">
        <f t="shared" si="21"/>
        <v>45130</v>
      </c>
      <c r="CN8" s="70">
        <f t="shared" si="21"/>
        <v>45131</v>
      </c>
      <c r="CO8" s="70">
        <f t="shared" si="21"/>
        <v>45132</v>
      </c>
      <c r="CP8" s="70">
        <f t="shared" si="21"/>
        <v>45133</v>
      </c>
      <c r="CQ8" s="70">
        <f t="shared" si="21"/>
        <v>45134</v>
      </c>
      <c r="CR8" s="70">
        <f t="shared" si="21"/>
        <v>45135</v>
      </c>
      <c r="CS8" s="70">
        <f t="shared" si="21"/>
        <v>45136</v>
      </c>
      <c r="CT8" s="70">
        <f t="shared" si="21"/>
        <v>45137</v>
      </c>
      <c r="CU8" s="70">
        <f t="shared" si="21"/>
        <v>45138</v>
      </c>
      <c r="CV8" s="70">
        <f t="shared" si="21"/>
        <v>45139</v>
      </c>
      <c r="CW8" s="70">
        <f t="shared" si="21"/>
        <v>45140</v>
      </c>
      <c r="CX8" s="70">
        <f t="shared" si="21"/>
        <v>45141</v>
      </c>
      <c r="CY8" s="70">
        <f t="shared" si="21"/>
        <v>45142</v>
      </c>
      <c r="CZ8" s="70">
        <f t="shared" si="21"/>
        <v>45143</v>
      </c>
      <c r="DA8" s="70">
        <f t="shared" si="21"/>
        <v>45144</v>
      </c>
      <c r="DB8" s="70">
        <f t="shared" si="21"/>
        <v>45145</v>
      </c>
      <c r="DC8" s="70">
        <f t="shared" si="21"/>
        <v>45146</v>
      </c>
      <c r="DD8" s="70">
        <f t="shared" si="21"/>
        <v>45147</v>
      </c>
      <c r="DE8" s="70">
        <f t="shared" si="21"/>
        <v>45148</v>
      </c>
      <c r="DF8" s="70">
        <f t="shared" si="21"/>
        <v>45149</v>
      </c>
      <c r="DG8" s="70">
        <f t="shared" si="21"/>
        <v>45150</v>
      </c>
      <c r="DH8" s="70">
        <f t="shared" si="21"/>
        <v>45151</v>
      </c>
      <c r="DI8" s="70">
        <f t="shared" si="21"/>
        <v>45152</v>
      </c>
      <c r="DJ8" s="70">
        <f t="shared" ref="DJ8:FU8" si="22">DI8+1</f>
        <v>45153</v>
      </c>
      <c r="DK8" s="70">
        <f t="shared" si="22"/>
        <v>45154</v>
      </c>
      <c r="DL8" s="70">
        <f t="shared" si="22"/>
        <v>45155</v>
      </c>
      <c r="DM8" s="70">
        <f t="shared" si="22"/>
        <v>45156</v>
      </c>
      <c r="DN8" s="70">
        <f t="shared" si="22"/>
        <v>45157</v>
      </c>
      <c r="DO8" s="70">
        <f t="shared" si="22"/>
        <v>45158</v>
      </c>
      <c r="DP8" s="70">
        <f t="shared" si="22"/>
        <v>45159</v>
      </c>
      <c r="DQ8" s="70">
        <f t="shared" si="22"/>
        <v>45160</v>
      </c>
      <c r="DR8" s="70">
        <f t="shared" si="22"/>
        <v>45161</v>
      </c>
      <c r="DS8" s="70">
        <f t="shared" si="22"/>
        <v>45162</v>
      </c>
      <c r="DT8" s="70">
        <f t="shared" si="22"/>
        <v>45163</v>
      </c>
      <c r="DU8" s="70">
        <f t="shared" si="22"/>
        <v>45164</v>
      </c>
      <c r="DV8" s="70">
        <f t="shared" si="22"/>
        <v>45165</v>
      </c>
      <c r="DW8" s="70">
        <f t="shared" si="22"/>
        <v>45166</v>
      </c>
      <c r="DX8" s="70">
        <f t="shared" si="22"/>
        <v>45167</v>
      </c>
      <c r="DY8" s="70">
        <f t="shared" si="22"/>
        <v>45168</v>
      </c>
      <c r="DZ8" s="70">
        <f t="shared" si="22"/>
        <v>45169</v>
      </c>
      <c r="EA8" s="70">
        <f t="shared" si="22"/>
        <v>45170</v>
      </c>
      <c r="EB8" s="70">
        <f t="shared" si="22"/>
        <v>45171</v>
      </c>
      <c r="EC8" s="70">
        <f t="shared" si="22"/>
        <v>45172</v>
      </c>
      <c r="ED8" s="70">
        <f t="shared" si="22"/>
        <v>45173</v>
      </c>
      <c r="EE8" s="70">
        <f t="shared" si="22"/>
        <v>45174</v>
      </c>
      <c r="EF8" s="70">
        <f t="shared" si="22"/>
        <v>45175</v>
      </c>
      <c r="EG8" s="70">
        <f t="shared" si="22"/>
        <v>45176</v>
      </c>
      <c r="EH8" s="70">
        <f t="shared" si="22"/>
        <v>45177</v>
      </c>
      <c r="EI8" s="70">
        <f t="shared" si="22"/>
        <v>45178</v>
      </c>
      <c r="EJ8" s="70">
        <f t="shared" si="22"/>
        <v>45179</v>
      </c>
      <c r="EK8" s="70">
        <f t="shared" si="22"/>
        <v>45180</v>
      </c>
      <c r="EL8" s="70">
        <f t="shared" si="22"/>
        <v>45181</v>
      </c>
      <c r="EM8" s="70">
        <f t="shared" si="22"/>
        <v>45182</v>
      </c>
      <c r="EN8" s="70">
        <f t="shared" si="22"/>
        <v>45183</v>
      </c>
      <c r="EO8" s="70">
        <f t="shared" si="22"/>
        <v>45184</v>
      </c>
      <c r="EP8" s="70">
        <f t="shared" si="22"/>
        <v>45185</v>
      </c>
      <c r="EQ8" s="70">
        <f t="shared" si="22"/>
        <v>45186</v>
      </c>
      <c r="ER8" s="70">
        <f t="shared" si="22"/>
        <v>45187</v>
      </c>
      <c r="ES8" s="70">
        <f t="shared" si="22"/>
        <v>45188</v>
      </c>
      <c r="ET8" s="70">
        <f t="shared" si="22"/>
        <v>45189</v>
      </c>
      <c r="EU8" s="70">
        <f t="shared" si="22"/>
        <v>45190</v>
      </c>
      <c r="EV8" s="70">
        <f t="shared" si="22"/>
        <v>45191</v>
      </c>
      <c r="EW8" s="70">
        <f t="shared" si="22"/>
        <v>45192</v>
      </c>
      <c r="EX8" s="70">
        <f t="shared" si="22"/>
        <v>45193</v>
      </c>
      <c r="EY8" s="70">
        <f t="shared" si="22"/>
        <v>45194</v>
      </c>
      <c r="EZ8" s="70">
        <f t="shared" si="22"/>
        <v>45195</v>
      </c>
      <c r="FA8" s="70">
        <f t="shared" si="22"/>
        <v>45196</v>
      </c>
      <c r="FB8" s="70">
        <f t="shared" si="22"/>
        <v>45197</v>
      </c>
      <c r="FC8" s="70">
        <f t="shared" si="22"/>
        <v>45198</v>
      </c>
      <c r="FD8" s="70">
        <f t="shared" si="22"/>
        <v>45199</v>
      </c>
      <c r="FE8" s="70">
        <f t="shared" si="22"/>
        <v>45200</v>
      </c>
      <c r="FF8" s="70">
        <f t="shared" si="22"/>
        <v>45201</v>
      </c>
      <c r="FG8" s="70">
        <f t="shared" si="22"/>
        <v>45202</v>
      </c>
      <c r="FH8" s="70">
        <f t="shared" si="22"/>
        <v>45203</v>
      </c>
      <c r="FI8" s="70">
        <f t="shared" si="22"/>
        <v>45204</v>
      </c>
      <c r="FJ8" s="70">
        <f t="shared" si="22"/>
        <v>45205</v>
      </c>
      <c r="FK8" s="70">
        <f t="shared" si="22"/>
        <v>45206</v>
      </c>
      <c r="FL8" s="70">
        <f t="shared" si="22"/>
        <v>45207</v>
      </c>
      <c r="FM8" s="70">
        <f t="shared" si="22"/>
        <v>45208</v>
      </c>
      <c r="FN8" s="70">
        <f t="shared" si="22"/>
        <v>45209</v>
      </c>
      <c r="FO8" s="70">
        <f t="shared" si="22"/>
        <v>45210</v>
      </c>
      <c r="FP8" s="70">
        <f t="shared" si="22"/>
        <v>45211</v>
      </c>
      <c r="FQ8" s="70">
        <f t="shared" si="22"/>
        <v>45212</v>
      </c>
      <c r="FR8" s="70">
        <f t="shared" si="22"/>
        <v>45213</v>
      </c>
      <c r="FS8" s="70">
        <f t="shared" si="22"/>
        <v>45214</v>
      </c>
      <c r="FT8" s="70">
        <f t="shared" si="22"/>
        <v>45215</v>
      </c>
      <c r="FU8" s="70">
        <f t="shared" si="22"/>
        <v>45216</v>
      </c>
      <c r="FV8" s="70">
        <f t="shared" ref="FV8:GN8" si="23">FU8+1</f>
        <v>45217</v>
      </c>
      <c r="FW8" s="70">
        <f t="shared" si="23"/>
        <v>45218</v>
      </c>
      <c r="FX8" s="70">
        <f t="shared" si="23"/>
        <v>45219</v>
      </c>
      <c r="FY8" s="70">
        <f t="shared" si="23"/>
        <v>45220</v>
      </c>
      <c r="FZ8" s="70">
        <f t="shared" si="23"/>
        <v>45221</v>
      </c>
      <c r="GA8" s="70">
        <f t="shared" si="23"/>
        <v>45222</v>
      </c>
      <c r="GB8" s="70">
        <f t="shared" si="23"/>
        <v>45223</v>
      </c>
      <c r="GC8" s="70">
        <f t="shared" si="23"/>
        <v>45224</v>
      </c>
      <c r="GD8" s="70">
        <f t="shared" si="23"/>
        <v>45225</v>
      </c>
      <c r="GE8" s="70">
        <f t="shared" si="23"/>
        <v>45226</v>
      </c>
      <c r="GF8" s="70">
        <f t="shared" si="23"/>
        <v>45227</v>
      </c>
      <c r="GG8" s="70">
        <f t="shared" si="23"/>
        <v>45228</v>
      </c>
      <c r="GH8" s="70">
        <f t="shared" si="23"/>
        <v>45229</v>
      </c>
      <c r="GI8" s="70">
        <f t="shared" si="23"/>
        <v>45230</v>
      </c>
      <c r="GJ8" s="70">
        <f t="shared" si="23"/>
        <v>45231</v>
      </c>
      <c r="GK8" s="70">
        <f t="shared" si="23"/>
        <v>45232</v>
      </c>
      <c r="GL8" s="70">
        <f t="shared" si="23"/>
        <v>45233</v>
      </c>
      <c r="GM8" s="70">
        <f t="shared" si="23"/>
        <v>45234</v>
      </c>
      <c r="GN8" s="71">
        <f t="shared" si="23"/>
        <v>45235</v>
      </c>
    </row>
    <row r="9" spans="1:196" ht="13.5">
      <c r="A9" s="38"/>
      <c r="B9" s="117"/>
      <c r="C9" s="119"/>
      <c r="D9" s="120"/>
      <c r="E9" s="119"/>
      <c r="F9" s="119"/>
      <c r="G9" s="124"/>
      <c r="H9" s="72" t="str">
        <f t="shared" ref="H9:AW9" si="24">LEFT(TEXT(H8,"ddd"),1)</f>
        <v>M</v>
      </c>
      <c r="I9" s="73" t="str">
        <f t="shared" si="24"/>
        <v>T</v>
      </c>
      <c r="J9" s="73" t="str">
        <f t="shared" si="24"/>
        <v>W</v>
      </c>
      <c r="K9" s="73" t="str">
        <f t="shared" si="24"/>
        <v>T</v>
      </c>
      <c r="L9" s="73" t="str">
        <f t="shared" si="24"/>
        <v>F</v>
      </c>
      <c r="M9" s="73" t="str">
        <f t="shared" si="24"/>
        <v>S</v>
      </c>
      <c r="N9" s="73" t="str">
        <f t="shared" si="24"/>
        <v>S</v>
      </c>
      <c r="O9" s="73" t="str">
        <f t="shared" si="24"/>
        <v>M</v>
      </c>
      <c r="P9" s="73" t="str">
        <f t="shared" si="24"/>
        <v>T</v>
      </c>
      <c r="Q9" s="73" t="str">
        <f t="shared" si="24"/>
        <v>W</v>
      </c>
      <c r="R9" s="73" t="str">
        <f t="shared" si="24"/>
        <v>T</v>
      </c>
      <c r="S9" s="73" t="str">
        <f t="shared" si="24"/>
        <v>F</v>
      </c>
      <c r="T9" s="73" t="str">
        <f t="shared" si="24"/>
        <v>S</v>
      </c>
      <c r="U9" s="73" t="str">
        <f t="shared" si="24"/>
        <v>S</v>
      </c>
      <c r="V9" s="73" t="str">
        <f t="shared" si="24"/>
        <v>M</v>
      </c>
      <c r="W9" s="73" t="str">
        <f t="shared" si="24"/>
        <v>T</v>
      </c>
      <c r="X9" s="73" t="str">
        <f t="shared" si="24"/>
        <v>W</v>
      </c>
      <c r="Y9" s="73" t="str">
        <f t="shared" si="24"/>
        <v>T</v>
      </c>
      <c r="Z9" s="73" t="str">
        <f t="shared" si="24"/>
        <v>F</v>
      </c>
      <c r="AA9" s="73" t="str">
        <f t="shared" si="24"/>
        <v>S</v>
      </c>
      <c r="AB9" s="73" t="str">
        <f t="shared" si="24"/>
        <v>S</v>
      </c>
      <c r="AC9" s="73" t="str">
        <f t="shared" si="24"/>
        <v>M</v>
      </c>
      <c r="AD9" s="73" t="str">
        <f t="shared" si="24"/>
        <v>T</v>
      </c>
      <c r="AE9" s="73" t="str">
        <f t="shared" si="24"/>
        <v>W</v>
      </c>
      <c r="AF9" s="73" t="str">
        <f t="shared" si="24"/>
        <v>T</v>
      </c>
      <c r="AG9" s="73" t="str">
        <f t="shared" si="24"/>
        <v>F</v>
      </c>
      <c r="AH9" s="73" t="str">
        <f t="shared" si="24"/>
        <v>S</v>
      </c>
      <c r="AI9" s="73" t="str">
        <f t="shared" si="24"/>
        <v>S</v>
      </c>
      <c r="AJ9" s="73" t="str">
        <f t="shared" si="24"/>
        <v>M</v>
      </c>
      <c r="AK9" s="73" t="str">
        <f t="shared" si="24"/>
        <v>T</v>
      </c>
      <c r="AL9" s="73" t="str">
        <f t="shared" si="24"/>
        <v>W</v>
      </c>
      <c r="AM9" s="73" t="str">
        <f t="shared" si="24"/>
        <v>T</v>
      </c>
      <c r="AN9" s="73" t="str">
        <f t="shared" si="24"/>
        <v>F</v>
      </c>
      <c r="AO9" s="73" t="str">
        <f t="shared" si="24"/>
        <v>S</v>
      </c>
      <c r="AP9" s="73" t="str">
        <f t="shared" si="24"/>
        <v>S</v>
      </c>
      <c r="AQ9" s="73" t="str">
        <f t="shared" si="24"/>
        <v>M</v>
      </c>
      <c r="AR9" s="73" t="str">
        <f t="shared" si="24"/>
        <v>T</v>
      </c>
      <c r="AS9" s="73" t="str">
        <f t="shared" si="24"/>
        <v>W</v>
      </c>
      <c r="AT9" s="73" t="str">
        <f t="shared" si="24"/>
        <v>T</v>
      </c>
      <c r="AU9" s="73" t="str">
        <f t="shared" si="24"/>
        <v>F</v>
      </c>
      <c r="AV9" s="73" t="str">
        <f t="shared" si="24"/>
        <v>S</v>
      </c>
      <c r="AW9" s="73" t="str">
        <f t="shared" si="24"/>
        <v>S</v>
      </c>
      <c r="AX9" s="73" t="str">
        <f t="shared" ref="AX9:DI9" si="25">LEFT(TEXT(AX8,"ddd"),1)</f>
        <v>M</v>
      </c>
      <c r="AY9" s="73" t="str">
        <f t="shared" si="25"/>
        <v>T</v>
      </c>
      <c r="AZ9" s="73" t="str">
        <f t="shared" si="25"/>
        <v>W</v>
      </c>
      <c r="BA9" s="73" t="str">
        <f t="shared" si="25"/>
        <v>T</v>
      </c>
      <c r="BB9" s="73" t="str">
        <f t="shared" si="25"/>
        <v>F</v>
      </c>
      <c r="BC9" s="73" t="str">
        <f t="shared" si="25"/>
        <v>S</v>
      </c>
      <c r="BD9" s="73" t="str">
        <f t="shared" si="25"/>
        <v>S</v>
      </c>
      <c r="BE9" s="73" t="str">
        <f t="shared" si="25"/>
        <v>M</v>
      </c>
      <c r="BF9" s="73" t="str">
        <f t="shared" si="25"/>
        <v>T</v>
      </c>
      <c r="BG9" s="73" t="str">
        <f t="shared" si="25"/>
        <v>W</v>
      </c>
      <c r="BH9" s="73" t="str">
        <f t="shared" si="25"/>
        <v>T</v>
      </c>
      <c r="BI9" s="73" t="str">
        <f t="shared" si="25"/>
        <v>F</v>
      </c>
      <c r="BJ9" s="73" t="str">
        <f t="shared" si="25"/>
        <v>S</v>
      </c>
      <c r="BK9" s="73" t="str">
        <f t="shared" si="25"/>
        <v>S</v>
      </c>
      <c r="BL9" s="73" t="str">
        <f t="shared" si="25"/>
        <v>M</v>
      </c>
      <c r="BM9" s="73" t="str">
        <f t="shared" si="25"/>
        <v>T</v>
      </c>
      <c r="BN9" s="73" t="str">
        <f t="shared" si="25"/>
        <v>W</v>
      </c>
      <c r="BO9" s="73" t="str">
        <f t="shared" si="25"/>
        <v>T</v>
      </c>
      <c r="BP9" s="73" t="str">
        <f t="shared" si="25"/>
        <v>F</v>
      </c>
      <c r="BQ9" s="73" t="str">
        <f t="shared" si="25"/>
        <v>S</v>
      </c>
      <c r="BR9" s="73" t="str">
        <f t="shared" si="25"/>
        <v>S</v>
      </c>
      <c r="BS9" s="73" t="str">
        <f t="shared" si="25"/>
        <v>M</v>
      </c>
      <c r="BT9" s="73" t="str">
        <f t="shared" si="25"/>
        <v>T</v>
      </c>
      <c r="BU9" s="73" t="str">
        <f t="shared" si="25"/>
        <v>W</v>
      </c>
      <c r="BV9" s="73" t="str">
        <f t="shared" si="25"/>
        <v>T</v>
      </c>
      <c r="BW9" s="73" t="str">
        <f t="shared" si="25"/>
        <v>F</v>
      </c>
      <c r="BX9" s="73" t="str">
        <f t="shared" si="25"/>
        <v>S</v>
      </c>
      <c r="BY9" s="73" t="str">
        <f t="shared" si="25"/>
        <v>S</v>
      </c>
      <c r="BZ9" s="73" t="str">
        <f t="shared" si="25"/>
        <v>M</v>
      </c>
      <c r="CA9" s="73" t="str">
        <f t="shared" si="25"/>
        <v>T</v>
      </c>
      <c r="CB9" s="73" t="str">
        <f t="shared" si="25"/>
        <v>W</v>
      </c>
      <c r="CC9" s="73" t="str">
        <f t="shared" si="25"/>
        <v>T</v>
      </c>
      <c r="CD9" s="73" t="str">
        <f t="shared" si="25"/>
        <v>F</v>
      </c>
      <c r="CE9" s="73" t="str">
        <f t="shared" si="25"/>
        <v>S</v>
      </c>
      <c r="CF9" s="73" t="str">
        <f t="shared" si="25"/>
        <v>S</v>
      </c>
      <c r="CG9" s="73" t="str">
        <f t="shared" si="25"/>
        <v>M</v>
      </c>
      <c r="CH9" s="73" t="str">
        <f t="shared" si="25"/>
        <v>T</v>
      </c>
      <c r="CI9" s="73" t="str">
        <f t="shared" si="25"/>
        <v>W</v>
      </c>
      <c r="CJ9" s="73" t="str">
        <f t="shared" si="25"/>
        <v>T</v>
      </c>
      <c r="CK9" s="73" t="str">
        <f t="shared" si="25"/>
        <v>F</v>
      </c>
      <c r="CL9" s="73" t="str">
        <f t="shared" si="25"/>
        <v>S</v>
      </c>
      <c r="CM9" s="73" t="str">
        <f t="shared" si="25"/>
        <v>S</v>
      </c>
      <c r="CN9" s="73" t="str">
        <f t="shared" si="25"/>
        <v>M</v>
      </c>
      <c r="CO9" s="73" t="str">
        <f t="shared" si="25"/>
        <v>T</v>
      </c>
      <c r="CP9" s="73" t="str">
        <f t="shared" si="25"/>
        <v>W</v>
      </c>
      <c r="CQ9" s="73" t="str">
        <f t="shared" si="25"/>
        <v>T</v>
      </c>
      <c r="CR9" s="73" t="str">
        <f t="shared" si="25"/>
        <v>F</v>
      </c>
      <c r="CS9" s="73" t="str">
        <f t="shared" si="25"/>
        <v>S</v>
      </c>
      <c r="CT9" s="73" t="str">
        <f t="shared" si="25"/>
        <v>S</v>
      </c>
      <c r="CU9" s="73" t="str">
        <f t="shared" si="25"/>
        <v>M</v>
      </c>
      <c r="CV9" s="73" t="str">
        <f t="shared" si="25"/>
        <v>T</v>
      </c>
      <c r="CW9" s="73" t="str">
        <f t="shared" si="25"/>
        <v>W</v>
      </c>
      <c r="CX9" s="73" t="str">
        <f t="shared" si="25"/>
        <v>T</v>
      </c>
      <c r="CY9" s="73" t="str">
        <f t="shared" si="25"/>
        <v>F</v>
      </c>
      <c r="CZ9" s="73" t="str">
        <f t="shared" si="25"/>
        <v>S</v>
      </c>
      <c r="DA9" s="73" t="str">
        <f t="shared" si="25"/>
        <v>S</v>
      </c>
      <c r="DB9" s="73" t="str">
        <f t="shared" si="25"/>
        <v>M</v>
      </c>
      <c r="DC9" s="73" t="str">
        <f t="shared" si="25"/>
        <v>T</v>
      </c>
      <c r="DD9" s="73" t="str">
        <f t="shared" si="25"/>
        <v>W</v>
      </c>
      <c r="DE9" s="73" t="str">
        <f t="shared" si="25"/>
        <v>T</v>
      </c>
      <c r="DF9" s="73" t="str">
        <f t="shared" si="25"/>
        <v>F</v>
      </c>
      <c r="DG9" s="73" t="str">
        <f t="shared" si="25"/>
        <v>S</v>
      </c>
      <c r="DH9" s="73" t="str">
        <f t="shared" si="25"/>
        <v>S</v>
      </c>
      <c r="DI9" s="73" t="str">
        <f t="shared" si="25"/>
        <v>M</v>
      </c>
      <c r="DJ9" s="73" t="str">
        <f t="shared" ref="DJ9:FU9" si="26">LEFT(TEXT(DJ8,"ddd"),1)</f>
        <v>T</v>
      </c>
      <c r="DK9" s="73" t="str">
        <f t="shared" si="26"/>
        <v>W</v>
      </c>
      <c r="DL9" s="73" t="str">
        <f t="shared" si="26"/>
        <v>T</v>
      </c>
      <c r="DM9" s="73" t="str">
        <f t="shared" si="26"/>
        <v>F</v>
      </c>
      <c r="DN9" s="73" t="str">
        <f t="shared" si="26"/>
        <v>S</v>
      </c>
      <c r="DO9" s="73" t="str">
        <f t="shared" si="26"/>
        <v>S</v>
      </c>
      <c r="DP9" s="73" t="str">
        <f t="shared" si="26"/>
        <v>M</v>
      </c>
      <c r="DQ9" s="73" t="str">
        <f t="shared" si="26"/>
        <v>T</v>
      </c>
      <c r="DR9" s="73" t="str">
        <f t="shared" si="26"/>
        <v>W</v>
      </c>
      <c r="DS9" s="73" t="str">
        <f t="shared" si="26"/>
        <v>T</v>
      </c>
      <c r="DT9" s="73" t="str">
        <f t="shared" si="26"/>
        <v>F</v>
      </c>
      <c r="DU9" s="73" t="str">
        <f t="shared" si="26"/>
        <v>S</v>
      </c>
      <c r="DV9" s="73" t="str">
        <f t="shared" si="26"/>
        <v>S</v>
      </c>
      <c r="DW9" s="73" t="str">
        <f t="shared" si="26"/>
        <v>M</v>
      </c>
      <c r="DX9" s="73" t="str">
        <f t="shared" si="26"/>
        <v>T</v>
      </c>
      <c r="DY9" s="73" t="str">
        <f t="shared" si="26"/>
        <v>W</v>
      </c>
      <c r="DZ9" s="73" t="str">
        <f t="shared" si="26"/>
        <v>T</v>
      </c>
      <c r="EA9" s="73" t="str">
        <f t="shared" si="26"/>
        <v>F</v>
      </c>
      <c r="EB9" s="73" t="str">
        <f t="shared" si="26"/>
        <v>S</v>
      </c>
      <c r="EC9" s="73" t="str">
        <f t="shared" si="26"/>
        <v>S</v>
      </c>
      <c r="ED9" s="73" t="str">
        <f t="shared" si="26"/>
        <v>M</v>
      </c>
      <c r="EE9" s="73" t="str">
        <f t="shared" si="26"/>
        <v>T</v>
      </c>
      <c r="EF9" s="73" t="str">
        <f t="shared" si="26"/>
        <v>W</v>
      </c>
      <c r="EG9" s="73" t="str">
        <f t="shared" si="26"/>
        <v>T</v>
      </c>
      <c r="EH9" s="73" t="str">
        <f t="shared" si="26"/>
        <v>F</v>
      </c>
      <c r="EI9" s="73" t="str">
        <f t="shared" si="26"/>
        <v>S</v>
      </c>
      <c r="EJ9" s="73" t="str">
        <f t="shared" si="26"/>
        <v>S</v>
      </c>
      <c r="EK9" s="73" t="str">
        <f t="shared" si="26"/>
        <v>M</v>
      </c>
      <c r="EL9" s="73" t="str">
        <f t="shared" si="26"/>
        <v>T</v>
      </c>
      <c r="EM9" s="73" t="str">
        <f t="shared" si="26"/>
        <v>W</v>
      </c>
      <c r="EN9" s="73" t="str">
        <f t="shared" si="26"/>
        <v>T</v>
      </c>
      <c r="EO9" s="73" t="str">
        <f t="shared" si="26"/>
        <v>F</v>
      </c>
      <c r="EP9" s="73" t="str">
        <f t="shared" si="26"/>
        <v>S</v>
      </c>
      <c r="EQ9" s="73" t="str">
        <f t="shared" si="26"/>
        <v>S</v>
      </c>
      <c r="ER9" s="73" t="str">
        <f t="shared" si="26"/>
        <v>M</v>
      </c>
      <c r="ES9" s="73" t="str">
        <f t="shared" si="26"/>
        <v>T</v>
      </c>
      <c r="ET9" s="73" t="str">
        <f t="shared" si="26"/>
        <v>W</v>
      </c>
      <c r="EU9" s="73" t="str">
        <f t="shared" si="26"/>
        <v>T</v>
      </c>
      <c r="EV9" s="73" t="str">
        <f t="shared" si="26"/>
        <v>F</v>
      </c>
      <c r="EW9" s="73" t="str">
        <f t="shared" si="26"/>
        <v>S</v>
      </c>
      <c r="EX9" s="73" t="str">
        <f t="shared" si="26"/>
        <v>S</v>
      </c>
      <c r="EY9" s="73" t="str">
        <f t="shared" si="26"/>
        <v>M</v>
      </c>
      <c r="EZ9" s="73" t="str">
        <f t="shared" si="26"/>
        <v>T</v>
      </c>
      <c r="FA9" s="73" t="str">
        <f t="shared" si="26"/>
        <v>W</v>
      </c>
      <c r="FB9" s="73" t="str">
        <f t="shared" si="26"/>
        <v>T</v>
      </c>
      <c r="FC9" s="73" t="str">
        <f t="shared" si="26"/>
        <v>F</v>
      </c>
      <c r="FD9" s="73" t="str">
        <f t="shared" si="26"/>
        <v>S</v>
      </c>
      <c r="FE9" s="73" t="str">
        <f t="shared" si="26"/>
        <v>S</v>
      </c>
      <c r="FF9" s="73" t="str">
        <f t="shared" si="26"/>
        <v>M</v>
      </c>
      <c r="FG9" s="73" t="str">
        <f t="shared" si="26"/>
        <v>T</v>
      </c>
      <c r="FH9" s="73" t="str">
        <f t="shared" si="26"/>
        <v>W</v>
      </c>
      <c r="FI9" s="73" t="str">
        <f t="shared" si="26"/>
        <v>T</v>
      </c>
      <c r="FJ9" s="73" t="str">
        <f t="shared" si="26"/>
        <v>F</v>
      </c>
      <c r="FK9" s="73" t="str">
        <f t="shared" si="26"/>
        <v>S</v>
      </c>
      <c r="FL9" s="73" t="str">
        <f t="shared" si="26"/>
        <v>S</v>
      </c>
      <c r="FM9" s="73" t="str">
        <f t="shared" si="26"/>
        <v>M</v>
      </c>
      <c r="FN9" s="73" t="str">
        <f t="shared" si="26"/>
        <v>T</v>
      </c>
      <c r="FO9" s="73" t="str">
        <f t="shared" si="26"/>
        <v>W</v>
      </c>
      <c r="FP9" s="73" t="str">
        <f t="shared" si="26"/>
        <v>T</v>
      </c>
      <c r="FQ9" s="73" t="str">
        <f t="shared" si="26"/>
        <v>F</v>
      </c>
      <c r="FR9" s="73" t="str">
        <f t="shared" si="26"/>
        <v>S</v>
      </c>
      <c r="FS9" s="73" t="str">
        <f t="shared" si="26"/>
        <v>S</v>
      </c>
      <c r="FT9" s="73" t="str">
        <f t="shared" si="26"/>
        <v>M</v>
      </c>
      <c r="FU9" s="73" t="str">
        <f t="shared" si="26"/>
        <v>T</v>
      </c>
      <c r="FV9" s="73" t="str">
        <f t="shared" ref="FV9:GN9" si="27">LEFT(TEXT(FV8,"ddd"),1)</f>
        <v>W</v>
      </c>
      <c r="FW9" s="73" t="str">
        <f t="shared" si="27"/>
        <v>T</v>
      </c>
      <c r="FX9" s="73" t="str">
        <f t="shared" si="27"/>
        <v>F</v>
      </c>
      <c r="FY9" s="73" t="str">
        <f t="shared" si="27"/>
        <v>S</v>
      </c>
      <c r="FZ9" s="73" t="str">
        <f t="shared" si="27"/>
        <v>S</v>
      </c>
      <c r="GA9" s="73" t="str">
        <f t="shared" si="27"/>
        <v>M</v>
      </c>
      <c r="GB9" s="73" t="str">
        <f t="shared" si="27"/>
        <v>T</v>
      </c>
      <c r="GC9" s="73" t="str">
        <f t="shared" si="27"/>
        <v>W</v>
      </c>
      <c r="GD9" s="73" t="str">
        <f t="shared" si="27"/>
        <v>T</v>
      </c>
      <c r="GE9" s="73" t="str">
        <f t="shared" si="27"/>
        <v>F</v>
      </c>
      <c r="GF9" s="73" t="str">
        <f t="shared" si="27"/>
        <v>S</v>
      </c>
      <c r="GG9" s="73" t="str">
        <f t="shared" si="27"/>
        <v>S</v>
      </c>
      <c r="GH9" s="73" t="str">
        <f t="shared" si="27"/>
        <v>M</v>
      </c>
      <c r="GI9" s="73" t="str">
        <f t="shared" si="27"/>
        <v>T</v>
      </c>
      <c r="GJ9" s="73" t="str">
        <f t="shared" si="27"/>
        <v>W</v>
      </c>
      <c r="GK9" s="73" t="str">
        <f t="shared" si="27"/>
        <v>T</v>
      </c>
      <c r="GL9" s="73" t="str">
        <f t="shared" si="27"/>
        <v>F</v>
      </c>
      <c r="GM9" s="73" t="str">
        <f t="shared" si="27"/>
        <v>S</v>
      </c>
      <c r="GN9" s="74" t="str">
        <f t="shared" si="27"/>
        <v>S</v>
      </c>
    </row>
    <row r="10" spans="1:196" ht="14.25">
      <c r="A10" s="38"/>
      <c r="B10" s="106"/>
      <c r="C10" s="107"/>
      <c r="D10" s="107"/>
      <c r="E10" s="107"/>
      <c r="F10" s="107"/>
      <c r="G10" s="108"/>
      <c r="H10" s="75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77"/>
      <c r="GG10" s="77"/>
      <c r="GH10" s="77"/>
      <c r="GI10" s="77"/>
      <c r="GJ10" s="77"/>
      <c r="GK10" s="77"/>
      <c r="GL10" s="77"/>
      <c r="GM10" s="77"/>
      <c r="GN10" s="78"/>
    </row>
    <row r="11" spans="1:196" ht="25.05" customHeight="1">
      <c r="A11" s="38"/>
      <c r="B11" s="57" t="s">
        <v>31</v>
      </c>
      <c r="C11" s="58">
        <v>1</v>
      </c>
      <c r="D11" s="59" t="str" cm="1">
        <f t="array" ref="D11">IF(C11="","",_xlfn.IFS(C11&gt;=100%,"Completed",AND(C11&lt;100%,C11&gt;=1%),"Ongoing",C11&lt;=0%,"Upcoming"))</f>
        <v>Completed</v>
      </c>
      <c r="E11" s="60">
        <f t="shared" ref="E11:E31" si="28">G11-F11</f>
        <v>14</v>
      </c>
      <c r="F11" s="61">
        <v>45047</v>
      </c>
      <c r="G11" s="62">
        <v>45061</v>
      </c>
      <c r="H11" s="79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  <c r="FU11" s="77"/>
      <c r="FV11" s="77"/>
      <c r="FW11" s="77"/>
      <c r="FX11" s="77"/>
      <c r="FY11" s="77"/>
      <c r="FZ11" s="77"/>
      <c r="GA11" s="77"/>
      <c r="GB11" s="77"/>
      <c r="GC11" s="77"/>
      <c r="GD11" s="77"/>
      <c r="GE11" s="77"/>
      <c r="GF11" s="77"/>
      <c r="GG11" s="77"/>
      <c r="GH11" s="77"/>
      <c r="GI11" s="77"/>
      <c r="GJ11" s="77"/>
      <c r="GK11" s="77"/>
      <c r="GL11" s="77"/>
      <c r="GM11" s="77"/>
      <c r="GN11" s="78"/>
    </row>
    <row r="12" spans="1:196" ht="25.05" customHeight="1">
      <c r="A12" s="38"/>
      <c r="B12" s="63" t="s">
        <v>32</v>
      </c>
      <c r="C12" s="58">
        <v>0.8</v>
      </c>
      <c r="D12" s="59" t="str" cm="1">
        <f t="array" ref="D12">IF(C12="","",_xlfn.IFS(C12&gt;=100%,"Completed",AND(C12&lt;100%,C12&gt;=1%),"Ongoing",C12&lt;=0%,"Upcoming"))</f>
        <v>Ongoing</v>
      </c>
      <c r="E12" s="60">
        <f t="shared" si="28"/>
        <v>9</v>
      </c>
      <c r="F12" s="61">
        <v>45062</v>
      </c>
      <c r="G12" s="62">
        <v>45071</v>
      </c>
      <c r="H12" s="79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77"/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77"/>
      <c r="GB12" s="77"/>
      <c r="GC12" s="77"/>
      <c r="GD12" s="77"/>
      <c r="GE12" s="77"/>
      <c r="GF12" s="77"/>
      <c r="GG12" s="77"/>
      <c r="GH12" s="77"/>
      <c r="GI12" s="77"/>
      <c r="GJ12" s="77"/>
      <c r="GK12" s="77"/>
      <c r="GL12" s="77"/>
      <c r="GM12" s="77"/>
      <c r="GN12" s="78"/>
    </row>
    <row r="13" spans="1:196" ht="25.05" customHeight="1">
      <c r="A13" s="38"/>
      <c r="B13" s="57"/>
      <c r="C13" s="64"/>
      <c r="D13" s="59" t="str" cm="1">
        <f t="array" ref="D13">IF(C13="","",_xlfn.IFS(C13&gt;=100%,"Completed",AND(C13&lt;100%,C13&gt;=1%),"Ongoing",C13&lt;=0%,"Upcoming"))</f>
        <v/>
      </c>
      <c r="E13" s="60">
        <f t="shared" si="28"/>
        <v>0</v>
      </c>
      <c r="F13" s="61"/>
      <c r="G13" s="62"/>
      <c r="H13" s="79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  <c r="FU13" s="77"/>
      <c r="FV13" s="77"/>
      <c r="FW13" s="77"/>
      <c r="FX13" s="77"/>
      <c r="FY13" s="77"/>
      <c r="FZ13" s="77"/>
      <c r="GA13" s="77"/>
      <c r="GB13" s="77"/>
      <c r="GC13" s="77"/>
      <c r="GD13" s="77"/>
      <c r="GE13" s="77"/>
      <c r="GF13" s="77"/>
      <c r="GG13" s="77"/>
      <c r="GH13" s="77"/>
      <c r="GI13" s="77"/>
      <c r="GJ13" s="77"/>
      <c r="GK13" s="77"/>
      <c r="GL13" s="77"/>
      <c r="GM13" s="77"/>
      <c r="GN13" s="78"/>
    </row>
    <row r="14" spans="1:196" ht="25.05" customHeight="1">
      <c r="A14" s="38"/>
      <c r="B14" s="57"/>
      <c r="C14" s="64"/>
      <c r="D14" s="59" t="str" cm="1">
        <f t="array" ref="D14">IF(C14="","",_xlfn.IFS(C14&gt;=100%,"Completed",AND(C14&lt;100%,C14&gt;=1%),"Ongoing",C14&lt;=0%,"Upcoming"))</f>
        <v/>
      </c>
      <c r="E14" s="60">
        <f t="shared" si="28"/>
        <v>0</v>
      </c>
      <c r="F14" s="61"/>
      <c r="G14" s="62"/>
      <c r="H14" s="79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  <c r="FU14" s="77"/>
      <c r="FV14" s="77"/>
      <c r="FW14" s="77"/>
      <c r="FX14" s="77"/>
      <c r="FY14" s="77"/>
      <c r="FZ14" s="77"/>
      <c r="GA14" s="77"/>
      <c r="GB14" s="77"/>
      <c r="GC14" s="77"/>
      <c r="GD14" s="77"/>
      <c r="GE14" s="77"/>
      <c r="GF14" s="77"/>
      <c r="GG14" s="77"/>
      <c r="GH14" s="77"/>
      <c r="GI14" s="77"/>
      <c r="GJ14" s="77"/>
      <c r="GK14" s="77"/>
      <c r="GL14" s="77"/>
      <c r="GM14" s="77"/>
      <c r="GN14" s="78"/>
    </row>
    <row r="15" spans="1:196" ht="25.05" customHeight="1">
      <c r="A15" s="38"/>
      <c r="B15" s="57"/>
      <c r="C15" s="64"/>
      <c r="D15" s="59" t="str" cm="1">
        <f t="array" ref="D15">IF(C15="","",_xlfn.IFS(C15&gt;=100%,"Completed",AND(C15&lt;100%,C15&gt;=1%),"Ongoing",C15&lt;=0%,"Upcoming"))</f>
        <v/>
      </c>
      <c r="E15" s="60">
        <f t="shared" si="28"/>
        <v>0</v>
      </c>
      <c r="F15" s="61"/>
      <c r="G15" s="62"/>
      <c r="H15" s="79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8"/>
    </row>
    <row r="16" spans="1:196" ht="25.05" customHeight="1">
      <c r="A16" s="38"/>
      <c r="B16" s="57"/>
      <c r="C16" s="64"/>
      <c r="D16" s="59" t="str" cm="1">
        <f t="array" ref="D16">IF(C16="","",_xlfn.IFS(C16&gt;=100%,"Completed",AND(C16&lt;100%,C16&gt;=1%),"Ongoing",C16&lt;=0%,"Upcoming"))</f>
        <v/>
      </c>
      <c r="E16" s="60">
        <f t="shared" si="28"/>
        <v>0</v>
      </c>
      <c r="F16" s="61"/>
      <c r="G16" s="62"/>
      <c r="H16" s="79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  <c r="FU16" s="77"/>
      <c r="FV16" s="77"/>
      <c r="FW16" s="77"/>
      <c r="FX16" s="77"/>
      <c r="FY16" s="77"/>
      <c r="FZ16" s="77"/>
      <c r="GA16" s="77"/>
      <c r="GB16" s="77"/>
      <c r="GC16" s="77"/>
      <c r="GD16" s="77"/>
      <c r="GE16" s="77"/>
      <c r="GF16" s="77"/>
      <c r="GG16" s="77"/>
      <c r="GH16" s="77"/>
      <c r="GI16" s="77"/>
      <c r="GJ16" s="77"/>
      <c r="GK16" s="77"/>
      <c r="GL16" s="77"/>
      <c r="GM16" s="77"/>
      <c r="GN16" s="78"/>
    </row>
    <row r="17" spans="1:196" s="40" customFormat="1" ht="25.05" customHeight="1">
      <c r="A17" s="39"/>
      <c r="B17" s="57"/>
      <c r="C17" s="64"/>
      <c r="D17" s="59" t="str" cm="1">
        <f t="array" ref="D17">IF(C17="","",_xlfn.IFS(C17&gt;=100%,"Completed",AND(C17&lt;100%,C17&gt;=1%),"Ongoing",C17&lt;=0%,"Upcoming"))</f>
        <v/>
      </c>
      <c r="E17" s="60">
        <f t="shared" si="28"/>
        <v>0</v>
      </c>
      <c r="F17" s="61"/>
      <c r="G17" s="62"/>
      <c r="H17" s="79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2"/>
    </row>
    <row r="18" spans="1:196" ht="25.05" customHeight="1">
      <c r="A18" s="38"/>
      <c r="B18" s="57"/>
      <c r="C18" s="58"/>
      <c r="D18" s="59" t="str" cm="1">
        <f t="array" ref="D18">IF(C18="","",_xlfn.IFS(C18&gt;=100%,"Completed",AND(C18&lt;100%,C18&gt;=1%),"Ongoing",C18&lt;=0%,"Upcoming"))</f>
        <v/>
      </c>
      <c r="E18" s="60">
        <f t="shared" si="28"/>
        <v>0</v>
      </c>
      <c r="F18" s="61"/>
      <c r="G18" s="62"/>
      <c r="H18" s="79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77"/>
      <c r="DQ18" s="77"/>
      <c r="DR18" s="77"/>
      <c r="DS18" s="77"/>
      <c r="DT18" s="77"/>
      <c r="DU18" s="77"/>
      <c r="DV18" s="77"/>
      <c r="DW18" s="77"/>
      <c r="DX18" s="77"/>
      <c r="DY18" s="77"/>
      <c r="DZ18" s="77"/>
      <c r="EA18" s="77"/>
      <c r="EB18" s="77"/>
      <c r="EC18" s="77"/>
      <c r="ED18" s="77"/>
      <c r="EE18" s="77"/>
      <c r="EF18" s="77"/>
      <c r="EG18" s="77"/>
      <c r="EH18" s="77"/>
      <c r="EI18" s="77"/>
      <c r="EJ18" s="77"/>
      <c r="EK18" s="77"/>
      <c r="EL18" s="77"/>
      <c r="EM18" s="77"/>
      <c r="EN18" s="77"/>
      <c r="EO18" s="77"/>
      <c r="EP18" s="77"/>
      <c r="EQ18" s="77"/>
      <c r="ER18" s="77"/>
      <c r="ES18" s="77"/>
      <c r="ET18" s="77"/>
      <c r="EU18" s="77"/>
      <c r="EV18" s="77"/>
      <c r="EW18" s="77"/>
      <c r="EX18" s="77"/>
      <c r="EY18" s="77"/>
      <c r="EZ18" s="77"/>
      <c r="FA18" s="77"/>
      <c r="FB18" s="77"/>
      <c r="FC18" s="77"/>
      <c r="FD18" s="77"/>
      <c r="FE18" s="77"/>
      <c r="FF18" s="77"/>
      <c r="FG18" s="77"/>
      <c r="FH18" s="77"/>
      <c r="FI18" s="77"/>
      <c r="FJ18" s="77"/>
      <c r="FK18" s="77"/>
      <c r="FL18" s="77"/>
      <c r="FM18" s="77"/>
      <c r="FN18" s="77"/>
      <c r="FO18" s="77"/>
      <c r="FP18" s="77"/>
      <c r="FQ18" s="77"/>
      <c r="FR18" s="77"/>
      <c r="FS18" s="77"/>
      <c r="FT18" s="77"/>
      <c r="FU18" s="77"/>
      <c r="FV18" s="77"/>
      <c r="FW18" s="77"/>
      <c r="FX18" s="77"/>
      <c r="FY18" s="77"/>
      <c r="FZ18" s="77"/>
      <c r="GA18" s="77"/>
      <c r="GB18" s="77"/>
      <c r="GC18" s="77"/>
      <c r="GD18" s="77"/>
      <c r="GE18" s="77"/>
      <c r="GF18" s="77"/>
      <c r="GG18" s="77"/>
      <c r="GH18" s="77"/>
      <c r="GI18" s="77"/>
      <c r="GJ18" s="77"/>
      <c r="GK18" s="77"/>
      <c r="GL18" s="77"/>
      <c r="GM18" s="77"/>
      <c r="GN18" s="78"/>
    </row>
    <row r="19" spans="1:196" ht="25.05" customHeight="1">
      <c r="A19" s="38"/>
      <c r="B19" s="57"/>
      <c r="C19" s="58"/>
      <c r="D19" s="59" t="str" cm="1">
        <f t="array" ref="D19">IF(C19="","",_xlfn.IFS(C19&gt;=100%,"Completed",AND(C19&lt;100%,C19&gt;=1%),"Ongoing",C19&lt;=0%,"Upcoming"))</f>
        <v/>
      </c>
      <c r="E19" s="60">
        <f t="shared" si="28"/>
        <v>0</v>
      </c>
      <c r="F19" s="61"/>
      <c r="G19" s="62"/>
      <c r="H19" s="79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  <c r="EM19" s="77"/>
      <c r="EN19" s="77"/>
      <c r="EO19" s="77"/>
      <c r="EP19" s="77"/>
      <c r="EQ19" s="77"/>
      <c r="ER19" s="77"/>
      <c r="ES19" s="77"/>
      <c r="ET19" s="77"/>
      <c r="EU19" s="77"/>
      <c r="EV19" s="77"/>
      <c r="EW19" s="77"/>
      <c r="EX19" s="77"/>
      <c r="EY19" s="77"/>
      <c r="EZ19" s="77"/>
      <c r="FA19" s="77"/>
      <c r="FB19" s="77"/>
      <c r="FC19" s="77"/>
      <c r="FD19" s="77"/>
      <c r="FE19" s="77"/>
      <c r="FF19" s="77"/>
      <c r="FG19" s="77"/>
      <c r="FH19" s="77"/>
      <c r="FI19" s="77"/>
      <c r="FJ19" s="77"/>
      <c r="FK19" s="77"/>
      <c r="FL19" s="77"/>
      <c r="FM19" s="77"/>
      <c r="FN19" s="77"/>
      <c r="FO19" s="77"/>
      <c r="FP19" s="77"/>
      <c r="FQ19" s="77"/>
      <c r="FR19" s="77"/>
      <c r="FS19" s="77"/>
      <c r="FT19" s="77"/>
      <c r="FU19" s="77"/>
      <c r="FV19" s="77"/>
      <c r="FW19" s="77"/>
      <c r="FX19" s="77"/>
      <c r="FY19" s="77"/>
      <c r="FZ19" s="77"/>
      <c r="GA19" s="77"/>
      <c r="GB19" s="77"/>
      <c r="GC19" s="77"/>
      <c r="GD19" s="77"/>
      <c r="GE19" s="77"/>
      <c r="GF19" s="77"/>
      <c r="GG19" s="77"/>
      <c r="GH19" s="77"/>
      <c r="GI19" s="77"/>
      <c r="GJ19" s="77"/>
      <c r="GK19" s="77"/>
      <c r="GL19" s="77"/>
      <c r="GM19" s="77"/>
      <c r="GN19" s="78"/>
    </row>
    <row r="20" spans="1:196" ht="25.05" customHeight="1">
      <c r="A20" s="38"/>
      <c r="B20" s="57"/>
      <c r="C20" s="64"/>
      <c r="D20" s="59" t="str" cm="1">
        <f t="array" ref="D20">IF(C20="","",_xlfn.IFS(C20&gt;=100%,"Completed",AND(C20&lt;100%,C20&gt;=1%),"Ongoing",C20&lt;=0%,"Upcoming"))</f>
        <v/>
      </c>
      <c r="E20" s="60">
        <f t="shared" si="28"/>
        <v>0</v>
      </c>
      <c r="F20" s="61"/>
      <c r="G20" s="62"/>
      <c r="H20" s="79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  <c r="DV20" s="77"/>
      <c r="DW20" s="77"/>
      <c r="DX20" s="77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  <c r="EM20" s="77"/>
      <c r="EN20" s="77"/>
      <c r="EO20" s="77"/>
      <c r="EP20" s="77"/>
      <c r="EQ20" s="77"/>
      <c r="ER20" s="77"/>
      <c r="ES20" s="77"/>
      <c r="ET20" s="77"/>
      <c r="EU20" s="77"/>
      <c r="EV20" s="77"/>
      <c r="EW20" s="77"/>
      <c r="EX20" s="77"/>
      <c r="EY20" s="77"/>
      <c r="EZ20" s="77"/>
      <c r="FA20" s="77"/>
      <c r="FB20" s="77"/>
      <c r="FC20" s="77"/>
      <c r="FD20" s="77"/>
      <c r="FE20" s="77"/>
      <c r="FF20" s="77"/>
      <c r="FG20" s="77"/>
      <c r="FH20" s="77"/>
      <c r="FI20" s="77"/>
      <c r="FJ20" s="77"/>
      <c r="FK20" s="77"/>
      <c r="FL20" s="77"/>
      <c r="FM20" s="77"/>
      <c r="FN20" s="77"/>
      <c r="FO20" s="77"/>
      <c r="FP20" s="77"/>
      <c r="FQ20" s="77"/>
      <c r="FR20" s="77"/>
      <c r="FS20" s="77"/>
      <c r="FT20" s="77"/>
      <c r="FU20" s="77"/>
      <c r="FV20" s="77"/>
      <c r="FW20" s="77"/>
      <c r="FX20" s="77"/>
      <c r="FY20" s="77"/>
      <c r="FZ20" s="77"/>
      <c r="GA20" s="77"/>
      <c r="GB20" s="77"/>
      <c r="GC20" s="77"/>
      <c r="GD20" s="77"/>
      <c r="GE20" s="77"/>
      <c r="GF20" s="77"/>
      <c r="GG20" s="77"/>
      <c r="GH20" s="77"/>
      <c r="GI20" s="77"/>
      <c r="GJ20" s="77"/>
      <c r="GK20" s="77"/>
      <c r="GL20" s="77"/>
      <c r="GM20" s="77"/>
      <c r="GN20" s="78"/>
    </row>
    <row r="21" spans="1:196" ht="25.05" customHeight="1">
      <c r="A21" s="38"/>
      <c r="B21" s="57"/>
      <c r="C21" s="64"/>
      <c r="D21" s="59" t="str" cm="1">
        <f t="array" ref="D21">IF(C21="","",_xlfn.IFS(C21&gt;=100%,"Completed",AND(C21&lt;100%,C21&gt;=1%),"Ongoing",C21&lt;=0%,"Upcoming"))</f>
        <v/>
      </c>
      <c r="E21" s="60">
        <f t="shared" si="28"/>
        <v>0</v>
      </c>
      <c r="F21" s="61"/>
      <c r="G21" s="62"/>
      <c r="H21" s="79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77"/>
      <c r="DX21" s="77"/>
      <c r="DY21" s="77"/>
      <c r="DZ21" s="77"/>
      <c r="EA21" s="77"/>
      <c r="EB21" s="77"/>
      <c r="EC21" s="77"/>
      <c r="ED21" s="77"/>
      <c r="EE21" s="77"/>
      <c r="EF21" s="77"/>
      <c r="EG21" s="77"/>
      <c r="EH21" s="77"/>
      <c r="EI21" s="77"/>
      <c r="EJ21" s="77"/>
      <c r="EK21" s="77"/>
      <c r="EL21" s="77"/>
      <c r="EM21" s="77"/>
      <c r="EN21" s="77"/>
      <c r="EO21" s="77"/>
      <c r="EP21" s="77"/>
      <c r="EQ21" s="77"/>
      <c r="ER21" s="77"/>
      <c r="ES21" s="77"/>
      <c r="ET21" s="77"/>
      <c r="EU21" s="77"/>
      <c r="EV21" s="77"/>
      <c r="EW21" s="77"/>
      <c r="EX21" s="77"/>
      <c r="EY21" s="77"/>
      <c r="EZ21" s="77"/>
      <c r="FA21" s="77"/>
      <c r="FB21" s="77"/>
      <c r="FC21" s="77"/>
      <c r="FD21" s="77"/>
      <c r="FE21" s="77"/>
      <c r="FF21" s="77"/>
      <c r="FG21" s="77"/>
      <c r="FH21" s="77"/>
      <c r="FI21" s="77"/>
      <c r="FJ21" s="77"/>
      <c r="FK21" s="77"/>
      <c r="FL21" s="77"/>
      <c r="FM21" s="77"/>
      <c r="FN21" s="77"/>
      <c r="FO21" s="77"/>
      <c r="FP21" s="77"/>
      <c r="FQ21" s="77"/>
      <c r="FR21" s="77"/>
      <c r="FS21" s="77"/>
      <c r="FT21" s="77"/>
      <c r="FU21" s="77"/>
      <c r="FV21" s="77"/>
      <c r="FW21" s="77"/>
      <c r="FX21" s="77"/>
      <c r="FY21" s="77"/>
      <c r="FZ21" s="77"/>
      <c r="GA21" s="77"/>
      <c r="GB21" s="77"/>
      <c r="GC21" s="77"/>
      <c r="GD21" s="77"/>
      <c r="GE21" s="77"/>
      <c r="GF21" s="77"/>
      <c r="GG21" s="77"/>
      <c r="GH21" s="77"/>
      <c r="GI21" s="77"/>
      <c r="GJ21" s="77"/>
      <c r="GK21" s="77"/>
      <c r="GL21" s="77"/>
      <c r="GM21" s="77"/>
      <c r="GN21" s="78"/>
    </row>
    <row r="22" spans="1:196" ht="25.05" customHeight="1">
      <c r="A22" s="38"/>
      <c r="B22" s="57"/>
      <c r="C22" s="64"/>
      <c r="D22" s="59"/>
      <c r="E22" s="60">
        <f t="shared" si="28"/>
        <v>0</v>
      </c>
      <c r="F22" s="61"/>
      <c r="G22" s="62"/>
      <c r="H22" s="79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/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  <c r="FU22" s="77"/>
      <c r="FV22" s="77"/>
      <c r="FW22" s="77"/>
      <c r="FX22" s="77"/>
      <c r="FY22" s="77"/>
      <c r="FZ22" s="77"/>
      <c r="GA22" s="77"/>
      <c r="GB22" s="77"/>
      <c r="GC22" s="77"/>
      <c r="GD22" s="77"/>
      <c r="GE22" s="77"/>
      <c r="GF22" s="77"/>
      <c r="GG22" s="77"/>
      <c r="GH22" s="77"/>
      <c r="GI22" s="77"/>
      <c r="GJ22" s="77"/>
      <c r="GK22" s="77"/>
      <c r="GL22" s="77"/>
      <c r="GM22" s="77"/>
      <c r="GN22" s="78"/>
    </row>
    <row r="23" spans="1:196" ht="25.05" customHeight="1">
      <c r="A23" s="38"/>
      <c r="B23" s="57"/>
      <c r="C23" s="64"/>
      <c r="D23" s="59" t="str" cm="1">
        <f t="array" ref="D23">IF(C23="","",_xlfn.IFS(C23&gt;=100%,"Completed",AND(C23&lt;100%,C23&gt;=1%),"Ongoing",C23&lt;=0%,"Upcoming"))</f>
        <v/>
      </c>
      <c r="E23" s="60">
        <f t="shared" si="28"/>
        <v>0</v>
      </c>
      <c r="F23" s="61"/>
      <c r="G23" s="62"/>
      <c r="H23" s="79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  <c r="EM23" s="77"/>
      <c r="EN23" s="77"/>
      <c r="EO23" s="77"/>
      <c r="EP23" s="77"/>
      <c r="EQ23" s="77"/>
      <c r="ER23" s="77"/>
      <c r="ES23" s="77"/>
      <c r="ET23" s="77"/>
      <c r="EU23" s="77"/>
      <c r="EV23" s="77"/>
      <c r="EW23" s="77"/>
      <c r="EX23" s="77"/>
      <c r="EY23" s="77"/>
      <c r="EZ23" s="77"/>
      <c r="FA23" s="77"/>
      <c r="FB23" s="77"/>
      <c r="FC23" s="77"/>
      <c r="FD23" s="77"/>
      <c r="FE23" s="77"/>
      <c r="FF23" s="77"/>
      <c r="FG23" s="77"/>
      <c r="FH23" s="77"/>
      <c r="FI23" s="77"/>
      <c r="FJ23" s="77"/>
      <c r="FK23" s="77"/>
      <c r="FL23" s="77"/>
      <c r="FM23" s="77"/>
      <c r="FN23" s="77"/>
      <c r="FO23" s="77"/>
      <c r="FP23" s="77"/>
      <c r="FQ23" s="77"/>
      <c r="FR23" s="77"/>
      <c r="FS23" s="77"/>
      <c r="FT23" s="77"/>
      <c r="FU23" s="77"/>
      <c r="FV23" s="77"/>
      <c r="FW23" s="77"/>
      <c r="FX23" s="77"/>
      <c r="FY23" s="77"/>
      <c r="FZ23" s="77"/>
      <c r="GA23" s="77"/>
      <c r="GB23" s="77"/>
      <c r="GC23" s="77"/>
      <c r="GD23" s="77"/>
      <c r="GE23" s="77"/>
      <c r="GF23" s="77"/>
      <c r="GG23" s="77"/>
      <c r="GH23" s="77"/>
      <c r="GI23" s="77"/>
      <c r="GJ23" s="77"/>
      <c r="GK23" s="77"/>
      <c r="GL23" s="77"/>
      <c r="GM23" s="77"/>
      <c r="GN23" s="78"/>
    </row>
    <row r="24" spans="1:196" ht="25.05" customHeight="1">
      <c r="A24" s="38"/>
      <c r="B24" s="57"/>
      <c r="C24" s="64"/>
      <c r="D24" s="59"/>
      <c r="E24" s="60">
        <f t="shared" si="28"/>
        <v>0</v>
      </c>
      <c r="F24" s="61"/>
      <c r="G24" s="62"/>
      <c r="H24" s="79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  <c r="FU24" s="77"/>
      <c r="FV24" s="77"/>
      <c r="FW24" s="77"/>
      <c r="FX24" s="77"/>
      <c r="FY24" s="77"/>
      <c r="FZ24" s="77"/>
      <c r="GA24" s="77"/>
      <c r="GB24" s="77"/>
      <c r="GC24" s="77"/>
      <c r="GD24" s="77"/>
      <c r="GE24" s="77"/>
      <c r="GF24" s="77"/>
      <c r="GG24" s="77"/>
      <c r="GH24" s="77"/>
      <c r="GI24" s="77"/>
      <c r="GJ24" s="77"/>
      <c r="GK24" s="77"/>
      <c r="GL24" s="77"/>
      <c r="GM24" s="77"/>
      <c r="GN24" s="78"/>
    </row>
    <row r="25" spans="1:196" ht="25.05" customHeight="1">
      <c r="A25" s="38"/>
      <c r="B25" s="57"/>
      <c r="C25" s="64"/>
      <c r="D25" s="59" t="str" cm="1">
        <f t="array" ref="D25">IF(C25="","",_xlfn.IFS(C25&gt;=100%,"Completed",AND(C25&lt;100%,C25&gt;=1%),"Ongoing",C25&lt;=0%,"Upcoming"))</f>
        <v/>
      </c>
      <c r="E25" s="60">
        <f t="shared" si="28"/>
        <v>0</v>
      </c>
      <c r="F25" s="61"/>
      <c r="G25" s="62"/>
      <c r="H25" s="79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  <c r="FU25" s="77"/>
      <c r="FV25" s="77"/>
      <c r="FW25" s="77"/>
      <c r="FX25" s="77"/>
      <c r="FY25" s="77"/>
      <c r="FZ25" s="77"/>
      <c r="GA25" s="77"/>
      <c r="GB25" s="77"/>
      <c r="GC25" s="77"/>
      <c r="GD25" s="77"/>
      <c r="GE25" s="77"/>
      <c r="GF25" s="77"/>
      <c r="GG25" s="77"/>
      <c r="GH25" s="77"/>
      <c r="GI25" s="77"/>
      <c r="GJ25" s="77"/>
      <c r="GK25" s="77"/>
      <c r="GL25" s="77"/>
      <c r="GM25" s="77"/>
      <c r="GN25" s="78"/>
    </row>
    <row r="26" spans="1:196" ht="25.05" customHeight="1">
      <c r="A26" s="38"/>
      <c r="B26" s="57"/>
      <c r="C26" s="58"/>
      <c r="D26" s="59" t="str" cm="1">
        <f t="array" ref="D26">IF(C26="","",_xlfn.IFS(C26&gt;=100%,"Completed",AND(C26&lt;100%,C26&gt;=1%),"Ongoing",C26&lt;=0%,"Upcoming"))</f>
        <v/>
      </c>
      <c r="E26" s="60">
        <f t="shared" si="28"/>
        <v>0</v>
      </c>
      <c r="F26" s="61"/>
      <c r="G26" s="62"/>
      <c r="H26" s="79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  <c r="DY26" s="77"/>
      <c r="DZ26" s="77"/>
      <c r="EA26" s="77"/>
      <c r="EB26" s="77"/>
      <c r="EC26" s="77"/>
      <c r="ED26" s="77"/>
      <c r="EE26" s="77"/>
      <c r="EF26" s="77"/>
      <c r="EG26" s="77"/>
      <c r="EH26" s="77"/>
      <c r="EI26" s="77"/>
      <c r="EJ26" s="77"/>
      <c r="EK26" s="77"/>
      <c r="EL26" s="77"/>
      <c r="EM26" s="77"/>
      <c r="EN26" s="77"/>
      <c r="EO26" s="77"/>
      <c r="EP26" s="77"/>
      <c r="EQ26" s="77"/>
      <c r="ER26" s="77"/>
      <c r="ES26" s="77"/>
      <c r="ET26" s="77"/>
      <c r="EU26" s="77"/>
      <c r="EV26" s="77"/>
      <c r="EW26" s="77"/>
      <c r="EX26" s="77"/>
      <c r="EY26" s="77"/>
      <c r="EZ26" s="77"/>
      <c r="FA26" s="77"/>
      <c r="FB26" s="77"/>
      <c r="FC26" s="77"/>
      <c r="FD26" s="77"/>
      <c r="FE26" s="77"/>
      <c r="FF26" s="77"/>
      <c r="FG26" s="77"/>
      <c r="FH26" s="77"/>
      <c r="FI26" s="77"/>
      <c r="FJ26" s="77"/>
      <c r="FK26" s="77"/>
      <c r="FL26" s="77"/>
      <c r="FM26" s="77"/>
      <c r="FN26" s="77"/>
      <c r="FO26" s="77"/>
      <c r="FP26" s="77"/>
      <c r="FQ26" s="77"/>
      <c r="FR26" s="77"/>
      <c r="FS26" s="77"/>
      <c r="FT26" s="77"/>
      <c r="FU26" s="77"/>
      <c r="FV26" s="77"/>
      <c r="FW26" s="77"/>
      <c r="FX26" s="77"/>
      <c r="FY26" s="77"/>
      <c r="FZ26" s="77"/>
      <c r="GA26" s="77"/>
      <c r="GB26" s="77"/>
      <c r="GC26" s="77"/>
      <c r="GD26" s="77"/>
      <c r="GE26" s="77"/>
      <c r="GF26" s="77"/>
      <c r="GG26" s="77"/>
      <c r="GH26" s="77"/>
      <c r="GI26" s="77"/>
      <c r="GJ26" s="77"/>
      <c r="GK26" s="77"/>
      <c r="GL26" s="77"/>
      <c r="GM26" s="77"/>
      <c r="GN26" s="78"/>
    </row>
    <row r="27" spans="1:196" ht="25.05" customHeight="1">
      <c r="A27" s="38"/>
      <c r="B27" s="57"/>
      <c r="C27" s="58"/>
      <c r="D27" s="59" t="str" cm="1">
        <f t="array" ref="D27">IF(C27="","",_xlfn.IFS(C27&gt;=100%,"Completed",AND(C27&lt;100%,C27&gt;=1%),"Ongoing",C27&lt;=0%,"Upcoming"))</f>
        <v/>
      </c>
      <c r="E27" s="60">
        <f t="shared" si="28"/>
        <v>0</v>
      </c>
      <c r="F27" s="61"/>
      <c r="G27" s="62"/>
      <c r="H27" s="79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7"/>
      <c r="DY27" s="77"/>
      <c r="DZ27" s="77"/>
      <c r="EA27" s="77"/>
      <c r="EB27" s="77"/>
      <c r="EC27" s="77"/>
      <c r="ED27" s="77"/>
      <c r="EE27" s="77"/>
      <c r="EF27" s="77"/>
      <c r="EG27" s="77"/>
      <c r="EH27" s="77"/>
      <c r="EI27" s="77"/>
      <c r="EJ27" s="77"/>
      <c r="EK27" s="77"/>
      <c r="EL27" s="77"/>
      <c r="EM27" s="77"/>
      <c r="EN27" s="77"/>
      <c r="EO27" s="77"/>
      <c r="EP27" s="77"/>
      <c r="EQ27" s="77"/>
      <c r="ER27" s="77"/>
      <c r="ES27" s="77"/>
      <c r="ET27" s="77"/>
      <c r="EU27" s="77"/>
      <c r="EV27" s="77"/>
      <c r="EW27" s="77"/>
      <c r="EX27" s="77"/>
      <c r="EY27" s="77"/>
      <c r="EZ27" s="77"/>
      <c r="FA27" s="77"/>
      <c r="FB27" s="77"/>
      <c r="FC27" s="77"/>
      <c r="FD27" s="77"/>
      <c r="FE27" s="77"/>
      <c r="FF27" s="77"/>
      <c r="FG27" s="77"/>
      <c r="FH27" s="77"/>
      <c r="FI27" s="77"/>
      <c r="FJ27" s="77"/>
      <c r="FK27" s="77"/>
      <c r="FL27" s="77"/>
      <c r="FM27" s="77"/>
      <c r="FN27" s="77"/>
      <c r="FO27" s="77"/>
      <c r="FP27" s="77"/>
      <c r="FQ27" s="77"/>
      <c r="FR27" s="77"/>
      <c r="FS27" s="77"/>
      <c r="FT27" s="77"/>
      <c r="FU27" s="77"/>
      <c r="FV27" s="77"/>
      <c r="FW27" s="77"/>
      <c r="FX27" s="77"/>
      <c r="FY27" s="77"/>
      <c r="FZ27" s="77"/>
      <c r="GA27" s="77"/>
      <c r="GB27" s="77"/>
      <c r="GC27" s="77"/>
      <c r="GD27" s="77"/>
      <c r="GE27" s="77"/>
      <c r="GF27" s="77"/>
      <c r="GG27" s="77"/>
      <c r="GH27" s="77"/>
      <c r="GI27" s="77"/>
      <c r="GJ27" s="77"/>
      <c r="GK27" s="77"/>
      <c r="GL27" s="77"/>
      <c r="GM27" s="77"/>
      <c r="GN27" s="78"/>
    </row>
    <row r="28" spans="1:196" ht="25.05" customHeight="1">
      <c r="A28" s="38"/>
      <c r="B28" s="57"/>
      <c r="C28" s="64"/>
      <c r="D28" s="59" t="str" cm="1">
        <f t="array" ref="D28">IF(C28="","",_xlfn.IFS(C28&gt;=100%,"Completed",AND(C28&lt;100%,C28&gt;=1%),"Ongoing",C28&lt;=0%,"Upcoming"))</f>
        <v/>
      </c>
      <c r="E28" s="60">
        <f t="shared" si="28"/>
        <v>0</v>
      </c>
      <c r="F28" s="61"/>
      <c r="G28" s="62"/>
      <c r="H28" s="79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  <c r="DY28" s="77"/>
      <c r="DZ28" s="77"/>
      <c r="EA28" s="77"/>
      <c r="EB28" s="77"/>
      <c r="EC28" s="77"/>
      <c r="ED28" s="77"/>
      <c r="EE28" s="77"/>
      <c r="EF28" s="77"/>
      <c r="EG28" s="77"/>
      <c r="EH28" s="77"/>
      <c r="EI28" s="77"/>
      <c r="EJ28" s="77"/>
      <c r="EK28" s="77"/>
      <c r="EL28" s="77"/>
      <c r="EM28" s="77"/>
      <c r="EN28" s="77"/>
      <c r="EO28" s="77"/>
      <c r="EP28" s="77"/>
      <c r="EQ28" s="77"/>
      <c r="ER28" s="77"/>
      <c r="ES28" s="77"/>
      <c r="ET28" s="77"/>
      <c r="EU28" s="77"/>
      <c r="EV28" s="77"/>
      <c r="EW28" s="77"/>
      <c r="EX28" s="77"/>
      <c r="EY28" s="77"/>
      <c r="EZ28" s="77"/>
      <c r="FA28" s="77"/>
      <c r="FB28" s="77"/>
      <c r="FC28" s="77"/>
      <c r="FD28" s="77"/>
      <c r="FE28" s="77"/>
      <c r="FF28" s="77"/>
      <c r="FG28" s="77"/>
      <c r="FH28" s="77"/>
      <c r="FI28" s="77"/>
      <c r="FJ28" s="77"/>
      <c r="FK28" s="77"/>
      <c r="FL28" s="77"/>
      <c r="FM28" s="77"/>
      <c r="FN28" s="77"/>
      <c r="FO28" s="77"/>
      <c r="FP28" s="77"/>
      <c r="FQ28" s="77"/>
      <c r="FR28" s="77"/>
      <c r="FS28" s="77"/>
      <c r="FT28" s="77"/>
      <c r="FU28" s="77"/>
      <c r="FV28" s="77"/>
      <c r="FW28" s="77"/>
      <c r="FX28" s="77"/>
      <c r="FY28" s="77"/>
      <c r="FZ28" s="77"/>
      <c r="GA28" s="77"/>
      <c r="GB28" s="77"/>
      <c r="GC28" s="77"/>
      <c r="GD28" s="77"/>
      <c r="GE28" s="77"/>
      <c r="GF28" s="77"/>
      <c r="GG28" s="77"/>
      <c r="GH28" s="77"/>
      <c r="GI28" s="77"/>
      <c r="GJ28" s="77"/>
      <c r="GK28" s="77"/>
      <c r="GL28" s="77"/>
      <c r="GM28" s="77"/>
      <c r="GN28" s="78"/>
    </row>
    <row r="29" spans="1:196" ht="25.05" customHeight="1">
      <c r="A29" s="38"/>
      <c r="B29" s="57"/>
      <c r="C29" s="64"/>
      <c r="D29" s="59" t="str" cm="1">
        <f t="array" ref="D29">IF(C29="","",_xlfn.IFS(C29&gt;=100%,"Completed",AND(C29&lt;100%,C29&gt;=1%),"Ongoing",C29&lt;=0%,"Upcoming"))</f>
        <v/>
      </c>
      <c r="E29" s="60">
        <f t="shared" si="28"/>
        <v>0</v>
      </c>
      <c r="F29" s="61"/>
      <c r="G29" s="62"/>
      <c r="H29" s="79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  <c r="FU29" s="77"/>
      <c r="FV29" s="77"/>
      <c r="FW29" s="77"/>
      <c r="FX29" s="77"/>
      <c r="FY29" s="77"/>
      <c r="FZ29" s="77"/>
      <c r="GA29" s="77"/>
      <c r="GB29" s="77"/>
      <c r="GC29" s="77"/>
      <c r="GD29" s="77"/>
      <c r="GE29" s="77"/>
      <c r="GF29" s="77"/>
      <c r="GG29" s="77"/>
      <c r="GH29" s="77"/>
      <c r="GI29" s="77"/>
      <c r="GJ29" s="77"/>
      <c r="GK29" s="77"/>
      <c r="GL29" s="77"/>
      <c r="GM29" s="77"/>
      <c r="GN29" s="78"/>
    </row>
    <row r="30" spans="1:196" ht="25.05" customHeight="1">
      <c r="A30" s="38"/>
      <c r="B30" s="57"/>
      <c r="C30" s="64"/>
      <c r="D30" s="59" t="str" cm="1">
        <f t="array" ref="D30">IF(C30="","",_xlfn.IFS(C30&gt;=100%,"Completed",AND(C30&lt;100%,C30&gt;=1%),"Ongoing",C30&lt;=0%,"Upcoming"))</f>
        <v/>
      </c>
      <c r="E30" s="60">
        <f t="shared" si="28"/>
        <v>0</v>
      </c>
      <c r="F30" s="61"/>
      <c r="G30" s="62"/>
      <c r="H30" s="79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  <c r="DY30" s="77"/>
      <c r="DZ30" s="77"/>
      <c r="EA30" s="77"/>
      <c r="EB30" s="77"/>
      <c r="EC30" s="77"/>
      <c r="ED30" s="77"/>
      <c r="EE30" s="77"/>
      <c r="EF30" s="77"/>
      <c r="EG30" s="77"/>
      <c r="EH30" s="77"/>
      <c r="EI30" s="77"/>
      <c r="EJ30" s="77"/>
      <c r="EK30" s="77"/>
      <c r="EL30" s="77"/>
      <c r="EM30" s="77"/>
      <c r="EN30" s="77"/>
      <c r="EO30" s="77"/>
      <c r="EP30" s="77"/>
      <c r="EQ30" s="77"/>
      <c r="ER30" s="77"/>
      <c r="ES30" s="77"/>
      <c r="ET30" s="77"/>
      <c r="EU30" s="77"/>
      <c r="EV30" s="77"/>
      <c r="EW30" s="77"/>
      <c r="EX30" s="77"/>
      <c r="EY30" s="77"/>
      <c r="EZ30" s="77"/>
      <c r="FA30" s="77"/>
      <c r="FB30" s="77"/>
      <c r="FC30" s="77"/>
      <c r="FD30" s="77"/>
      <c r="FE30" s="77"/>
      <c r="FF30" s="77"/>
      <c r="FG30" s="77"/>
      <c r="FH30" s="77"/>
      <c r="FI30" s="77"/>
      <c r="FJ30" s="77"/>
      <c r="FK30" s="77"/>
      <c r="FL30" s="77"/>
      <c r="FM30" s="77"/>
      <c r="FN30" s="77"/>
      <c r="FO30" s="77"/>
      <c r="FP30" s="77"/>
      <c r="FQ30" s="77"/>
      <c r="FR30" s="77"/>
      <c r="FS30" s="77"/>
      <c r="FT30" s="77"/>
      <c r="FU30" s="77"/>
      <c r="FV30" s="77"/>
      <c r="FW30" s="77"/>
      <c r="FX30" s="77"/>
      <c r="FY30" s="77"/>
      <c r="FZ30" s="77"/>
      <c r="GA30" s="77"/>
      <c r="GB30" s="77"/>
      <c r="GC30" s="77"/>
      <c r="GD30" s="77"/>
      <c r="GE30" s="77"/>
      <c r="GF30" s="77"/>
      <c r="GG30" s="77"/>
      <c r="GH30" s="77"/>
      <c r="GI30" s="77"/>
      <c r="GJ30" s="77"/>
      <c r="GK30" s="77"/>
      <c r="GL30" s="77"/>
      <c r="GM30" s="77"/>
      <c r="GN30" s="78"/>
    </row>
    <row r="31" spans="1:196" ht="25.05" customHeight="1">
      <c r="A31" s="38"/>
      <c r="B31" s="57"/>
      <c r="C31" s="64"/>
      <c r="D31" s="59" t="str" cm="1">
        <f t="array" ref="D31">IF(C31="","",_xlfn.IFS(C31&gt;=100%,"Completed",AND(C31&lt;100%,C31&gt;=1%),"Ongoing",C31&lt;=0%,"Upcoming"))</f>
        <v/>
      </c>
      <c r="E31" s="60">
        <f t="shared" si="28"/>
        <v>0</v>
      </c>
      <c r="F31" s="61"/>
      <c r="G31" s="62"/>
      <c r="H31" s="79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  <c r="FU31" s="77"/>
      <c r="FV31" s="77"/>
      <c r="FW31" s="77"/>
      <c r="FX31" s="77"/>
      <c r="FY31" s="77"/>
      <c r="FZ31" s="77"/>
      <c r="GA31" s="77"/>
      <c r="GB31" s="77"/>
      <c r="GC31" s="77"/>
      <c r="GD31" s="77"/>
      <c r="GE31" s="77"/>
      <c r="GF31" s="77"/>
      <c r="GG31" s="77"/>
      <c r="GH31" s="77"/>
      <c r="GI31" s="77"/>
      <c r="GJ31" s="77"/>
      <c r="GK31" s="77"/>
      <c r="GL31" s="77"/>
      <c r="GM31" s="77"/>
      <c r="GN31" s="78"/>
    </row>
    <row r="32" spans="1:196" ht="25.05" customHeight="1" thickBot="1">
      <c r="B32" s="65"/>
      <c r="C32" s="66"/>
      <c r="D32" s="66"/>
      <c r="E32" s="66"/>
      <c r="F32" s="66"/>
      <c r="G32" s="67"/>
      <c r="H32" s="83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  <c r="FU32" s="85"/>
      <c r="FV32" s="85"/>
      <c r="FW32" s="85"/>
      <c r="FX32" s="85"/>
      <c r="FY32" s="85"/>
      <c r="FZ32" s="85"/>
      <c r="GA32" s="85"/>
      <c r="GB32" s="85"/>
      <c r="GC32" s="85"/>
      <c r="GD32" s="85"/>
      <c r="GE32" s="85"/>
      <c r="GF32" s="85"/>
      <c r="GG32" s="85"/>
      <c r="GH32" s="85"/>
      <c r="GI32" s="85"/>
      <c r="GJ32" s="85"/>
      <c r="GK32" s="85"/>
      <c r="GL32" s="85"/>
      <c r="GM32" s="85"/>
      <c r="GN32" s="86"/>
    </row>
  </sheetData>
  <mergeCells count="38">
    <mergeCell ref="B2:E3"/>
    <mergeCell ref="B4:G4"/>
    <mergeCell ref="I6:AC6"/>
    <mergeCell ref="AD6:AX6"/>
    <mergeCell ref="B7:B9"/>
    <mergeCell ref="C7:C9"/>
    <mergeCell ref="D7:D9"/>
    <mergeCell ref="E7:E9"/>
    <mergeCell ref="F7:F9"/>
    <mergeCell ref="G7:G9"/>
    <mergeCell ref="CG7:CM7"/>
    <mergeCell ref="H7:N7"/>
    <mergeCell ref="O7:U7"/>
    <mergeCell ref="V7:AB7"/>
    <mergeCell ref="AC7:AI7"/>
    <mergeCell ref="AJ7:AP7"/>
    <mergeCell ref="AQ7:AW7"/>
    <mergeCell ref="AX7:BD7"/>
    <mergeCell ref="BE7:BK7"/>
    <mergeCell ref="BL7:BR7"/>
    <mergeCell ref="BS7:BY7"/>
    <mergeCell ref="BZ7:CF7"/>
    <mergeCell ref="FT7:FZ7"/>
    <mergeCell ref="GA7:GG7"/>
    <mergeCell ref="GH7:GN7"/>
    <mergeCell ref="B10:G10"/>
    <mergeCell ref="ED7:EJ7"/>
    <mergeCell ref="EK7:EQ7"/>
    <mergeCell ref="ER7:EX7"/>
    <mergeCell ref="EY7:FE7"/>
    <mergeCell ref="FF7:FL7"/>
    <mergeCell ref="FM7:FS7"/>
    <mergeCell ref="CN7:CT7"/>
    <mergeCell ref="CU7:DA7"/>
    <mergeCell ref="DB7:DH7"/>
    <mergeCell ref="DI7:DO7"/>
    <mergeCell ref="DP7:DV7"/>
    <mergeCell ref="DW7:EC7"/>
  </mergeCells>
  <phoneticPr fontId="41" type="noConversion"/>
  <conditionalFormatting sqref="C11:C31">
    <cfRule type="colorScale" priority="2">
      <colorScale>
        <cfvo type="min"/>
        <cfvo type="max"/>
        <color rgb="FFD5DFEB"/>
        <color rgb="FFA4BAD4"/>
      </colorScale>
    </cfRule>
  </conditionalFormatting>
  <conditionalFormatting sqref="H10:GN1000">
    <cfRule type="expression" dxfId="0" priority="1">
      <formula>AND(H$8&gt;=$F10,H$8&lt;=$G10)</formula>
    </cfRule>
  </conditionalFormatting>
  <pageMargins left="0.7" right="0.7" top="0.75" bottom="0.75" header="0.3" footer="0.3"/>
  <pageSetup scale="14" fitToHeight="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3211-E109-4E3F-9BA5-4B29013567D2}">
  <dimension ref="B21:D29"/>
  <sheetViews>
    <sheetView showGridLines="0" workbookViewId="0">
      <selection activeCell="L12" sqref="L12"/>
    </sheetView>
  </sheetViews>
  <sheetFormatPr defaultColWidth="14.46484375" defaultRowHeight="15" customHeight="1"/>
  <sheetData>
    <row r="21" spans="2:4" ht="12.75"/>
    <row r="22" spans="2:4" ht="12.75"/>
    <row r="23" spans="2:4" ht="13.9">
      <c r="B23" s="87" t="s">
        <v>33</v>
      </c>
      <c r="C23" s="88"/>
      <c r="D23" s="88"/>
    </row>
    <row r="24" spans="2:4" ht="13.5">
      <c r="B24" s="88"/>
      <c r="C24" s="88"/>
      <c r="D24" s="88"/>
    </row>
    <row r="25" spans="2:4" ht="13.9">
      <c r="B25" s="87" t="s">
        <v>34</v>
      </c>
      <c r="C25" s="88"/>
      <c r="D25" s="88"/>
    </row>
    <row r="26" spans="2:4" ht="13.9">
      <c r="B26" s="87" t="s">
        <v>35</v>
      </c>
      <c r="C26" s="88"/>
      <c r="D26" s="88"/>
    </row>
    <row r="27" spans="2:4" ht="13.9">
      <c r="B27" s="87" t="s">
        <v>36</v>
      </c>
      <c r="C27" s="88"/>
      <c r="D27" s="88"/>
    </row>
    <row r="28" spans="2:4" ht="13.5">
      <c r="B28" s="88"/>
      <c r="C28" s="88"/>
      <c r="D28" s="88"/>
    </row>
    <row r="29" spans="2:4" ht="13.9">
      <c r="B29" s="87" t="s">
        <v>37</v>
      </c>
      <c r="C29" s="88"/>
      <c r="D29" s="88"/>
    </row>
  </sheetData>
  <phoneticPr fontId="4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Smart Goals Sheet</vt:lpstr>
      <vt:lpstr>Smart Goal Timeline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dcterms:modified xsi:type="dcterms:W3CDTF">2026-03-23T08:53:49Z</dcterms:modified>
</cp:coreProperties>
</file>